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ksharafalmasri\Downloads\"/>
    </mc:Choice>
  </mc:AlternateContent>
  <xr:revisionPtr revIDLastSave="0" documentId="8_{1E674754-4BB3-46F3-8FD5-084C9477E36F}" xr6:coauthVersionLast="47" xr6:coauthVersionMax="47" xr10:uidLastSave="{00000000-0000-0000-0000-000000000000}"/>
  <bookViews>
    <workbookView xWindow="22932" yWindow="-2916" windowWidth="30936" windowHeight="16776" firstSheet="5" activeTab="10" xr2:uid="{369AEEBA-0095-4AC9-AF79-9B72F1C6E7E0}"/>
  </bookViews>
  <sheets>
    <sheet name="Claude Log" sheetId="3" r:id="rId1"/>
    <sheet name="SSC_Ontology_Ver0.5" sheetId="1" r:id="rId2"/>
    <sheet name="CCU_Comparison" sheetId="5" r:id="rId3"/>
    <sheet name="AHU_Comparison" sheetId="2" r:id="rId4"/>
    <sheet name="CHWP_Comparison" sheetId="6" r:id="rId5"/>
    <sheet name="HE_Comparison" sheetId="7" r:id="rId6"/>
    <sheet name="DX_Comparison" sheetId="8" r:id="rId7"/>
    <sheet name="FCU_Comparison" sheetId="9" r:id="rId8"/>
    <sheet name="EF_Comparison" sheetId="10" r:id="rId9"/>
    <sheet name="GEN_Check" sheetId="12" r:id="rId10"/>
    <sheet name="VAV_Comparison" sheetId="13" r:id="rId11"/>
  </sheets>
  <definedNames>
    <definedName name="_xlnm._FilterDatabase" localSheetId="1" hidden="1">SSC_Ontology_Ver0.5!$A$1:$AA$5120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0" i="13" l="1"/>
  <c r="E45" i="13"/>
  <c r="D45"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C100" i="13"/>
  <c r="C101" i="13"/>
  <c r="C102" i="13"/>
  <c r="C103" i="13"/>
  <c r="C104" i="13"/>
  <c r="C105" i="13"/>
  <c r="C106" i="13"/>
  <c r="C107" i="13"/>
  <c r="C120" i="13"/>
  <c r="C121" i="13"/>
  <c r="C122" i="13"/>
  <c r="C123" i="13"/>
  <c r="C124" i="13"/>
  <c r="C125" i="13"/>
  <c r="C126" i="13"/>
  <c r="C127" i="13"/>
  <c r="C140" i="13"/>
  <c r="C141" i="13"/>
  <c r="C142" i="13"/>
  <c r="C143" i="13"/>
  <c r="C144" i="13"/>
  <c r="C145" i="13"/>
  <c r="C146" i="13"/>
  <c r="C147" i="13"/>
  <c r="C152" i="13"/>
  <c r="C160" i="13"/>
  <c r="C161" i="13"/>
  <c r="C162" i="13"/>
  <c r="C163" i="13"/>
  <c r="C164" i="13"/>
  <c r="C165" i="13"/>
  <c r="C166" i="13"/>
  <c r="C167" i="13"/>
  <c r="C180" i="13"/>
  <c r="C181" i="13"/>
  <c r="C182" i="13"/>
  <c r="C183" i="13"/>
  <c r="C184" i="13"/>
  <c r="C185" i="13"/>
  <c r="C186" i="13"/>
  <c r="C187" i="13"/>
  <c r="B90" i="13"/>
  <c r="C90" i="13" s="1"/>
  <c r="B91" i="13"/>
  <c r="C91" i="13" s="1"/>
  <c r="B92" i="13"/>
  <c r="C92" i="13" s="1"/>
  <c r="B93" i="13"/>
  <c r="C93" i="13" s="1"/>
  <c r="B94" i="13"/>
  <c r="C94" i="13" s="1"/>
  <c r="B95" i="13"/>
  <c r="C95" i="13" s="1"/>
  <c r="B96" i="13"/>
  <c r="B97" i="13"/>
  <c r="C97" i="13" s="1"/>
  <c r="B98" i="13"/>
  <c r="C98" i="13" s="1"/>
  <c r="B99" i="13"/>
  <c r="C99" i="13" s="1"/>
  <c r="B100" i="13"/>
  <c r="B101" i="13"/>
  <c r="B102" i="13"/>
  <c r="B103" i="13"/>
  <c r="B104" i="13"/>
  <c r="B105" i="13"/>
  <c r="B106" i="13"/>
  <c r="B107" i="13"/>
  <c r="B108" i="13"/>
  <c r="C108" i="13" s="1"/>
  <c r="B109" i="13"/>
  <c r="C109" i="13" s="1"/>
  <c r="B110" i="13"/>
  <c r="C110" i="13" s="1"/>
  <c r="B111" i="13"/>
  <c r="C111" i="13" s="1"/>
  <c r="B112" i="13"/>
  <c r="C112" i="13" s="1"/>
  <c r="B113" i="13"/>
  <c r="C113" i="13" s="1"/>
  <c r="B114" i="13"/>
  <c r="C114" i="13" s="1"/>
  <c r="B115" i="13"/>
  <c r="C115" i="13" s="1"/>
  <c r="B116" i="13"/>
  <c r="C116" i="13" s="1"/>
  <c r="B117" i="13"/>
  <c r="C117" i="13" s="1"/>
  <c r="B118" i="13"/>
  <c r="C118" i="13" s="1"/>
  <c r="B119" i="13"/>
  <c r="C119" i="13" s="1"/>
  <c r="B120" i="13"/>
  <c r="B121" i="13"/>
  <c r="B122" i="13"/>
  <c r="B123" i="13"/>
  <c r="B124" i="13"/>
  <c r="B125" i="13"/>
  <c r="B126" i="13"/>
  <c r="B127" i="13"/>
  <c r="B128" i="13"/>
  <c r="C128" i="13" s="1"/>
  <c r="B129" i="13"/>
  <c r="C129" i="13" s="1"/>
  <c r="B130" i="13"/>
  <c r="C130" i="13" s="1"/>
  <c r="B131" i="13"/>
  <c r="C131" i="13" s="1"/>
  <c r="B132" i="13"/>
  <c r="C132" i="13" s="1"/>
  <c r="B133" i="13"/>
  <c r="C133" i="13" s="1"/>
  <c r="B134" i="13"/>
  <c r="C134" i="13" s="1"/>
  <c r="B135" i="13"/>
  <c r="C135" i="13" s="1"/>
  <c r="B136" i="13"/>
  <c r="C136" i="13" s="1"/>
  <c r="B137" i="13"/>
  <c r="C137" i="13" s="1"/>
  <c r="B138" i="13"/>
  <c r="C138" i="13" s="1"/>
  <c r="B139" i="13"/>
  <c r="C139" i="13" s="1"/>
  <c r="B140" i="13"/>
  <c r="B141" i="13"/>
  <c r="B142" i="13"/>
  <c r="B143" i="13"/>
  <c r="B144" i="13"/>
  <c r="B145" i="13"/>
  <c r="B146" i="13"/>
  <c r="B147" i="13"/>
  <c r="B148" i="13"/>
  <c r="C148" i="13" s="1"/>
  <c r="B149" i="13"/>
  <c r="C149" i="13" s="1"/>
  <c r="B150" i="13"/>
  <c r="C150" i="13" s="1"/>
  <c r="B151" i="13"/>
  <c r="C151" i="13" s="1"/>
  <c r="B152" i="13"/>
  <c r="B153" i="13"/>
  <c r="C153" i="13" s="1"/>
  <c r="B154" i="13"/>
  <c r="C154" i="13" s="1"/>
  <c r="B155" i="13"/>
  <c r="C155" i="13" s="1"/>
  <c r="B156" i="13"/>
  <c r="C156" i="13" s="1"/>
  <c r="B157" i="13"/>
  <c r="C157" i="13" s="1"/>
  <c r="B158" i="13"/>
  <c r="C158" i="13" s="1"/>
  <c r="B159" i="13"/>
  <c r="C159" i="13" s="1"/>
  <c r="B160" i="13"/>
  <c r="B161" i="13"/>
  <c r="B162" i="13"/>
  <c r="B163" i="13"/>
  <c r="B164" i="13"/>
  <c r="B165" i="13"/>
  <c r="B166" i="13"/>
  <c r="B167" i="13"/>
  <c r="B168" i="13"/>
  <c r="C168" i="13" s="1"/>
  <c r="B169" i="13"/>
  <c r="C169" i="13" s="1"/>
  <c r="B170" i="13"/>
  <c r="C170" i="13" s="1"/>
  <c r="B171" i="13"/>
  <c r="C171" i="13" s="1"/>
  <c r="B172" i="13"/>
  <c r="C172" i="13" s="1"/>
  <c r="B173" i="13"/>
  <c r="C173" i="13" s="1"/>
  <c r="B174" i="13"/>
  <c r="C174" i="13" s="1"/>
  <c r="B175" i="13"/>
  <c r="C175" i="13" s="1"/>
  <c r="B176" i="13"/>
  <c r="C176" i="13" s="1"/>
  <c r="B177" i="13"/>
  <c r="C177" i="13" s="1"/>
  <c r="B178" i="13"/>
  <c r="C178" i="13" s="1"/>
  <c r="B179" i="13"/>
  <c r="C179" i="13" s="1"/>
  <c r="B180" i="13"/>
  <c r="B181" i="13"/>
  <c r="B182" i="13"/>
  <c r="B183" i="13"/>
  <c r="B184" i="13"/>
  <c r="B185" i="13"/>
  <c r="B186" i="13"/>
  <c r="B187" i="13"/>
  <c r="B188" i="13"/>
  <c r="C188" i="13" s="1"/>
  <c r="B189" i="13"/>
  <c r="C189" i="13" s="1"/>
  <c r="B190" i="13"/>
  <c r="C190" i="13" s="1"/>
  <c r="B191" i="13"/>
  <c r="C191" i="13" s="1"/>
  <c r="B192" i="13"/>
  <c r="C192" i="13" s="1"/>
  <c r="B193" i="13"/>
  <c r="C193" i="13" s="1"/>
  <c r="B194" i="13"/>
  <c r="C194" i="13" s="1"/>
  <c r="B195" i="13"/>
  <c r="C195" i="13" s="1"/>
  <c r="B196" i="13"/>
  <c r="C196" i="13" s="1"/>
  <c r="B197" i="13"/>
  <c r="C197" i="13" s="1"/>
  <c r="D21" i="13"/>
  <c r="E21" i="13" s="1"/>
  <c r="D22" i="13"/>
  <c r="E22" i="13" s="1"/>
  <c r="D23" i="13"/>
  <c r="E23" i="13" s="1"/>
  <c r="D24" i="13"/>
  <c r="E24" i="13"/>
  <c r="D25" i="13"/>
  <c r="E25" i="13" s="1"/>
  <c r="D26" i="13"/>
  <c r="E26" i="13"/>
  <c r="D27" i="13"/>
  <c r="E27" i="13" s="1"/>
  <c r="D28" i="13"/>
  <c r="E28" i="13" s="1"/>
  <c r="D29" i="13"/>
  <c r="E29" i="13"/>
  <c r="D30" i="13"/>
  <c r="E30" i="13" s="1"/>
  <c r="D31" i="13"/>
  <c r="E31" i="13" s="1"/>
  <c r="D32" i="13"/>
  <c r="E32" i="13"/>
  <c r="D33" i="13"/>
  <c r="E33" i="13"/>
  <c r="D34" i="13"/>
  <c r="E34" i="13" s="1"/>
  <c r="D35" i="13"/>
  <c r="E35" i="13" s="1"/>
  <c r="D36" i="13"/>
  <c r="E36" i="13" s="1"/>
  <c r="D37" i="13"/>
  <c r="E37" i="13"/>
  <c r="D38" i="13"/>
  <c r="E38" i="13" s="1"/>
  <c r="D39" i="13"/>
  <c r="E39" i="13" s="1"/>
  <c r="D40" i="13"/>
  <c r="E40" i="13" s="1"/>
  <c r="D41" i="13"/>
  <c r="E41" i="13" s="1"/>
  <c r="D42" i="13"/>
  <c r="E42" i="13" s="1"/>
  <c r="D43" i="13"/>
  <c r="E43" i="13" s="1"/>
  <c r="D44" i="13"/>
  <c r="E44" i="13" s="1"/>
  <c r="B7" i="13"/>
  <c r="D27" i="12" a="1"/>
  <c r="D27" i="12" s="1"/>
  <c r="D28" i="12" a="1"/>
  <c r="D28" i="12" s="1"/>
  <c r="D29" i="12" a="1"/>
  <c r="D29" i="12" s="1"/>
  <c r="D30" i="12" a="1"/>
  <c r="D30" i="12" s="1"/>
  <c r="D31" i="12" a="1"/>
  <c r="D31" i="12" s="1"/>
  <c r="D32" i="12" a="1"/>
  <c r="D32" i="12"/>
  <c r="C27" i="12"/>
  <c r="C28" i="12"/>
  <c r="C29" i="12"/>
  <c r="C30" i="12"/>
  <c r="C31" i="12"/>
  <c r="C32" i="12"/>
  <c r="B14" i="12"/>
  <c r="C14" i="12"/>
  <c r="D14" i="12"/>
  <c r="E14" i="12"/>
  <c r="B15" i="12"/>
  <c r="C15" i="12"/>
  <c r="D15" i="12"/>
  <c r="E15" i="12" s="1"/>
  <c r="B16" i="12"/>
  <c r="C16" i="12"/>
  <c r="D16" i="12"/>
  <c r="E16" i="12"/>
  <c r="B17" i="12"/>
  <c r="C17" i="12"/>
  <c r="E17" i="12" s="1"/>
  <c r="D17" i="12"/>
  <c r="B18" i="12"/>
  <c r="C18" i="12"/>
  <c r="D18" i="12"/>
  <c r="E18" i="12"/>
  <c r="B19" i="12"/>
  <c r="C19" i="12"/>
  <c r="E19" i="12" s="1"/>
  <c r="D19" i="12"/>
  <c r="B20" i="12"/>
  <c r="C20" i="12"/>
  <c r="D20" i="12"/>
  <c r="E20" i="12" s="1"/>
  <c r="B21" i="12"/>
  <c r="C21" i="12"/>
  <c r="D21" i="12"/>
  <c r="E21" i="12"/>
  <c r="B22" i="12"/>
  <c r="C22" i="12"/>
  <c r="E22" i="12" s="1"/>
  <c r="D22" i="12"/>
  <c r="B23" i="12"/>
  <c r="C23" i="12"/>
  <c r="D23" i="12"/>
  <c r="E23" i="12" s="1"/>
  <c r="B6" i="12"/>
  <c r="B8" i="12" s="1"/>
  <c r="B10" i="12" s="1"/>
  <c r="B7" i="12"/>
  <c r="B9" i="12"/>
  <c r="B59" i="10"/>
  <c r="C59" i="10" a="1"/>
  <c r="C59" i="10"/>
  <c r="D59" i="10" a="1"/>
  <c r="D59" i="10" s="1"/>
  <c r="B60" i="10"/>
  <c r="C60" i="10" a="1"/>
  <c r="C60" i="10"/>
  <c r="D60" i="10" a="1"/>
  <c r="D60" i="10" s="1"/>
  <c r="B61" i="10"/>
  <c r="C61" i="10" a="1"/>
  <c r="C61" i="10" s="1"/>
  <c r="D61" i="10" a="1"/>
  <c r="D61" i="10" s="1"/>
  <c r="B62" i="10"/>
  <c r="C62" i="10" a="1"/>
  <c r="C62" i="10" s="1"/>
  <c r="D62" i="10" a="1"/>
  <c r="D62" i="10" s="1"/>
  <c r="B63" i="10"/>
  <c r="C63" i="10" a="1"/>
  <c r="C63" i="10" s="1"/>
  <c r="D63" i="10" a="1"/>
  <c r="D63" i="10" s="1"/>
  <c r="B64" i="10"/>
  <c r="C64" i="10" a="1"/>
  <c r="C64" i="10" s="1"/>
  <c r="D64" i="10" a="1"/>
  <c r="D64" i="10" s="1"/>
  <c r="B65" i="10"/>
  <c r="C65" i="10" a="1"/>
  <c r="C65" i="10"/>
  <c r="E65" i="10" s="1"/>
  <c r="D65" i="10" a="1"/>
  <c r="D65" i="10" s="1"/>
  <c r="B7" i="10" a="1"/>
  <c r="B7" i="10"/>
  <c r="C7" i="10" a="1"/>
  <c r="C7" i="10" s="1"/>
  <c r="D7" i="10" a="1"/>
  <c r="D7" i="10" s="1"/>
  <c r="E7" i="10" a="1"/>
  <c r="E7" i="10" s="1"/>
  <c r="F7" i="10" a="1"/>
  <c r="F7" i="10"/>
  <c r="G7" i="10" a="1"/>
  <c r="G7" i="10"/>
  <c r="H7" i="10" a="1"/>
  <c r="H7"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D20" i="10"/>
  <c r="E20" i="10"/>
  <c r="F20" i="10"/>
  <c r="G20" i="10"/>
  <c r="H20" i="10"/>
  <c r="I20" i="10"/>
  <c r="J20" i="10"/>
  <c r="D21" i="10"/>
  <c r="E21" i="10"/>
  <c r="F21" i="10"/>
  <c r="G21" i="10"/>
  <c r="H21" i="10"/>
  <c r="I21" i="10"/>
  <c r="J21" i="10"/>
  <c r="D22" i="10"/>
  <c r="E22" i="10"/>
  <c r="F22" i="10"/>
  <c r="G22" i="10"/>
  <c r="H22" i="10"/>
  <c r="I22" i="10"/>
  <c r="J22" i="10"/>
  <c r="D23" i="10"/>
  <c r="E23" i="10"/>
  <c r="F23" i="10"/>
  <c r="G23" i="10"/>
  <c r="H23" i="10"/>
  <c r="I23" i="10"/>
  <c r="J23" i="10"/>
  <c r="D24" i="10"/>
  <c r="E24" i="10"/>
  <c r="F24" i="10"/>
  <c r="G24" i="10"/>
  <c r="H24" i="10"/>
  <c r="I24" i="10"/>
  <c r="J24" i="10"/>
  <c r="D25" i="10"/>
  <c r="E25" i="10"/>
  <c r="F25" i="10"/>
  <c r="G25" i="10"/>
  <c r="H25" i="10"/>
  <c r="I25" i="10"/>
  <c r="J25" i="10"/>
  <c r="D26" i="10"/>
  <c r="E26" i="10"/>
  <c r="F26" i="10"/>
  <c r="G26" i="10"/>
  <c r="H26" i="10"/>
  <c r="I26" i="10"/>
  <c r="J26" i="10"/>
  <c r="D27" i="10"/>
  <c r="E27" i="10"/>
  <c r="F27" i="10"/>
  <c r="G27" i="10"/>
  <c r="H27" i="10"/>
  <c r="I27" i="10"/>
  <c r="J27" i="10"/>
  <c r="D28" i="10"/>
  <c r="E28" i="10"/>
  <c r="F28" i="10"/>
  <c r="G28" i="10"/>
  <c r="H28" i="10"/>
  <c r="I28" i="10"/>
  <c r="J28" i="10"/>
  <c r="D29" i="10"/>
  <c r="E29" i="10"/>
  <c r="F29" i="10"/>
  <c r="G29" i="10"/>
  <c r="H29" i="10"/>
  <c r="I29" i="10"/>
  <c r="J29" i="10"/>
  <c r="D30" i="10"/>
  <c r="E30" i="10"/>
  <c r="F30" i="10"/>
  <c r="G30" i="10"/>
  <c r="H30" i="10"/>
  <c r="I30" i="10"/>
  <c r="J30" i="10"/>
  <c r="D31" i="10"/>
  <c r="E31" i="10"/>
  <c r="F31" i="10"/>
  <c r="G31" i="10"/>
  <c r="H31" i="10"/>
  <c r="I31" i="10"/>
  <c r="J31" i="10"/>
  <c r="D32" i="10"/>
  <c r="E32" i="10"/>
  <c r="F32" i="10"/>
  <c r="G32" i="10"/>
  <c r="H32" i="10"/>
  <c r="I32" i="10"/>
  <c r="J32" i="10"/>
  <c r="D33" i="10"/>
  <c r="E33" i="10"/>
  <c r="F33" i="10"/>
  <c r="G33" i="10"/>
  <c r="H33" i="10"/>
  <c r="I33" i="10"/>
  <c r="J33" i="10"/>
  <c r="D34" i="10"/>
  <c r="E34" i="10"/>
  <c r="F34" i="10"/>
  <c r="G34" i="10"/>
  <c r="H34" i="10"/>
  <c r="I34" i="10"/>
  <c r="J34" i="10"/>
  <c r="D35" i="10"/>
  <c r="E35" i="10"/>
  <c r="F35" i="10"/>
  <c r="G35" i="10"/>
  <c r="H35" i="10"/>
  <c r="I35" i="10"/>
  <c r="J35" i="10"/>
  <c r="D36" i="10"/>
  <c r="E36" i="10"/>
  <c r="F36" i="10"/>
  <c r="G36" i="10"/>
  <c r="H36" i="10"/>
  <c r="I36" i="10"/>
  <c r="J36" i="10"/>
  <c r="D37" i="10"/>
  <c r="E37" i="10"/>
  <c r="F37" i="10"/>
  <c r="G37" i="10"/>
  <c r="H37" i="10"/>
  <c r="I37" i="10"/>
  <c r="J37" i="10"/>
  <c r="D38" i="10"/>
  <c r="E38" i="10"/>
  <c r="F38" i="10"/>
  <c r="G38" i="10"/>
  <c r="H38" i="10"/>
  <c r="I38" i="10"/>
  <c r="J38" i="10"/>
  <c r="D39" i="10"/>
  <c r="E39" i="10"/>
  <c r="F39" i="10"/>
  <c r="G39" i="10"/>
  <c r="H39" i="10"/>
  <c r="I39" i="10"/>
  <c r="J39" i="10"/>
  <c r="D40" i="10"/>
  <c r="E40" i="10"/>
  <c r="F40" i="10"/>
  <c r="G40" i="10"/>
  <c r="H40" i="10"/>
  <c r="I40" i="10"/>
  <c r="J40" i="10"/>
  <c r="D41" i="10"/>
  <c r="E41" i="10"/>
  <c r="F41" i="10"/>
  <c r="G41" i="10"/>
  <c r="H41" i="10"/>
  <c r="I41" i="10"/>
  <c r="J41" i="10"/>
  <c r="D42" i="10"/>
  <c r="E42" i="10"/>
  <c r="F42" i="10"/>
  <c r="G42" i="10"/>
  <c r="H42" i="10"/>
  <c r="I42" i="10"/>
  <c r="J42" i="10"/>
  <c r="D43" i="10"/>
  <c r="E43" i="10"/>
  <c r="F43" i="10"/>
  <c r="G43" i="10"/>
  <c r="H43" i="10"/>
  <c r="I43" i="10"/>
  <c r="J43" i="10"/>
  <c r="D44" i="10"/>
  <c r="E44" i="10"/>
  <c r="F44" i="10"/>
  <c r="G44" i="10"/>
  <c r="H44" i="10"/>
  <c r="I44" i="10"/>
  <c r="J44" i="10"/>
  <c r="D45" i="10"/>
  <c r="E45" i="10"/>
  <c r="F45" i="10"/>
  <c r="G45" i="10"/>
  <c r="H45" i="10"/>
  <c r="I45" i="10"/>
  <c r="J45" i="10"/>
  <c r="D46" i="10"/>
  <c r="E46" i="10"/>
  <c r="F46" i="10"/>
  <c r="G46" i="10"/>
  <c r="H46" i="10"/>
  <c r="I46" i="10"/>
  <c r="J46" i="10"/>
  <c r="D47" i="10"/>
  <c r="E47" i="10"/>
  <c r="F47" i="10"/>
  <c r="G47" i="10"/>
  <c r="H47" i="10"/>
  <c r="I47" i="10"/>
  <c r="J47" i="10"/>
  <c r="D48" i="10"/>
  <c r="E48" i="10"/>
  <c r="F48" i="10"/>
  <c r="G48" i="10"/>
  <c r="H48" i="10"/>
  <c r="I48" i="10"/>
  <c r="J48" i="10"/>
  <c r="D49" i="10"/>
  <c r="E49" i="10"/>
  <c r="F49" i="10"/>
  <c r="G49" i="10"/>
  <c r="H49" i="10"/>
  <c r="I49" i="10"/>
  <c r="J49" i="10"/>
  <c r="D50" i="10"/>
  <c r="E50" i="10"/>
  <c r="F50" i="10"/>
  <c r="G50" i="10"/>
  <c r="H50" i="10"/>
  <c r="I50" i="10"/>
  <c r="J50" i="10"/>
  <c r="D51" i="10"/>
  <c r="E51" i="10"/>
  <c r="F51" i="10"/>
  <c r="G51" i="10"/>
  <c r="H51" i="10"/>
  <c r="I51" i="10"/>
  <c r="J51" i="10"/>
  <c r="D52" i="10"/>
  <c r="E52" i="10"/>
  <c r="F52" i="10"/>
  <c r="G52" i="10"/>
  <c r="H52" i="10"/>
  <c r="I52" i="10"/>
  <c r="J52" i="10"/>
  <c r="D53" i="10"/>
  <c r="E53" i="10"/>
  <c r="F53" i="10"/>
  <c r="G53" i="10"/>
  <c r="H53" i="10"/>
  <c r="I53" i="10"/>
  <c r="J53" i="10"/>
  <c r="D54" i="10"/>
  <c r="E54" i="10"/>
  <c r="F54" i="10"/>
  <c r="G54" i="10"/>
  <c r="H54" i="10"/>
  <c r="I54" i="10"/>
  <c r="J54" i="10"/>
  <c r="D55" i="10"/>
  <c r="E55" i="10"/>
  <c r="F55" i="10"/>
  <c r="G55" i="10"/>
  <c r="H55" i="10"/>
  <c r="I55" i="10"/>
  <c r="J55" i="10"/>
  <c r="B8" i="10"/>
  <c r="C8" i="10"/>
  <c r="D8" i="10"/>
  <c r="E8" i="10"/>
  <c r="F8" i="10"/>
  <c r="G8" i="10"/>
  <c r="H8" i="10"/>
  <c r="I6" i="10"/>
  <c r="B6" i="10"/>
  <c r="C6" i="10"/>
  <c r="D6" i="10"/>
  <c r="E6" i="10"/>
  <c r="F6" i="10"/>
  <c r="G6" i="10"/>
  <c r="H6" i="10"/>
  <c r="B85" i="9"/>
  <c r="C85" i="9" a="1"/>
  <c r="C85" i="9" s="1"/>
  <c r="D85" i="9" a="1"/>
  <c r="D85" i="9" s="1"/>
  <c r="B86" i="9"/>
  <c r="C86" i="9" a="1"/>
  <c r="C86" i="9" s="1"/>
  <c r="D86" i="9" a="1"/>
  <c r="D86" i="9" s="1"/>
  <c r="B87" i="9"/>
  <c r="C87" i="9" a="1"/>
  <c r="C87" i="9" s="1"/>
  <c r="E87" i="9" s="1"/>
  <c r="D87" i="9" a="1"/>
  <c r="D87" i="9"/>
  <c r="B88" i="9"/>
  <c r="C88" i="9" a="1"/>
  <c r="C88" i="9" s="1"/>
  <c r="D88" i="9" a="1"/>
  <c r="D88" i="9" s="1"/>
  <c r="B89" i="9"/>
  <c r="C89" i="9" a="1"/>
  <c r="C89" i="9"/>
  <c r="D89" i="9" a="1"/>
  <c r="D89" i="9" s="1"/>
  <c r="B90" i="9"/>
  <c r="C90" i="9" a="1"/>
  <c r="C90" i="9" s="1"/>
  <c r="D90" i="9" a="1"/>
  <c r="D90" i="9" s="1"/>
  <c r="B91" i="9"/>
  <c r="C91" i="9" a="1"/>
  <c r="C91" i="9" s="1"/>
  <c r="D91" i="9" a="1"/>
  <c r="D91" i="9" s="1"/>
  <c r="B92" i="9"/>
  <c r="C92" i="9" a="1"/>
  <c r="C92" i="9" s="1"/>
  <c r="D92" i="9" a="1"/>
  <c r="D92" i="9" s="1"/>
  <c r="B93" i="9"/>
  <c r="C93" i="9" a="1"/>
  <c r="C93" i="9" s="1"/>
  <c r="D93" i="9" a="1"/>
  <c r="D93" i="9" s="1"/>
  <c r="B94" i="9"/>
  <c r="C94" i="9" a="1"/>
  <c r="C94" i="9"/>
  <c r="D94" i="9" a="1"/>
  <c r="D94" i="9" s="1"/>
  <c r="E94" i="9" s="1"/>
  <c r="B95" i="9"/>
  <c r="C95" i="9" a="1"/>
  <c r="C95" i="9" s="1"/>
  <c r="D95" i="9" a="1"/>
  <c r="D95" i="9" s="1"/>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D18" i="9"/>
  <c r="E18" i="9"/>
  <c r="F18" i="9"/>
  <c r="G18" i="9"/>
  <c r="H18" i="9"/>
  <c r="I18" i="9"/>
  <c r="J18" i="9"/>
  <c r="K18" i="9"/>
  <c r="L18" i="9"/>
  <c r="M18" i="9"/>
  <c r="N18" i="9"/>
  <c r="D19" i="9"/>
  <c r="E19" i="9"/>
  <c r="F19" i="9"/>
  <c r="G19" i="9"/>
  <c r="H19" i="9"/>
  <c r="I19" i="9"/>
  <c r="J19" i="9"/>
  <c r="K19" i="9"/>
  <c r="L19" i="9"/>
  <c r="M19" i="9"/>
  <c r="N19" i="9"/>
  <c r="D20" i="9"/>
  <c r="E20" i="9"/>
  <c r="F20" i="9"/>
  <c r="G20" i="9"/>
  <c r="H20" i="9"/>
  <c r="I20" i="9"/>
  <c r="J20" i="9"/>
  <c r="K20" i="9"/>
  <c r="L20" i="9"/>
  <c r="M20" i="9"/>
  <c r="N20" i="9"/>
  <c r="D21" i="9"/>
  <c r="E21" i="9"/>
  <c r="F21" i="9"/>
  <c r="G21" i="9"/>
  <c r="H21" i="9"/>
  <c r="I21" i="9"/>
  <c r="J21" i="9"/>
  <c r="K21" i="9"/>
  <c r="L21" i="9"/>
  <c r="M21" i="9"/>
  <c r="N21" i="9"/>
  <c r="D22" i="9"/>
  <c r="E22" i="9"/>
  <c r="F22" i="9"/>
  <c r="G22" i="9"/>
  <c r="H22" i="9"/>
  <c r="I22" i="9"/>
  <c r="J22" i="9"/>
  <c r="K22" i="9"/>
  <c r="L22" i="9"/>
  <c r="M22" i="9"/>
  <c r="N22" i="9"/>
  <c r="D23" i="9"/>
  <c r="E23" i="9"/>
  <c r="F23" i="9"/>
  <c r="G23" i="9"/>
  <c r="H23" i="9"/>
  <c r="I23" i="9"/>
  <c r="J23" i="9"/>
  <c r="K23" i="9"/>
  <c r="L23" i="9"/>
  <c r="M23" i="9"/>
  <c r="N23" i="9"/>
  <c r="D24" i="9"/>
  <c r="E24" i="9"/>
  <c r="F24" i="9"/>
  <c r="G24" i="9"/>
  <c r="H24" i="9"/>
  <c r="I24" i="9"/>
  <c r="J24" i="9"/>
  <c r="K24" i="9"/>
  <c r="L24" i="9"/>
  <c r="M24" i="9"/>
  <c r="N24" i="9"/>
  <c r="D25" i="9"/>
  <c r="E25" i="9"/>
  <c r="F25" i="9"/>
  <c r="G25" i="9"/>
  <c r="H25" i="9"/>
  <c r="I25" i="9"/>
  <c r="J25" i="9"/>
  <c r="K25" i="9"/>
  <c r="L25" i="9"/>
  <c r="M25" i="9"/>
  <c r="N25" i="9"/>
  <c r="D26" i="9"/>
  <c r="E26" i="9"/>
  <c r="F26" i="9"/>
  <c r="G26" i="9"/>
  <c r="H26" i="9"/>
  <c r="I26" i="9"/>
  <c r="J26" i="9"/>
  <c r="K26" i="9"/>
  <c r="L26" i="9"/>
  <c r="M26" i="9"/>
  <c r="N26" i="9"/>
  <c r="D27" i="9"/>
  <c r="E27" i="9"/>
  <c r="F27" i="9"/>
  <c r="G27" i="9"/>
  <c r="H27" i="9"/>
  <c r="I27" i="9"/>
  <c r="J27" i="9"/>
  <c r="K27" i="9"/>
  <c r="L27" i="9"/>
  <c r="M27" i="9"/>
  <c r="N27" i="9"/>
  <c r="D28" i="9"/>
  <c r="E28" i="9"/>
  <c r="F28" i="9"/>
  <c r="G28" i="9"/>
  <c r="H28" i="9"/>
  <c r="I28" i="9"/>
  <c r="J28" i="9"/>
  <c r="K28" i="9"/>
  <c r="L28" i="9"/>
  <c r="M28" i="9"/>
  <c r="N28" i="9"/>
  <c r="D29" i="9"/>
  <c r="E29" i="9"/>
  <c r="F29" i="9"/>
  <c r="G29" i="9"/>
  <c r="H29" i="9"/>
  <c r="I29" i="9"/>
  <c r="J29" i="9"/>
  <c r="K29" i="9"/>
  <c r="L29" i="9"/>
  <c r="M29" i="9"/>
  <c r="N29" i="9"/>
  <c r="D30" i="9"/>
  <c r="E30" i="9"/>
  <c r="F30" i="9"/>
  <c r="G30" i="9"/>
  <c r="H30" i="9"/>
  <c r="I30" i="9"/>
  <c r="J30" i="9"/>
  <c r="K30" i="9"/>
  <c r="L30" i="9"/>
  <c r="M30" i="9"/>
  <c r="N30" i="9"/>
  <c r="D31" i="9"/>
  <c r="E31" i="9"/>
  <c r="F31" i="9"/>
  <c r="G31" i="9"/>
  <c r="H31" i="9"/>
  <c r="I31" i="9"/>
  <c r="J31" i="9"/>
  <c r="K31" i="9"/>
  <c r="L31" i="9"/>
  <c r="M31" i="9"/>
  <c r="N31" i="9"/>
  <c r="D32" i="9"/>
  <c r="E32" i="9"/>
  <c r="F32" i="9"/>
  <c r="G32" i="9"/>
  <c r="H32" i="9"/>
  <c r="I32" i="9"/>
  <c r="J32" i="9"/>
  <c r="K32" i="9"/>
  <c r="L32" i="9"/>
  <c r="M32" i="9"/>
  <c r="N32" i="9"/>
  <c r="D33" i="9"/>
  <c r="E33" i="9"/>
  <c r="F33" i="9"/>
  <c r="G33" i="9"/>
  <c r="H33" i="9"/>
  <c r="I33" i="9"/>
  <c r="J33" i="9"/>
  <c r="K33" i="9"/>
  <c r="L33" i="9"/>
  <c r="M33" i="9"/>
  <c r="N33" i="9"/>
  <c r="D34" i="9"/>
  <c r="E34" i="9"/>
  <c r="F34" i="9"/>
  <c r="G34" i="9"/>
  <c r="H34" i="9"/>
  <c r="I34" i="9"/>
  <c r="J34" i="9"/>
  <c r="K34" i="9"/>
  <c r="L34" i="9"/>
  <c r="M34" i="9"/>
  <c r="N34" i="9"/>
  <c r="D35" i="9"/>
  <c r="E35" i="9"/>
  <c r="F35" i="9"/>
  <c r="G35" i="9"/>
  <c r="H35" i="9"/>
  <c r="I35" i="9"/>
  <c r="J35" i="9"/>
  <c r="K35" i="9"/>
  <c r="L35" i="9"/>
  <c r="M35" i="9"/>
  <c r="N35" i="9"/>
  <c r="D36" i="9"/>
  <c r="E36" i="9"/>
  <c r="F36" i="9"/>
  <c r="G36" i="9"/>
  <c r="H36" i="9"/>
  <c r="I36" i="9"/>
  <c r="J36" i="9"/>
  <c r="K36" i="9"/>
  <c r="L36" i="9"/>
  <c r="M36" i="9"/>
  <c r="N36" i="9"/>
  <c r="D37" i="9"/>
  <c r="E37" i="9"/>
  <c r="F37" i="9"/>
  <c r="G37" i="9"/>
  <c r="H37" i="9"/>
  <c r="I37" i="9"/>
  <c r="J37" i="9"/>
  <c r="K37" i="9"/>
  <c r="L37" i="9"/>
  <c r="M37" i="9"/>
  <c r="N37" i="9"/>
  <c r="D38" i="9"/>
  <c r="E38" i="9"/>
  <c r="F38" i="9"/>
  <c r="G38" i="9"/>
  <c r="H38" i="9"/>
  <c r="I38" i="9"/>
  <c r="J38" i="9"/>
  <c r="K38" i="9"/>
  <c r="L38" i="9"/>
  <c r="M38" i="9"/>
  <c r="N38" i="9"/>
  <c r="D39" i="9"/>
  <c r="E39" i="9"/>
  <c r="F39" i="9"/>
  <c r="G39" i="9"/>
  <c r="H39" i="9"/>
  <c r="I39" i="9"/>
  <c r="J39" i="9"/>
  <c r="K39" i="9"/>
  <c r="L39" i="9"/>
  <c r="M39" i="9"/>
  <c r="N39" i="9"/>
  <c r="D40" i="9"/>
  <c r="E40" i="9"/>
  <c r="F40" i="9"/>
  <c r="G40" i="9"/>
  <c r="H40" i="9"/>
  <c r="I40" i="9"/>
  <c r="J40" i="9"/>
  <c r="K40" i="9"/>
  <c r="L40" i="9"/>
  <c r="M40" i="9"/>
  <c r="N40" i="9"/>
  <c r="D41" i="9"/>
  <c r="E41" i="9"/>
  <c r="F41" i="9"/>
  <c r="G41" i="9"/>
  <c r="H41" i="9"/>
  <c r="I41" i="9"/>
  <c r="J41" i="9"/>
  <c r="K41" i="9"/>
  <c r="L41" i="9"/>
  <c r="M41" i="9"/>
  <c r="N41" i="9"/>
  <c r="D42" i="9"/>
  <c r="E42" i="9"/>
  <c r="F42" i="9"/>
  <c r="G42" i="9"/>
  <c r="H42" i="9"/>
  <c r="I42" i="9"/>
  <c r="J42" i="9"/>
  <c r="K42" i="9"/>
  <c r="L42" i="9"/>
  <c r="M42" i="9"/>
  <c r="N42" i="9"/>
  <c r="D43" i="9"/>
  <c r="E43" i="9"/>
  <c r="F43" i="9"/>
  <c r="G43" i="9"/>
  <c r="H43" i="9"/>
  <c r="I43" i="9"/>
  <c r="J43" i="9"/>
  <c r="K43" i="9"/>
  <c r="L43" i="9"/>
  <c r="M43" i="9"/>
  <c r="N43" i="9"/>
  <c r="D44" i="9"/>
  <c r="E44" i="9"/>
  <c r="F44" i="9"/>
  <c r="G44" i="9"/>
  <c r="H44" i="9"/>
  <c r="I44" i="9"/>
  <c r="J44" i="9"/>
  <c r="K44" i="9"/>
  <c r="L44" i="9"/>
  <c r="M44" i="9"/>
  <c r="N44" i="9"/>
  <c r="D45" i="9"/>
  <c r="E45" i="9"/>
  <c r="F45" i="9"/>
  <c r="G45" i="9"/>
  <c r="H45" i="9"/>
  <c r="I45" i="9"/>
  <c r="J45" i="9"/>
  <c r="K45" i="9"/>
  <c r="L45" i="9"/>
  <c r="M45" i="9"/>
  <c r="N45" i="9"/>
  <c r="D46" i="9"/>
  <c r="E46" i="9"/>
  <c r="F46" i="9"/>
  <c r="G46" i="9"/>
  <c r="H46" i="9"/>
  <c r="I46" i="9"/>
  <c r="J46" i="9"/>
  <c r="K46" i="9"/>
  <c r="L46" i="9"/>
  <c r="M46" i="9"/>
  <c r="N46" i="9"/>
  <c r="D47" i="9"/>
  <c r="E47" i="9"/>
  <c r="F47" i="9"/>
  <c r="G47" i="9"/>
  <c r="H47" i="9"/>
  <c r="I47" i="9"/>
  <c r="J47" i="9"/>
  <c r="K47" i="9"/>
  <c r="L47" i="9"/>
  <c r="M47" i="9"/>
  <c r="N47" i="9"/>
  <c r="D48" i="9"/>
  <c r="E48" i="9"/>
  <c r="F48" i="9"/>
  <c r="G48" i="9"/>
  <c r="H48" i="9"/>
  <c r="I48" i="9"/>
  <c r="J48" i="9"/>
  <c r="K48" i="9"/>
  <c r="L48" i="9"/>
  <c r="M48" i="9"/>
  <c r="N48" i="9"/>
  <c r="D49" i="9"/>
  <c r="E49" i="9"/>
  <c r="F49" i="9"/>
  <c r="G49" i="9"/>
  <c r="H49" i="9"/>
  <c r="I49" i="9"/>
  <c r="J49" i="9"/>
  <c r="K49" i="9"/>
  <c r="L49" i="9"/>
  <c r="M49" i="9"/>
  <c r="N49" i="9"/>
  <c r="D50" i="9"/>
  <c r="E50" i="9"/>
  <c r="F50" i="9"/>
  <c r="G50" i="9"/>
  <c r="H50" i="9"/>
  <c r="I50" i="9"/>
  <c r="J50" i="9"/>
  <c r="K50" i="9"/>
  <c r="L50" i="9"/>
  <c r="M50" i="9"/>
  <c r="N50" i="9"/>
  <c r="D51" i="9"/>
  <c r="E51" i="9"/>
  <c r="F51" i="9"/>
  <c r="G51" i="9"/>
  <c r="H51" i="9"/>
  <c r="I51" i="9"/>
  <c r="J51" i="9"/>
  <c r="K51" i="9"/>
  <c r="L51" i="9"/>
  <c r="M51" i="9"/>
  <c r="N51" i="9"/>
  <c r="D52" i="9"/>
  <c r="E52" i="9"/>
  <c r="F52" i="9"/>
  <c r="G52" i="9"/>
  <c r="H52" i="9"/>
  <c r="I52" i="9"/>
  <c r="J52" i="9"/>
  <c r="K52" i="9"/>
  <c r="L52" i="9"/>
  <c r="M52" i="9"/>
  <c r="N52" i="9"/>
  <c r="D53" i="9"/>
  <c r="E53" i="9"/>
  <c r="F53" i="9"/>
  <c r="G53" i="9"/>
  <c r="H53" i="9"/>
  <c r="I53" i="9"/>
  <c r="J53" i="9"/>
  <c r="K53" i="9"/>
  <c r="L53" i="9"/>
  <c r="M53" i="9"/>
  <c r="N53" i="9"/>
  <c r="D54" i="9"/>
  <c r="E54" i="9"/>
  <c r="F54" i="9"/>
  <c r="G54" i="9"/>
  <c r="H54" i="9"/>
  <c r="I54" i="9"/>
  <c r="J54" i="9"/>
  <c r="K54" i="9"/>
  <c r="L54" i="9"/>
  <c r="M54" i="9"/>
  <c r="N54" i="9"/>
  <c r="D55" i="9"/>
  <c r="E55" i="9"/>
  <c r="F55" i="9"/>
  <c r="G55" i="9"/>
  <c r="H55" i="9"/>
  <c r="I55" i="9"/>
  <c r="J55" i="9"/>
  <c r="K55" i="9"/>
  <c r="L55" i="9"/>
  <c r="M55" i="9"/>
  <c r="N55" i="9"/>
  <c r="D56" i="9"/>
  <c r="E56" i="9"/>
  <c r="F56" i="9"/>
  <c r="G56" i="9"/>
  <c r="H56" i="9"/>
  <c r="I56" i="9"/>
  <c r="J56" i="9"/>
  <c r="K56" i="9"/>
  <c r="L56" i="9"/>
  <c r="M56" i="9"/>
  <c r="N56" i="9"/>
  <c r="D57" i="9"/>
  <c r="E57" i="9"/>
  <c r="F57" i="9"/>
  <c r="G57" i="9"/>
  <c r="H57" i="9"/>
  <c r="I57" i="9"/>
  <c r="J57" i="9"/>
  <c r="K57" i="9"/>
  <c r="L57" i="9"/>
  <c r="M57" i="9"/>
  <c r="N57" i="9"/>
  <c r="D58" i="9"/>
  <c r="E58" i="9"/>
  <c r="F58" i="9"/>
  <c r="G58" i="9"/>
  <c r="H58" i="9"/>
  <c r="I58" i="9"/>
  <c r="J58" i="9"/>
  <c r="K58" i="9"/>
  <c r="L58" i="9"/>
  <c r="M58" i="9"/>
  <c r="N58" i="9"/>
  <c r="D59" i="9"/>
  <c r="E59" i="9"/>
  <c r="F59" i="9"/>
  <c r="G59" i="9"/>
  <c r="H59" i="9"/>
  <c r="I59" i="9"/>
  <c r="J59" i="9"/>
  <c r="K59" i="9"/>
  <c r="L59" i="9"/>
  <c r="M59" i="9"/>
  <c r="N59" i="9"/>
  <c r="D60" i="9"/>
  <c r="E60" i="9"/>
  <c r="F60" i="9"/>
  <c r="G60" i="9"/>
  <c r="H60" i="9"/>
  <c r="I60" i="9"/>
  <c r="J60" i="9"/>
  <c r="K60" i="9"/>
  <c r="L60" i="9"/>
  <c r="M60" i="9"/>
  <c r="N60" i="9"/>
  <c r="D61" i="9"/>
  <c r="E61" i="9"/>
  <c r="F61" i="9"/>
  <c r="G61" i="9"/>
  <c r="H61" i="9"/>
  <c r="I61" i="9"/>
  <c r="J61" i="9"/>
  <c r="K61" i="9"/>
  <c r="L61" i="9"/>
  <c r="M61" i="9"/>
  <c r="N61" i="9"/>
  <c r="D62" i="9"/>
  <c r="E62" i="9"/>
  <c r="F62" i="9"/>
  <c r="G62" i="9"/>
  <c r="H62" i="9"/>
  <c r="I62" i="9"/>
  <c r="J62" i="9"/>
  <c r="K62" i="9"/>
  <c r="L62" i="9"/>
  <c r="M62" i="9"/>
  <c r="N62" i="9"/>
  <c r="D63" i="9"/>
  <c r="E63" i="9"/>
  <c r="F63" i="9"/>
  <c r="G63" i="9"/>
  <c r="H63" i="9"/>
  <c r="I63" i="9"/>
  <c r="J63" i="9"/>
  <c r="K63" i="9"/>
  <c r="L63" i="9"/>
  <c r="M63" i="9"/>
  <c r="N63" i="9"/>
  <c r="D64" i="9"/>
  <c r="E64" i="9"/>
  <c r="F64" i="9"/>
  <c r="G64" i="9"/>
  <c r="H64" i="9"/>
  <c r="I64" i="9"/>
  <c r="J64" i="9"/>
  <c r="K64" i="9"/>
  <c r="L64" i="9"/>
  <c r="M64" i="9"/>
  <c r="N64" i="9"/>
  <c r="D65" i="9"/>
  <c r="E65" i="9"/>
  <c r="F65" i="9"/>
  <c r="G65" i="9"/>
  <c r="H65" i="9"/>
  <c r="I65" i="9"/>
  <c r="J65" i="9"/>
  <c r="K65" i="9"/>
  <c r="L65" i="9"/>
  <c r="M65" i="9"/>
  <c r="N65" i="9"/>
  <c r="D66" i="9"/>
  <c r="E66" i="9"/>
  <c r="F66" i="9"/>
  <c r="G66" i="9"/>
  <c r="H66" i="9"/>
  <c r="I66" i="9"/>
  <c r="J66" i="9"/>
  <c r="K66" i="9"/>
  <c r="L66" i="9"/>
  <c r="M66" i="9"/>
  <c r="N66" i="9"/>
  <c r="D67" i="9"/>
  <c r="E67" i="9"/>
  <c r="F67" i="9"/>
  <c r="G67" i="9"/>
  <c r="H67" i="9"/>
  <c r="I67" i="9"/>
  <c r="J67" i="9"/>
  <c r="K67" i="9"/>
  <c r="L67" i="9"/>
  <c r="M67" i="9"/>
  <c r="N67" i="9"/>
  <c r="D68" i="9"/>
  <c r="E68" i="9"/>
  <c r="F68" i="9"/>
  <c r="G68" i="9"/>
  <c r="H68" i="9"/>
  <c r="I68" i="9"/>
  <c r="J68" i="9"/>
  <c r="K68" i="9"/>
  <c r="L68" i="9"/>
  <c r="M68" i="9"/>
  <c r="N68" i="9"/>
  <c r="D69" i="9"/>
  <c r="E69" i="9"/>
  <c r="F69" i="9"/>
  <c r="G69" i="9"/>
  <c r="H69" i="9"/>
  <c r="I69" i="9"/>
  <c r="J69" i="9"/>
  <c r="K69" i="9"/>
  <c r="L69" i="9"/>
  <c r="M69" i="9"/>
  <c r="N69" i="9"/>
  <c r="D70" i="9"/>
  <c r="E70" i="9"/>
  <c r="F70" i="9"/>
  <c r="G70" i="9"/>
  <c r="H70" i="9"/>
  <c r="I70" i="9"/>
  <c r="J70" i="9"/>
  <c r="K70" i="9"/>
  <c r="L70" i="9"/>
  <c r="M70" i="9"/>
  <c r="N70" i="9"/>
  <c r="D71" i="9"/>
  <c r="E71" i="9"/>
  <c r="F71" i="9"/>
  <c r="G71" i="9"/>
  <c r="H71" i="9"/>
  <c r="I71" i="9"/>
  <c r="J71" i="9"/>
  <c r="K71" i="9"/>
  <c r="L71" i="9"/>
  <c r="M71" i="9"/>
  <c r="N71" i="9"/>
  <c r="D72" i="9"/>
  <c r="E72" i="9"/>
  <c r="F72" i="9"/>
  <c r="G72" i="9"/>
  <c r="H72" i="9"/>
  <c r="I72" i="9"/>
  <c r="J72" i="9"/>
  <c r="K72" i="9"/>
  <c r="L72" i="9"/>
  <c r="M72" i="9"/>
  <c r="N72" i="9"/>
  <c r="D73" i="9"/>
  <c r="E73" i="9"/>
  <c r="F73" i="9"/>
  <c r="G73" i="9"/>
  <c r="H73" i="9"/>
  <c r="I73" i="9"/>
  <c r="J73" i="9"/>
  <c r="K73" i="9"/>
  <c r="L73" i="9"/>
  <c r="M73" i="9"/>
  <c r="N73" i="9"/>
  <c r="D74" i="9"/>
  <c r="E74" i="9"/>
  <c r="F74" i="9"/>
  <c r="G74" i="9"/>
  <c r="H74" i="9"/>
  <c r="I74" i="9"/>
  <c r="J74" i="9"/>
  <c r="K74" i="9"/>
  <c r="L74" i="9"/>
  <c r="M74" i="9"/>
  <c r="N74" i="9"/>
  <c r="D75" i="9"/>
  <c r="E75" i="9"/>
  <c r="F75" i="9"/>
  <c r="G75" i="9"/>
  <c r="H75" i="9"/>
  <c r="I75" i="9"/>
  <c r="J75" i="9"/>
  <c r="K75" i="9"/>
  <c r="L75" i="9"/>
  <c r="M75" i="9"/>
  <c r="N75" i="9"/>
  <c r="D76" i="9"/>
  <c r="E76" i="9"/>
  <c r="F76" i="9"/>
  <c r="G76" i="9"/>
  <c r="H76" i="9"/>
  <c r="I76" i="9"/>
  <c r="J76" i="9"/>
  <c r="K76" i="9"/>
  <c r="L76" i="9"/>
  <c r="M76" i="9"/>
  <c r="N76" i="9"/>
  <c r="D77" i="9"/>
  <c r="E77" i="9"/>
  <c r="F77" i="9"/>
  <c r="G77" i="9"/>
  <c r="H77" i="9"/>
  <c r="I77" i="9"/>
  <c r="J77" i="9"/>
  <c r="K77" i="9"/>
  <c r="L77" i="9"/>
  <c r="M77" i="9"/>
  <c r="N77" i="9"/>
  <c r="D78" i="9"/>
  <c r="E78" i="9"/>
  <c r="F78" i="9"/>
  <c r="G78" i="9"/>
  <c r="H78" i="9"/>
  <c r="I78" i="9"/>
  <c r="J78" i="9"/>
  <c r="K78" i="9"/>
  <c r="L78" i="9"/>
  <c r="M78" i="9"/>
  <c r="N78" i="9"/>
  <c r="D79" i="9"/>
  <c r="E79" i="9"/>
  <c r="F79" i="9"/>
  <c r="G79" i="9"/>
  <c r="H79" i="9"/>
  <c r="I79" i="9"/>
  <c r="J79" i="9"/>
  <c r="K79" i="9"/>
  <c r="L79" i="9"/>
  <c r="M79" i="9"/>
  <c r="N79" i="9"/>
  <c r="D80" i="9"/>
  <c r="E80" i="9"/>
  <c r="F80" i="9"/>
  <c r="G80" i="9"/>
  <c r="H80" i="9"/>
  <c r="I80" i="9"/>
  <c r="J80" i="9"/>
  <c r="K80" i="9"/>
  <c r="L80" i="9"/>
  <c r="M80" i="9"/>
  <c r="N80" i="9"/>
  <c r="D81" i="9"/>
  <c r="E81" i="9"/>
  <c r="F81" i="9"/>
  <c r="G81" i="9"/>
  <c r="H81" i="9"/>
  <c r="I81" i="9"/>
  <c r="J81" i="9"/>
  <c r="K81" i="9"/>
  <c r="L81" i="9"/>
  <c r="M81" i="9"/>
  <c r="N81" i="9"/>
  <c r="B7" i="9"/>
  <c r="C7" i="9"/>
  <c r="D7" i="9"/>
  <c r="E7" i="9"/>
  <c r="F7" i="9"/>
  <c r="G7" i="9"/>
  <c r="H7" i="9"/>
  <c r="I7" i="9"/>
  <c r="J7" i="9"/>
  <c r="K7" i="9"/>
  <c r="L7" i="9"/>
  <c r="M6" i="9"/>
  <c r="B6" i="9"/>
  <c r="C6" i="9"/>
  <c r="D6" i="9"/>
  <c r="E6" i="9"/>
  <c r="F6" i="9"/>
  <c r="G6" i="9"/>
  <c r="H6" i="9"/>
  <c r="I6" i="9"/>
  <c r="J6" i="9"/>
  <c r="K6" i="9"/>
  <c r="L6" i="9"/>
  <c r="B46" i="8"/>
  <c r="C46" i="8" a="1"/>
  <c r="C46" i="8" s="1"/>
  <c r="E46" i="8" s="1"/>
  <c r="D46" i="8" a="1"/>
  <c r="D46" i="8"/>
  <c r="B47" i="8"/>
  <c r="C47" i="8" a="1"/>
  <c r="C47" i="8" s="1"/>
  <c r="E47" i="8" s="1"/>
  <c r="D47" i="8" a="1"/>
  <c r="D47" i="8"/>
  <c r="B48" i="8"/>
  <c r="C48" i="8" a="1"/>
  <c r="C48" i="8"/>
  <c r="D48" i="8" a="1"/>
  <c r="D48" i="8"/>
  <c r="E48" i="8"/>
  <c r="B49" i="8"/>
  <c r="C49" i="8" a="1"/>
  <c r="C49" i="8" s="1"/>
  <c r="D49" i="8" a="1"/>
  <c r="D49" i="8" s="1"/>
  <c r="B50" i="8"/>
  <c r="C50" i="8" a="1"/>
  <c r="C50" i="8"/>
  <c r="D50" i="8" a="1"/>
  <c r="D50" i="8" s="1"/>
  <c r="E50" i="8" s="1"/>
  <c r="B51" i="8"/>
  <c r="C51" i="8" a="1"/>
  <c r="C51" i="8" s="1"/>
  <c r="D51" i="8" a="1"/>
  <c r="D51" i="8" s="1"/>
  <c r="B52" i="8"/>
  <c r="C52" i="8" a="1"/>
  <c r="C52" i="8" s="1"/>
  <c r="D52" i="8" a="1"/>
  <c r="D52" i="8" s="1"/>
  <c r="B53" i="8"/>
  <c r="C53" i="8" a="1"/>
  <c r="C53" i="8"/>
  <c r="D53" i="8" a="1"/>
  <c r="D53" i="8"/>
  <c r="E53" i="8"/>
  <c r="B54" i="8"/>
  <c r="C54" i="8" a="1"/>
  <c r="C54" i="8" s="1"/>
  <c r="D54" i="8" a="1"/>
  <c r="D54" i="8" s="1"/>
  <c r="B55" i="8"/>
  <c r="C55" i="8" a="1"/>
  <c r="C55" i="8" s="1"/>
  <c r="D55" i="8" a="1"/>
  <c r="D55" i="8" s="1"/>
  <c r="N23" i="8"/>
  <c r="N24" i="8"/>
  <c r="N25" i="8"/>
  <c r="N26" i="8"/>
  <c r="N27" i="8"/>
  <c r="N28" i="8"/>
  <c r="N29" i="8"/>
  <c r="N30" i="8"/>
  <c r="N31" i="8"/>
  <c r="N32" i="8"/>
  <c r="N33" i="8"/>
  <c r="N34" i="8"/>
  <c r="N35" i="8"/>
  <c r="N36" i="8"/>
  <c r="N37" i="8"/>
  <c r="N38" i="8"/>
  <c r="N39" i="8"/>
  <c r="N40" i="8"/>
  <c r="N41" i="8"/>
  <c r="N42" i="8"/>
  <c r="D23" i="8"/>
  <c r="E23" i="8"/>
  <c r="F23" i="8"/>
  <c r="G23" i="8"/>
  <c r="H23" i="8"/>
  <c r="I23" i="8"/>
  <c r="J23" i="8"/>
  <c r="K23" i="8"/>
  <c r="L23" i="8"/>
  <c r="M23" i="8"/>
  <c r="D24" i="8"/>
  <c r="E24" i="8"/>
  <c r="F24" i="8"/>
  <c r="G24" i="8"/>
  <c r="H24" i="8"/>
  <c r="I24" i="8"/>
  <c r="J24" i="8"/>
  <c r="K24" i="8"/>
  <c r="L24" i="8"/>
  <c r="M24" i="8"/>
  <c r="D25" i="8"/>
  <c r="E25" i="8"/>
  <c r="F25" i="8"/>
  <c r="G25" i="8"/>
  <c r="H25" i="8"/>
  <c r="I25" i="8"/>
  <c r="J25" i="8"/>
  <c r="K25" i="8"/>
  <c r="L25" i="8"/>
  <c r="M25" i="8"/>
  <c r="D26" i="8"/>
  <c r="E26" i="8"/>
  <c r="F26" i="8"/>
  <c r="G26" i="8"/>
  <c r="H26" i="8"/>
  <c r="I26" i="8"/>
  <c r="J26" i="8"/>
  <c r="K26" i="8"/>
  <c r="L26" i="8"/>
  <c r="M26" i="8"/>
  <c r="D27" i="8"/>
  <c r="E27" i="8"/>
  <c r="F27" i="8"/>
  <c r="G27" i="8"/>
  <c r="H27" i="8"/>
  <c r="I27" i="8"/>
  <c r="J27" i="8"/>
  <c r="K27" i="8"/>
  <c r="L27" i="8"/>
  <c r="M27" i="8"/>
  <c r="D28" i="8"/>
  <c r="E28" i="8"/>
  <c r="F28" i="8"/>
  <c r="G28" i="8"/>
  <c r="H28" i="8"/>
  <c r="I28" i="8"/>
  <c r="J28" i="8"/>
  <c r="K28" i="8"/>
  <c r="L28" i="8"/>
  <c r="M28" i="8"/>
  <c r="D29" i="8"/>
  <c r="E29" i="8"/>
  <c r="F29" i="8"/>
  <c r="G29" i="8"/>
  <c r="H29" i="8"/>
  <c r="I29" i="8"/>
  <c r="J29" i="8"/>
  <c r="K29" i="8"/>
  <c r="L29" i="8"/>
  <c r="M29" i="8"/>
  <c r="D30" i="8"/>
  <c r="E30" i="8"/>
  <c r="F30" i="8"/>
  <c r="G30" i="8"/>
  <c r="H30" i="8"/>
  <c r="I30" i="8"/>
  <c r="J30" i="8"/>
  <c r="K30" i="8"/>
  <c r="L30" i="8"/>
  <c r="M30" i="8"/>
  <c r="D31" i="8"/>
  <c r="E31" i="8"/>
  <c r="F31" i="8"/>
  <c r="G31" i="8"/>
  <c r="H31" i="8"/>
  <c r="I31" i="8"/>
  <c r="J31" i="8"/>
  <c r="K31" i="8"/>
  <c r="L31" i="8"/>
  <c r="M31" i="8"/>
  <c r="D32" i="8"/>
  <c r="E32" i="8"/>
  <c r="F32" i="8"/>
  <c r="G32" i="8"/>
  <c r="H32" i="8"/>
  <c r="I32" i="8"/>
  <c r="J32" i="8"/>
  <c r="K32" i="8"/>
  <c r="L32" i="8"/>
  <c r="M32" i="8"/>
  <c r="D33" i="8"/>
  <c r="E33" i="8"/>
  <c r="F33" i="8"/>
  <c r="G33" i="8"/>
  <c r="H33" i="8"/>
  <c r="I33" i="8"/>
  <c r="J33" i="8"/>
  <c r="K33" i="8"/>
  <c r="L33" i="8"/>
  <c r="M33" i="8"/>
  <c r="D34" i="8"/>
  <c r="E34" i="8"/>
  <c r="F34" i="8"/>
  <c r="G34" i="8"/>
  <c r="H34" i="8"/>
  <c r="I34" i="8"/>
  <c r="J34" i="8"/>
  <c r="K34" i="8"/>
  <c r="L34" i="8"/>
  <c r="M34" i="8"/>
  <c r="D35" i="8"/>
  <c r="E35" i="8"/>
  <c r="F35" i="8"/>
  <c r="G35" i="8"/>
  <c r="H35" i="8"/>
  <c r="I35" i="8"/>
  <c r="J35" i="8"/>
  <c r="K35" i="8"/>
  <c r="L35" i="8"/>
  <c r="M35" i="8"/>
  <c r="D36" i="8"/>
  <c r="E36" i="8"/>
  <c r="F36" i="8"/>
  <c r="G36" i="8"/>
  <c r="H36" i="8"/>
  <c r="I36" i="8"/>
  <c r="J36" i="8"/>
  <c r="K36" i="8"/>
  <c r="L36" i="8"/>
  <c r="M36" i="8"/>
  <c r="D37" i="8"/>
  <c r="E37" i="8"/>
  <c r="F37" i="8"/>
  <c r="G37" i="8"/>
  <c r="H37" i="8"/>
  <c r="I37" i="8"/>
  <c r="J37" i="8"/>
  <c r="K37" i="8"/>
  <c r="L37" i="8"/>
  <c r="M37" i="8"/>
  <c r="D38" i="8"/>
  <c r="E38" i="8"/>
  <c r="F38" i="8"/>
  <c r="G38" i="8"/>
  <c r="H38" i="8"/>
  <c r="I38" i="8"/>
  <c r="J38" i="8"/>
  <c r="K38" i="8"/>
  <c r="L38" i="8"/>
  <c r="M38" i="8"/>
  <c r="D39" i="8"/>
  <c r="E39" i="8"/>
  <c r="F39" i="8"/>
  <c r="G39" i="8"/>
  <c r="H39" i="8"/>
  <c r="I39" i="8"/>
  <c r="J39" i="8"/>
  <c r="K39" i="8"/>
  <c r="L39" i="8"/>
  <c r="M39" i="8"/>
  <c r="D40" i="8"/>
  <c r="E40" i="8"/>
  <c r="F40" i="8"/>
  <c r="G40" i="8"/>
  <c r="H40" i="8"/>
  <c r="I40" i="8"/>
  <c r="J40" i="8"/>
  <c r="K40" i="8"/>
  <c r="L40" i="8"/>
  <c r="M40" i="8"/>
  <c r="D41" i="8"/>
  <c r="E41" i="8"/>
  <c r="F41" i="8"/>
  <c r="G41" i="8"/>
  <c r="H41" i="8"/>
  <c r="I41" i="8"/>
  <c r="J41" i="8"/>
  <c r="K41" i="8"/>
  <c r="L41" i="8"/>
  <c r="M41" i="8"/>
  <c r="D42" i="8"/>
  <c r="E42" i="8"/>
  <c r="F42" i="8"/>
  <c r="G42" i="8"/>
  <c r="H42" i="8"/>
  <c r="I42" i="8"/>
  <c r="J42" i="8"/>
  <c r="K42" i="8"/>
  <c r="L42" i="8"/>
  <c r="M42" i="8"/>
  <c r="D18" i="8"/>
  <c r="E18" i="8"/>
  <c r="F18" i="8"/>
  <c r="G18" i="8"/>
  <c r="H18" i="8"/>
  <c r="I18" i="8"/>
  <c r="J18" i="8"/>
  <c r="K18" i="8"/>
  <c r="L18" i="8"/>
  <c r="M18" i="8"/>
  <c r="D19" i="8"/>
  <c r="E19" i="8"/>
  <c r="F19" i="8"/>
  <c r="G19" i="8"/>
  <c r="H19" i="8"/>
  <c r="I19" i="8"/>
  <c r="J19" i="8"/>
  <c r="K19" i="8"/>
  <c r="L19" i="8"/>
  <c r="M19" i="8"/>
  <c r="B7" i="8"/>
  <c r="C7" i="8"/>
  <c r="D7" i="8"/>
  <c r="E7" i="8"/>
  <c r="F7" i="8"/>
  <c r="G7" i="8"/>
  <c r="H7" i="8"/>
  <c r="I7" i="8"/>
  <c r="J7" i="8"/>
  <c r="K7" i="8"/>
  <c r="L6" i="8"/>
  <c r="B6" i="8"/>
  <c r="C6" i="8"/>
  <c r="D6" i="8"/>
  <c r="E6" i="8"/>
  <c r="F6" i="8"/>
  <c r="G6" i="8"/>
  <c r="H6" i="8"/>
  <c r="I6" i="8"/>
  <c r="J6" i="8"/>
  <c r="K6" i="8"/>
  <c r="I40" i="7"/>
  <c r="I44" i="7"/>
  <c r="I45" i="7"/>
  <c r="I48" i="7"/>
  <c r="I49" i="7"/>
  <c r="I60" i="7"/>
  <c r="D30" i="7"/>
  <c r="I30" i="7" s="1"/>
  <c r="E30" i="7"/>
  <c r="F30" i="7"/>
  <c r="G30" i="7"/>
  <c r="H30" i="7"/>
  <c r="D31" i="7"/>
  <c r="I31" i="7" s="1"/>
  <c r="E31" i="7"/>
  <c r="F31" i="7"/>
  <c r="G31" i="7"/>
  <c r="H31" i="7"/>
  <c r="D32" i="7"/>
  <c r="I32" i="7" s="1"/>
  <c r="E32" i="7"/>
  <c r="F32" i="7"/>
  <c r="G32" i="7"/>
  <c r="H32" i="7"/>
  <c r="D33" i="7"/>
  <c r="E33" i="7"/>
  <c r="I33" i="7" s="1"/>
  <c r="F33" i="7"/>
  <c r="G33" i="7"/>
  <c r="H33" i="7"/>
  <c r="D34" i="7"/>
  <c r="I34" i="7" s="1"/>
  <c r="E34" i="7"/>
  <c r="F34" i="7"/>
  <c r="G34" i="7"/>
  <c r="H34" i="7"/>
  <c r="D35" i="7"/>
  <c r="I35" i="7" s="1"/>
  <c r="E35" i="7"/>
  <c r="F35" i="7"/>
  <c r="G35" i="7"/>
  <c r="H35" i="7"/>
  <c r="D36" i="7"/>
  <c r="I36" i="7" s="1"/>
  <c r="E36" i="7"/>
  <c r="F36" i="7"/>
  <c r="G36" i="7"/>
  <c r="H36" i="7"/>
  <c r="D37" i="7"/>
  <c r="I37" i="7" s="1"/>
  <c r="E37" i="7"/>
  <c r="F37" i="7"/>
  <c r="G37" i="7"/>
  <c r="H37" i="7"/>
  <c r="D38" i="7"/>
  <c r="I38" i="7" s="1"/>
  <c r="E38" i="7"/>
  <c r="F38" i="7"/>
  <c r="G38" i="7"/>
  <c r="H38" i="7"/>
  <c r="D39" i="7"/>
  <c r="I39" i="7" s="1"/>
  <c r="E39" i="7"/>
  <c r="F39" i="7"/>
  <c r="G39" i="7"/>
  <c r="H39" i="7"/>
  <c r="D40" i="7"/>
  <c r="E40" i="7"/>
  <c r="F40" i="7"/>
  <c r="G40" i="7"/>
  <c r="H40" i="7"/>
  <c r="D41" i="7"/>
  <c r="E41" i="7"/>
  <c r="F41" i="7"/>
  <c r="G41" i="7"/>
  <c r="H41" i="7"/>
  <c r="I41" i="7" s="1"/>
  <c r="D42" i="7"/>
  <c r="I42" i="7" s="1"/>
  <c r="E42" i="7"/>
  <c r="F42" i="7"/>
  <c r="G42" i="7"/>
  <c r="H42" i="7"/>
  <c r="D43" i="7"/>
  <c r="I43" i="7" s="1"/>
  <c r="E43" i="7"/>
  <c r="F43" i="7"/>
  <c r="G43" i="7"/>
  <c r="H43" i="7"/>
  <c r="D44" i="7"/>
  <c r="E44" i="7"/>
  <c r="F44" i="7"/>
  <c r="G44" i="7"/>
  <c r="H44" i="7"/>
  <c r="D45" i="7"/>
  <c r="E45" i="7"/>
  <c r="F45" i="7"/>
  <c r="G45" i="7"/>
  <c r="H45" i="7"/>
  <c r="D46" i="7"/>
  <c r="E46" i="7"/>
  <c r="F46" i="7"/>
  <c r="G46" i="7"/>
  <c r="H46" i="7"/>
  <c r="I46" i="7" s="1"/>
  <c r="D47" i="7"/>
  <c r="I47" i="7" s="1"/>
  <c r="E47" i="7"/>
  <c r="F47" i="7"/>
  <c r="G47" i="7"/>
  <c r="H47" i="7"/>
  <c r="D48" i="7"/>
  <c r="E48" i="7"/>
  <c r="F48" i="7"/>
  <c r="G48" i="7"/>
  <c r="H48" i="7"/>
  <c r="D49" i="7"/>
  <c r="E49" i="7"/>
  <c r="F49" i="7"/>
  <c r="G49" i="7"/>
  <c r="H49" i="7"/>
  <c r="D50" i="7"/>
  <c r="I50" i="7" s="1"/>
  <c r="E50" i="7"/>
  <c r="F50" i="7"/>
  <c r="G50" i="7"/>
  <c r="H50" i="7"/>
  <c r="D51" i="7"/>
  <c r="I51" i="7" s="1"/>
  <c r="E51" i="7"/>
  <c r="F51" i="7"/>
  <c r="G51" i="7"/>
  <c r="H51" i="7"/>
  <c r="D52" i="7"/>
  <c r="I52" i="7" s="1"/>
  <c r="E52" i="7"/>
  <c r="F52" i="7"/>
  <c r="G52" i="7"/>
  <c r="H52" i="7"/>
  <c r="D53" i="7"/>
  <c r="E53" i="7"/>
  <c r="I53" i="7" s="1"/>
  <c r="F53" i="7"/>
  <c r="G53" i="7"/>
  <c r="H53" i="7"/>
  <c r="D54" i="7"/>
  <c r="I54" i="7" s="1"/>
  <c r="E54" i="7"/>
  <c r="F54" i="7"/>
  <c r="G54" i="7"/>
  <c r="H54" i="7"/>
  <c r="D55" i="7"/>
  <c r="I55" i="7" s="1"/>
  <c r="E55" i="7"/>
  <c r="F55" i="7"/>
  <c r="G55" i="7"/>
  <c r="H55" i="7"/>
  <c r="D56" i="7"/>
  <c r="I56" i="7" s="1"/>
  <c r="E56" i="7"/>
  <c r="F56" i="7"/>
  <c r="G56" i="7"/>
  <c r="H56" i="7"/>
  <c r="D57" i="7"/>
  <c r="I57" i="7" s="1"/>
  <c r="E57" i="7"/>
  <c r="F57" i="7"/>
  <c r="G57" i="7"/>
  <c r="H57" i="7"/>
  <c r="D58" i="7"/>
  <c r="I58" i="7" s="1"/>
  <c r="E58" i="7"/>
  <c r="F58" i="7"/>
  <c r="G58" i="7"/>
  <c r="H58" i="7"/>
  <c r="D59" i="7"/>
  <c r="I59" i="7" s="1"/>
  <c r="E59" i="7"/>
  <c r="F59" i="7"/>
  <c r="G59" i="7"/>
  <c r="H59" i="7"/>
  <c r="D60" i="7"/>
  <c r="E60" i="7"/>
  <c r="F60" i="7"/>
  <c r="G60" i="7"/>
  <c r="H60" i="7"/>
  <c r="D61" i="7"/>
  <c r="E61" i="7"/>
  <c r="F61" i="7"/>
  <c r="G61" i="7"/>
  <c r="H61" i="7"/>
  <c r="I61" i="7" s="1"/>
  <c r="D18" i="7"/>
  <c r="E18" i="7"/>
  <c r="F18" i="7"/>
  <c r="G18" i="7"/>
  <c r="H18" i="7"/>
  <c r="D19" i="7"/>
  <c r="E19" i="7"/>
  <c r="F19" i="7"/>
  <c r="G19" i="7"/>
  <c r="H19" i="7"/>
  <c r="D20" i="7"/>
  <c r="E20" i="7"/>
  <c r="F20" i="7"/>
  <c r="G20" i="7"/>
  <c r="H20" i="7"/>
  <c r="D21" i="7"/>
  <c r="E21" i="7"/>
  <c r="F21" i="7"/>
  <c r="G21" i="7"/>
  <c r="H21" i="7"/>
  <c r="D22" i="7"/>
  <c r="E22" i="7"/>
  <c r="F22" i="7"/>
  <c r="G22" i="7"/>
  <c r="H22" i="7"/>
  <c r="D23" i="7"/>
  <c r="E23" i="7"/>
  <c r="F23" i="7"/>
  <c r="G23" i="7"/>
  <c r="H23" i="7"/>
  <c r="D24" i="7"/>
  <c r="E24" i="7"/>
  <c r="F24" i="7"/>
  <c r="G24" i="7"/>
  <c r="H24" i="7"/>
  <c r="D25" i="7"/>
  <c r="E25" i="7"/>
  <c r="F25" i="7"/>
  <c r="G25" i="7"/>
  <c r="H25" i="7"/>
  <c r="D26" i="7"/>
  <c r="E26" i="7"/>
  <c r="F26" i="7"/>
  <c r="G26" i="7"/>
  <c r="H26" i="7"/>
  <c r="D27" i="7"/>
  <c r="E27" i="7"/>
  <c r="F27" i="7"/>
  <c r="G27" i="7"/>
  <c r="H27" i="7"/>
  <c r="B7" i="7"/>
  <c r="B6" i="7"/>
  <c r="G6" i="7" s="1"/>
  <c r="C6" i="7"/>
  <c r="C7" i="7" s="1"/>
  <c r="D6" i="7"/>
  <c r="D7" i="7" s="1"/>
  <c r="E6" i="7"/>
  <c r="E7" i="7" s="1"/>
  <c r="F6" i="7"/>
  <c r="F7" i="7" s="1"/>
  <c r="H20" i="6"/>
  <c r="H21" i="6"/>
  <c r="H22" i="6"/>
  <c r="H23" i="6"/>
  <c r="H30" i="6"/>
  <c r="H35" i="6"/>
  <c r="H36" i="6"/>
  <c r="D18" i="6"/>
  <c r="E18" i="6"/>
  <c r="H18" i="6" s="1"/>
  <c r="F18" i="6"/>
  <c r="G18" i="6"/>
  <c r="D19" i="6"/>
  <c r="H19" i="6" s="1"/>
  <c r="E19" i="6"/>
  <c r="F19" i="6"/>
  <c r="G19" i="6"/>
  <c r="D20" i="6"/>
  <c r="E20" i="6"/>
  <c r="F20" i="6"/>
  <c r="G20" i="6"/>
  <c r="D21" i="6"/>
  <c r="E21" i="6"/>
  <c r="F21" i="6"/>
  <c r="G21" i="6"/>
  <c r="D22" i="6"/>
  <c r="E22" i="6"/>
  <c r="F22" i="6"/>
  <c r="G22" i="6"/>
  <c r="D23" i="6"/>
  <c r="E23" i="6"/>
  <c r="F23" i="6"/>
  <c r="G23" i="6"/>
  <c r="D24" i="6"/>
  <c r="E24" i="6"/>
  <c r="F24" i="6"/>
  <c r="G24" i="6"/>
  <c r="H24" i="6" s="1"/>
  <c r="D25" i="6"/>
  <c r="H25" i="6" s="1"/>
  <c r="E25" i="6"/>
  <c r="F25" i="6"/>
  <c r="G25" i="6"/>
  <c r="D26" i="6"/>
  <c r="H26" i="6" s="1"/>
  <c r="E26" i="6"/>
  <c r="F26" i="6"/>
  <c r="G26" i="6"/>
  <c r="D27" i="6"/>
  <c r="H27" i="6" s="1"/>
  <c r="E27" i="6"/>
  <c r="F27" i="6"/>
  <c r="G27" i="6"/>
  <c r="D28" i="6"/>
  <c r="H28" i="6" s="1"/>
  <c r="E28" i="6"/>
  <c r="F28" i="6"/>
  <c r="G28" i="6"/>
  <c r="D29" i="6"/>
  <c r="H29" i="6" s="1"/>
  <c r="E29" i="6"/>
  <c r="F29" i="6"/>
  <c r="G29" i="6"/>
  <c r="D30" i="6"/>
  <c r="E30" i="6"/>
  <c r="F30" i="6"/>
  <c r="G30" i="6"/>
  <c r="D31" i="6"/>
  <c r="H31" i="6" s="1"/>
  <c r="E31" i="6"/>
  <c r="F31" i="6"/>
  <c r="G31" i="6"/>
  <c r="D32" i="6"/>
  <c r="H32" i="6" s="1"/>
  <c r="E32" i="6"/>
  <c r="F32" i="6"/>
  <c r="G32" i="6"/>
  <c r="D33" i="6"/>
  <c r="H33" i="6" s="1"/>
  <c r="E33" i="6"/>
  <c r="F33" i="6"/>
  <c r="G33" i="6"/>
  <c r="D34" i="6"/>
  <c r="H34" i="6" s="1"/>
  <c r="E34" i="6"/>
  <c r="F34" i="6"/>
  <c r="G34" i="6"/>
  <c r="D35" i="6"/>
  <c r="E35" i="6"/>
  <c r="F35" i="6"/>
  <c r="G35" i="6"/>
  <c r="D36" i="6"/>
  <c r="E36" i="6"/>
  <c r="F36" i="6"/>
  <c r="G36" i="6"/>
  <c r="B7" i="6"/>
  <c r="B6" i="6"/>
  <c r="F6" i="6" s="1"/>
  <c r="C6" i="6"/>
  <c r="C7" i="6" s="1"/>
  <c r="D6" i="6"/>
  <c r="D7" i="6" s="1"/>
  <c r="E6" i="6"/>
  <c r="E7" i="6" s="1"/>
  <c r="B61" i="5"/>
  <c r="C61" i="5" a="1"/>
  <c r="C61" i="5" s="1"/>
  <c r="D61" i="5" s="1"/>
  <c r="B62" i="5"/>
  <c r="C62" i="5" a="1"/>
  <c r="C62" i="5" s="1"/>
  <c r="D62" i="5" s="1"/>
  <c r="B63" i="5"/>
  <c r="C63" i="5" a="1"/>
  <c r="C63" i="5" s="1"/>
  <c r="D63" i="5" s="1"/>
  <c r="B64" i="5"/>
  <c r="C64" i="5" a="1"/>
  <c r="C64" i="5" s="1"/>
  <c r="D64" i="5" s="1"/>
  <c r="B65" i="5"/>
  <c r="C65" i="5" a="1"/>
  <c r="C65" i="5" s="1"/>
  <c r="D65" i="5" s="1"/>
  <c r="B66" i="5"/>
  <c r="C66" i="5" a="1"/>
  <c r="C66" i="5" s="1"/>
  <c r="D66" i="5" s="1"/>
  <c r="B67" i="5"/>
  <c r="C67" i="5" a="1"/>
  <c r="C67" i="5"/>
  <c r="D67" i="5"/>
  <c r="B68" i="5"/>
  <c r="C68" i="5" a="1"/>
  <c r="C68" i="5" s="1"/>
  <c r="D68" i="5" s="1"/>
  <c r="B69" i="5"/>
  <c r="C69" i="5" a="1"/>
  <c r="C69" i="5" s="1"/>
  <c r="D69" i="5" s="1"/>
  <c r="B70" i="5"/>
  <c r="C70" i="5" a="1"/>
  <c r="C70" i="5" s="1"/>
  <c r="D70" i="5" s="1"/>
  <c r="B71" i="5"/>
  <c r="C71" i="5" a="1"/>
  <c r="C71" i="5" s="1"/>
  <c r="D71" i="5" s="1"/>
  <c r="B72" i="5"/>
  <c r="C72" i="5" a="1"/>
  <c r="C72" i="5" s="1"/>
  <c r="D72" i="5" s="1"/>
  <c r="B73" i="5"/>
  <c r="C73" i="5" a="1"/>
  <c r="C73" i="5" s="1"/>
  <c r="D73" i="5" s="1"/>
  <c r="B74" i="5"/>
  <c r="C74" i="5" a="1"/>
  <c r="C74" i="5" s="1"/>
  <c r="D74" i="5" s="1"/>
  <c r="R25" i="5"/>
  <c r="R36" i="5"/>
  <c r="R45" i="5"/>
  <c r="R55" i="5"/>
  <c r="R56" i="5"/>
  <c r="D17" i="5"/>
  <c r="R17" i="5" s="1"/>
  <c r="E17" i="5"/>
  <c r="F17" i="5"/>
  <c r="G17" i="5"/>
  <c r="H17" i="5"/>
  <c r="I17" i="5"/>
  <c r="J17" i="5"/>
  <c r="K17" i="5"/>
  <c r="L17" i="5"/>
  <c r="M17" i="5"/>
  <c r="N17" i="5"/>
  <c r="O17" i="5"/>
  <c r="P17" i="5"/>
  <c r="Q17" i="5"/>
  <c r="D18" i="5"/>
  <c r="E18" i="5"/>
  <c r="F18" i="5"/>
  <c r="G18" i="5"/>
  <c r="H18" i="5"/>
  <c r="I18" i="5"/>
  <c r="J18" i="5"/>
  <c r="K18" i="5"/>
  <c r="R18" i="5" s="1"/>
  <c r="L18" i="5"/>
  <c r="M18" i="5"/>
  <c r="N18" i="5"/>
  <c r="O18" i="5"/>
  <c r="P18" i="5"/>
  <c r="Q18" i="5"/>
  <c r="D19" i="5"/>
  <c r="R19" i="5" s="1"/>
  <c r="E19" i="5"/>
  <c r="F19" i="5"/>
  <c r="G19" i="5"/>
  <c r="H19" i="5"/>
  <c r="I19" i="5"/>
  <c r="J19" i="5"/>
  <c r="K19" i="5"/>
  <c r="L19" i="5"/>
  <c r="M19" i="5"/>
  <c r="N19" i="5"/>
  <c r="O19" i="5"/>
  <c r="P19" i="5"/>
  <c r="Q19" i="5"/>
  <c r="D20" i="5"/>
  <c r="E20" i="5"/>
  <c r="R20" i="5" s="1"/>
  <c r="F20" i="5"/>
  <c r="G20" i="5"/>
  <c r="H20" i="5"/>
  <c r="I20" i="5"/>
  <c r="J20" i="5"/>
  <c r="K20" i="5"/>
  <c r="L20" i="5"/>
  <c r="M20" i="5"/>
  <c r="N20" i="5"/>
  <c r="O20" i="5"/>
  <c r="P20" i="5"/>
  <c r="Q20" i="5"/>
  <c r="D21" i="5"/>
  <c r="E21" i="5"/>
  <c r="F21" i="5"/>
  <c r="G21" i="5"/>
  <c r="H21" i="5"/>
  <c r="I21" i="5"/>
  <c r="J21" i="5"/>
  <c r="K21" i="5"/>
  <c r="L21" i="5"/>
  <c r="R21" i="5" s="1"/>
  <c r="M21" i="5"/>
  <c r="N21" i="5"/>
  <c r="O21" i="5"/>
  <c r="P21" i="5"/>
  <c r="Q21" i="5"/>
  <c r="D22" i="5"/>
  <c r="R22" i="5" s="1"/>
  <c r="E22" i="5"/>
  <c r="F22" i="5"/>
  <c r="G22" i="5"/>
  <c r="H22" i="5"/>
  <c r="I22" i="5"/>
  <c r="J22" i="5"/>
  <c r="K22" i="5"/>
  <c r="L22" i="5"/>
  <c r="M22" i="5"/>
  <c r="N22" i="5"/>
  <c r="O22" i="5"/>
  <c r="P22" i="5"/>
  <c r="Q22" i="5"/>
  <c r="D23" i="5"/>
  <c r="E23" i="5"/>
  <c r="F23" i="5"/>
  <c r="R23" i="5" s="1"/>
  <c r="G23" i="5"/>
  <c r="H23" i="5"/>
  <c r="I23" i="5"/>
  <c r="J23" i="5"/>
  <c r="K23" i="5"/>
  <c r="L23" i="5"/>
  <c r="M23" i="5"/>
  <c r="N23" i="5"/>
  <c r="O23" i="5"/>
  <c r="P23" i="5"/>
  <c r="Q23" i="5"/>
  <c r="D24" i="5"/>
  <c r="E24" i="5"/>
  <c r="F24" i="5"/>
  <c r="G24" i="5"/>
  <c r="H24" i="5"/>
  <c r="I24" i="5"/>
  <c r="J24" i="5"/>
  <c r="K24" i="5"/>
  <c r="L24" i="5"/>
  <c r="M24" i="5"/>
  <c r="R24" i="5" s="1"/>
  <c r="N24" i="5"/>
  <c r="O24" i="5"/>
  <c r="P24" i="5"/>
  <c r="Q24" i="5"/>
  <c r="D25" i="5"/>
  <c r="E25" i="5"/>
  <c r="F25" i="5"/>
  <c r="G25" i="5"/>
  <c r="H25" i="5"/>
  <c r="I25" i="5"/>
  <c r="J25" i="5"/>
  <c r="K25" i="5"/>
  <c r="L25" i="5"/>
  <c r="M25" i="5"/>
  <c r="N25" i="5"/>
  <c r="O25" i="5"/>
  <c r="P25" i="5"/>
  <c r="Q25" i="5"/>
  <c r="D26" i="5"/>
  <c r="E26" i="5"/>
  <c r="F26" i="5"/>
  <c r="G26" i="5"/>
  <c r="R26" i="5" s="1"/>
  <c r="H26" i="5"/>
  <c r="I26" i="5"/>
  <c r="J26" i="5"/>
  <c r="K26" i="5"/>
  <c r="L26" i="5"/>
  <c r="M26" i="5"/>
  <c r="N26" i="5"/>
  <c r="O26" i="5"/>
  <c r="P26" i="5"/>
  <c r="Q26" i="5"/>
  <c r="D27" i="5"/>
  <c r="E27" i="5"/>
  <c r="F27" i="5"/>
  <c r="G27" i="5"/>
  <c r="H27" i="5"/>
  <c r="I27" i="5"/>
  <c r="J27" i="5"/>
  <c r="K27" i="5"/>
  <c r="L27" i="5"/>
  <c r="M27" i="5"/>
  <c r="N27" i="5"/>
  <c r="R27" i="5" s="1"/>
  <c r="O27" i="5"/>
  <c r="P27" i="5"/>
  <c r="Q27" i="5"/>
  <c r="D28" i="5"/>
  <c r="R28" i="5" s="1"/>
  <c r="E28" i="5"/>
  <c r="F28" i="5"/>
  <c r="G28" i="5"/>
  <c r="H28" i="5"/>
  <c r="I28" i="5"/>
  <c r="J28" i="5"/>
  <c r="K28" i="5"/>
  <c r="L28" i="5"/>
  <c r="M28" i="5"/>
  <c r="N28" i="5"/>
  <c r="O28" i="5"/>
  <c r="P28" i="5"/>
  <c r="Q28" i="5"/>
  <c r="D29" i="5"/>
  <c r="R29" i="5" s="1"/>
  <c r="E29" i="5"/>
  <c r="F29" i="5"/>
  <c r="G29" i="5"/>
  <c r="H29" i="5"/>
  <c r="I29" i="5"/>
  <c r="J29" i="5"/>
  <c r="K29" i="5"/>
  <c r="L29" i="5"/>
  <c r="M29" i="5"/>
  <c r="N29" i="5"/>
  <c r="O29" i="5"/>
  <c r="P29" i="5"/>
  <c r="Q29" i="5"/>
  <c r="D30" i="5"/>
  <c r="R30" i="5" s="1"/>
  <c r="E30" i="5"/>
  <c r="F30" i="5"/>
  <c r="G30" i="5"/>
  <c r="H30" i="5"/>
  <c r="I30" i="5"/>
  <c r="J30" i="5"/>
  <c r="K30" i="5"/>
  <c r="L30" i="5"/>
  <c r="M30" i="5"/>
  <c r="N30" i="5"/>
  <c r="O30" i="5"/>
  <c r="P30" i="5"/>
  <c r="Q30" i="5"/>
  <c r="D31" i="5"/>
  <c r="R31" i="5" s="1"/>
  <c r="E31" i="5"/>
  <c r="F31" i="5"/>
  <c r="G31" i="5"/>
  <c r="H31" i="5"/>
  <c r="I31" i="5"/>
  <c r="J31" i="5"/>
  <c r="K31" i="5"/>
  <c r="L31" i="5"/>
  <c r="M31" i="5"/>
  <c r="N31" i="5"/>
  <c r="O31" i="5"/>
  <c r="P31" i="5"/>
  <c r="Q31" i="5"/>
  <c r="D32" i="5"/>
  <c r="R32" i="5" s="1"/>
  <c r="E32" i="5"/>
  <c r="F32" i="5"/>
  <c r="G32" i="5"/>
  <c r="H32" i="5"/>
  <c r="I32" i="5"/>
  <c r="J32" i="5"/>
  <c r="K32" i="5"/>
  <c r="L32" i="5"/>
  <c r="M32" i="5"/>
  <c r="N32" i="5"/>
  <c r="O32" i="5"/>
  <c r="P32" i="5"/>
  <c r="Q32" i="5"/>
  <c r="D33" i="5"/>
  <c r="R33" i="5" s="1"/>
  <c r="E33" i="5"/>
  <c r="F33" i="5"/>
  <c r="G33" i="5"/>
  <c r="H33" i="5"/>
  <c r="I33" i="5"/>
  <c r="J33" i="5"/>
  <c r="K33" i="5"/>
  <c r="L33" i="5"/>
  <c r="M33" i="5"/>
  <c r="N33" i="5"/>
  <c r="O33" i="5"/>
  <c r="P33" i="5"/>
  <c r="Q33" i="5"/>
  <c r="D34" i="5"/>
  <c r="R34" i="5" s="1"/>
  <c r="E34" i="5"/>
  <c r="F34" i="5"/>
  <c r="G34" i="5"/>
  <c r="H34" i="5"/>
  <c r="I34" i="5"/>
  <c r="J34" i="5"/>
  <c r="K34" i="5"/>
  <c r="L34" i="5"/>
  <c r="M34" i="5"/>
  <c r="N34" i="5"/>
  <c r="O34" i="5"/>
  <c r="P34" i="5"/>
  <c r="Q34" i="5"/>
  <c r="D35" i="5"/>
  <c r="E35" i="5"/>
  <c r="F35" i="5"/>
  <c r="R35" i="5" s="1"/>
  <c r="G35" i="5"/>
  <c r="H35" i="5"/>
  <c r="I35" i="5"/>
  <c r="J35" i="5"/>
  <c r="K35" i="5"/>
  <c r="L35" i="5"/>
  <c r="M35" i="5"/>
  <c r="N35" i="5"/>
  <c r="O35" i="5"/>
  <c r="P35" i="5"/>
  <c r="Q35" i="5"/>
  <c r="D36" i="5"/>
  <c r="E36" i="5"/>
  <c r="F36" i="5"/>
  <c r="G36" i="5"/>
  <c r="H36" i="5"/>
  <c r="I36" i="5"/>
  <c r="J36" i="5"/>
  <c r="K36" i="5"/>
  <c r="L36" i="5"/>
  <c r="M36" i="5"/>
  <c r="N36" i="5"/>
  <c r="O36" i="5"/>
  <c r="P36" i="5"/>
  <c r="Q36" i="5"/>
  <c r="D37" i="5"/>
  <c r="R37" i="5" s="1"/>
  <c r="E37" i="5"/>
  <c r="F37" i="5"/>
  <c r="G37" i="5"/>
  <c r="H37" i="5"/>
  <c r="I37" i="5"/>
  <c r="J37" i="5"/>
  <c r="K37" i="5"/>
  <c r="L37" i="5"/>
  <c r="M37" i="5"/>
  <c r="N37" i="5"/>
  <c r="O37" i="5"/>
  <c r="P37" i="5"/>
  <c r="Q37" i="5"/>
  <c r="D38" i="5"/>
  <c r="E38" i="5"/>
  <c r="F38" i="5"/>
  <c r="G38" i="5"/>
  <c r="H38" i="5"/>
  <c r="I38" i="5"/>
  <c r="J38" i="5"/>
  <c r="K38" i="5"/>
  <c r="R38" i="5" s="1"/>
  <c r="L38" i="5"/>
  <c r="M38" i="5"/>
  <c r="N38" i="5"/>
  <c r="O38" i="5"/>
  <c r="P38" i="5"/>
  <c r="Q38" i="5"/>
  <c r="D39" i="5"/>
  <c r="R39" i="5" s="1"/>
  <c r="E39" i="5"/>
  <c r="F39" i="5"/>
  <c r="G39" i="5"/>
  <c r="H39" i="5"/>
  <c r="I39" i="5"/>
  <c r="J39" i="5"/>
  <c r="K39" i="5"/>
  <c r="L39" i="5"/>
  <c r="M39" i="5"/>
  <c r="N39" i="5"/>
  <c r="O39" i="5"/>
  <c r="P39" i="5"/>
  <c r="Q39" i="5"/>
  <c r="D40" i="5"/>
  <c r="E40" i="5"/>
  <c r="R40" i="5" s="1"/>
  <c r="F40" i="5"/>
  <c r="G40" i="5"/>
  <c r="H40" i="5"/>
  <c r="I40" i="5"/>
  <c r="J40" i="5"/>
  <c r="K40" i="5"/>
  <c r="L40" i="5"/>
  <c r="M40" i="5"/>
  <c r="N40" i="5"/>
  <c r="O40" i="5"/>
  <c r="P40" i="5"/>
  <c r="Q40" i="5"/>
  <c r="D41" i="5"/>
  <c r="E41" i="5"/>
  <c r="F41" i="5"/>
  <c r="G41" i="5"/>
  <c r="H41" i="5"/>
  <c r="I41" i="5"/>
  <c r="J41" i="5"/>
  <c r="K41" i="5"/>
  <c r="L41" i="5"/>
  <c r="R41" i="5" s="1"/>
  <c r="M41" i="5"/>
  <c r="N41" i="5"/>
  <c r="O41" i="5"/>
  <c r="P41" i="5"/>
  <c r="Q41" i="5"/>
  <c r="D42" i="5"/>
  <c r="R42" i="5" s="1"/>
  <c r="E42" i="5"/>
  <c r="F42" i="5"/>
  <c r="G42" i="5"/>
  <c r="H42" i="5"/>
  <c r="I42" i="5"/>
  <c r="J42" i="5"/>
  <c r="K42" i="5"/>
  <c r="L42" i="5"/>
  <c r="M42" i="5"/>
  <c r="N42" i="5"/>
  <c r="O42" i="5"/>
  <c r="P42" i="5"/>
  <c r="Q42" i="5"/>
  <c r="D43" i="5"/>
  <c r="E43" i="5"/>
  <c r="F43" i="5"/>
  <c r="R43" i="5" s="1"/>
  <c r="G43" i="5"/>
  <c r="H43" i="5"/>
  <c r="I43" i="5"/>
  <c r="J43" i="5"/>
  <c r="K43" i="5"/>
  <c r="L43" i="5"/>
  <c r="M43" i="5"/>
  <c r="N43" i="5"/>
  <c r="O43" i="5"/>
  <c r="P43" i="5"/>
  <c r="Q43" i="5"/>
  <c r="D44" i="5"/>
  <c r="E44" i="5"/>
  <c r="F44" i="5"/>
  <c r="G44" i="5"/>
  <c r="H44" i="5"/>
  <c r="I44" i="5"/>
  <c r="J44" i="5"/>
  <c r="K44" i="5"/>
  <c r="L44" i="5"/>
  <c r="M44" i="5"/>
  <c r="R44" i="5" s="1"/>
  <c r="N44" i="5"/>
  <c r="O44" i="5"/>
  <c r="P44" i="5"/>
  <c r="Q44" i="5"/>
  <c r="D45" i="5"/>
  <c r="E45" i="5"/>
  <c r="F45" i="5"/>
  <c r="G45" i="5"/>
  <c r="H45" i="5"/>
  <c r="I45" i="5"/>
  <c r="J45" i="5"/>
  <c r="K45" i="5"/>
  <c r="L45" i="5"/>
  <c r="M45" i="5"/>
  <c r="N45" i="5"/>
  <c r="O45" i="5"/>
  <c r="P45" i="5"/>
  <c r="Q45" i="5"/>
  <c r="D46" i="5"/>
  <c r="E46" i="5"/>
  <c r="F46" i="5"/>
  <c r="G46" i="5"/>
  <c r="R46" i="5" s="1"/>
  <c r="H46" i="5"/>
  <c r="I46" i="5"/>
  <c r="J46" i="5"/>
  <c r="K46" i="5"/>
  <c r="L46" i="5"/>
  <c r="M46" i="5"/>
  <c r="N46" i="5"/>
  <c r="O46" i="5"/>
  <c r="P46" i="5"/>
  <c r="Q46" i="5"/>
  <c r="D47" i="5"/>
  <c r="E47" i="5"/>
  <c r="F47" i="5"/>
  <c r="G47" i="5"/>
  <c r="H47" i="5"/>
  <c r="I47" i="5"/>
  <c r="J47" i="5"/>
  <c r="K47" i="5"/>
  <c r="L47" i="5"/>
  <c r="M47" i="5"/>
  <c r="N47" i="5"/>
  <c r="R47" i="5" s="1"/>
  <c r="O47" i="5"/>
  <c r="P47" i="5"/>
  <c r="Q47" i="5"/>
  <c r="D48" i="5"/>
  <c r="R48" i="5" s="1"/>
  <c r="E48" i="5"/>
  <c r="F48" i="5"/>
  <c r="G48" i="5"/>
  <c r="H48" i="5"/>
  <c r="I48" i="5"/>
  <c r="J48" i="5"/>
  <c r="K48" i="5"/>
  <c r="L48" i="5"/>
  <c r="M48" i="5"/>
  <c r="N48" i="5"/>
  <c r="O48" i="5"/>
  <c r="P48" i="5"/>
  <c r="Q48" i="5"/>
  <c r="D49" i="5"/>
  <c r="R49" i="5" s="1"/>
  <c r="E49" i="5"/>
  <c r="F49" i="5"/>
  <c r="G49" i="5"/>
  <c r="H49" i="5"/>
  <c r="I49" i="5"/>
  <c r="J49" i="5"/>
  <c r="K49" i="5"/>
  <c r="L49" i="5"/>
  <c r="M49" i="5"/>
  <c r="N49" i="5"/>
  <c r="O49" i="5"/>
  <c r="P49" i="5"/>
  <c r="Q49" i="5"/>
  <c r="D50" i="5"/>
  <c r="R50" i="5" s="1"/>
  <c r="E50" i="5"/>
  <c r="F50" i="5"/>
  <c r="G50" i="5"/>
  <c r="H50" i="5"/>
  <c r="I50" i="5"/>
  <c r="J50" i="5"/>
  <c r="K50" i="5"/>
  <c r="L50" i="5"/>
  <c r="M50" i="5"/>
  <c r="N50" i="5"/>
  <c r="O50" i="5"/>
  <c r="P50" i="5"/>
  <c r="Q50" i="5"/>
  <c r="D51" i="5"/>
  <c r="R51" i="5" s="1"/>
  <c r="E51" i="5"/>
  <c r="F51" i="5"/>
  <c r="G51" i="5"/>
  <c r="H51" i="5"/>
  <c r="I51" i="5"/>
  <c r="J51" i="5"/>
  <c r="K51" i="5"/>
  <c r="L51" i="5"/>
  <c r="M51" i="5"/>
  <c r="N51" i="5"/>
  <c r="O51" i="5"/>
  <c r="P51" i="5"/>
  <c r="Q51" i="5"/>
  <c r="D52" i="5"/>
  <c r="R52" i="5" s="1"/>
  <c r="E52" i="5"/>
  <c r="F52" i="5"/>
  <c r="G52" i="5"/>
  <c r="H52" i="5"/>
  <c r="I52" i="5"/>
  <c r="J52" i="5"/>
  <c r="K52" i="5"/>
  <c r="L52" i="5"/>
  <c r="M52" i="5"/>
  <c r="N52" i="5"/>
  <c r="O52" i="5"/>
  <c r="P52" i="5"/>
  <c r="Q52" i="5"/>
  <c r="D53" i="5"/>
  <c r="R53" i="5" s="1"/>
  <c r="E53" i="5"/>
  <c r="F53" i="5"/>
  <c r="G53" i="5"/>
  <c r="H53" i="5"/>
  <c r="I53" i="5"/>
  <c r="J53" i="5"/>
  <c r="K53" i="5"/>
  <c r="L53" i="5"/>
  <c r="M53" i="5"/>
  <c r="N53" i="5"/>
  <c r="O53" i="5"/>
  <c r="P53" i="5"/>
  <c r="Q53" i="5"/>
  <c r="D54" i="5"/>
  <c r="R54" i="5" s="1"/>
  <c r="E54" i="5"/>
  <c r="F54" i="5"/>
  <c r="G54" i="5"/>
  <c r="H54" i="5"/>
  <c r="I54" i="5"/>
  <c r="J54" i="5"/>
  <c r="K54" i="5"/>
  <c r="L54" i="5"/>
  <c r="M54" i="5"/>
  <c r="N54" i="5"/>
  <c r="O54" i="5"/>
  <c r="P54" i="5"/>
  <c r="Q54" i="5"/>
  <c r="D55" i="5"/>
  <c r="E55" i="5"/>
  <c r="F55" i="5"/>
  <c r="G55" i="5"/>
  <c r="H55" i="5"/>
  <c r="I55" i="5"/>
  <c r="J55" i="5"/>
  <c r="K55" i="5"/>
  <c r="L55" i="5"/>
  <c r="M55" i="5"/>
  <c r="N55" i="5"/>
  <c r="O55" i="5"/>
  <c r="P55" i="5"/>
  <c r="Q55" i="5"/>
  <c r="D56" i="5"/>
  <c r="E56" i="5"/>
  <c r="F56" i="5"/>
  <c r="G56" i="5"/>
  <c r="H56" i="5"/>
  <c r="I56" i="5"/>
  <c r="J56" i="5"/>
  <c r="K56" i="5"/>
  <c r="L56" i="5"/>
  <c r="M56" i="5"/>
  <c r="N56" i="5"/>
  <c r="O56" i="5"/>
  <c r="P56" i="5"/>
  <c r="Q56" i="5"/>
  <c r="B7" i="5"/>
  <c r="C7" i="5"/>
  <c r="D7" i="5"/>
  <c r="E7" i="5"/>
  <c r="F7" i="5"/>
  <c r="G7" i="5"/>
  <c r="H7" i="5"/>
  <c r="I7" i="5"/>
  <c r="J7" i="5"/>
  <c r="K7" i="5"/>
  <c r="L7" i="5"/>
  <c r="B6" i="5"/>
  <c r="P6" i="5" s="1"/>
  <c r="C6" i="5"/>
  <c r="D6" i="5"/>
  <c r="E6" i="5"/>
  <c r="F6" i="5"/>
  <c r="G6" i="5"/>
  <c r="H6" i="5"/>
  <c r="I6" i="5"/>
  <c r="J6" i="5"/>
  <c r="K6" i="5"/>
  <c r="L6" i="5"/>
  <c r="M6" i="5"/>
  <c r="M7" i="5" s="1"/>
  <c r="N6" i="5"/>
  <c r="N7" i="5" s="1"/>
  <c r="O6" i="5"/>
  <c r="O7" i="5" s="1"/>
  <c r="I23" i="2"/>
  <c r="I33" i="2"/>
  <c r="I37" i="2"/>
  <c r="I38" i="2"/>
  <c r="I41" i="2"/>
  <c r="I42" i="2"/>
  <c r="I43" i="2"/>
  <c r="I53" i="2"/>
  <c r="I55" i="2"/>
  <c r="I57" i="2"/>
  <c r="I58" i="2"/>
  <c r="I61" i="2"/>
  <c r="I62" i="2"/>
  <c r="I63" i="2"/>
  <c r="I73" i="2"/>
  <c r="I77" i="2"/>
  <c r="I78" i="2"/>
  <c r="I81" i="2"/>
  <c r="I82" i="2"/>
  <c r="I83" i="2"/>
  <c r="I93" i="2"/>
  <c r="I97" i="2"/>
  <c r="I98" i="2"/>
  <c r="I101" i="2"/>
  <c r="I102" i="2"/>
  <c r="I103" i="2"/>
  <c r="I113" i="2"/>
  <c r="I117" i="2"/>
  <c r="I118" i="2"/>
  <c r="I121" i="2"/>
  <c r="I122" i="2"/>
  <c r="I123" i="2"/>
  <c r="I133" i="2"/>
  <c r="I137" i="2"/>
  <c r="I138" i="2"/>
  <c r="I141" i="2"/>
  <c r="I142" i="2"/>
  <c r="I143" i="2"/>
  <c r="I152" i="2"/>
  <c r="I153" i="2"/>
  <c r="I155" i="2"/>
  <c r="I157" i="2"/>
  <c r="D23" i="2"/>
  <c r="E23" i="2"/>
  <c r="F23" i="2"/>
  <c r="G23" i="2"/>
  <c r="H23" i="2"/>
  <c r="D24" i="2"/>
  <c r="E24" i="2"/>
  <c r="I24" i="2" s="1"/>
  <c r="F24" i="2"/>
  <c r="G24" i="2"/>
  <c r="H24" i="2"/>
  <c r="D25" i="2"/>
  <c r="I25" i="2" s="1"/>
  <c r="E25" i="2"/>
  <c r="F25" i="2"/>
  <c r="G25" i="2"/>
  <c r="H25" i="2"/>
  <c r="D26" i="2"/>
  <c r="I26" i="2" s="1"/>
  <c r="E26" i="2"/>
  <c r="F26" i="2"/>
  <c r="G26" i="2"/>
  <c r="H26" i="2"/>
  <c r="D27" i="2"/>
  <c r="I27" i="2" s="1"/>
  <c r="E27" i="2"/>
  <c r="F27" i="2"/>
  <c r="G27" i="2"/>
  <c r="H27" i="2"/>
  <c r="D28" i="2"/>
  <c r="I28" i="2" s="1"/>
  <c r="E28" i="2"/>
  <c r="F28" i="2"/>
  <c r="G28" i="2"/>
  <c r="H28" i="2"/>
  <c r="D29" i="2"/>
  <c r="E29" i="2"/>
  <c r="I29" i="2" s="1"/>
  <c r="F29" i="2"/>
  <c r="G29" i="2"/>
  <c r="H29" i="2"/>
  <c r="D30" i="2"/>
  <c r="I30" i="2" s="1"/>
  <c r="E30" i="2"/>
  <c r="F30" i="2"/>
  <c r="G30" i="2"/>
  <c r="H30" i="2"/>
  <c r="D31" i="2"/>
  <c r="I31" i="2" s="1"/>
  <c r="E31" i="2"/>
  <c r="F31" i="2"/>
  <c r="G31" i="2"/>
  <c r="H31" i="2"/>
  <c r="D32" i="2"/>
  <c r="I32" i="2" s="1"/>
  <c r="E32" i="2"/>
  <c r="F32" i="2"/>
  <c r="G32" i="2"/>
  <c r="H32" i="2"/>
  <c r="D33" i="2"/>
  <c r="E33" i="2"/>
  <c r="F33" i="2"/>
  <c r="G33" i="2"/>
  <c r="H33" i="2"/>
  <c r="D34" i="2"/>
  <c r="E34" i="2"/>
  <c r="I34" i="2" s="1"/>
  <c r="F34" i="2"/>
  <c r="G34" i="2"/>
  <c r="H34" i="2"/>
  <c r="D35" i="2"/>
  <c r="I35" i="2" s="1"/>
  <c r="E35" i="2"/>
  <c r="F35" i="2"/>
  <c r="G35" i="2"/>
  <c r="H35" i="2"/>
  <c r="D36" i="2"/>
  <c r="I36" i="2" s="1"/>
  <c r="E36" i="2"/>
  <c r="F36" i="2"/>
  <c r="G36" i="2"/>
  <c r="H36" i="2"/>
  <c r="D37" i="2"/>
  <c r="E37" i="2"/>
  <c r="F37" i="2"/>
  <c r="G37" i="2"/>
  <c r="H37" i="2"/>
  <c r="D38" i="2"/>
  <c r="E38" i="2"/>
  <c r="F38" i="2"/>
  <c r="G38" i="2"/>
  <c r="H38" i="2"/>
  <c r="D39" i="2"/>
  <c r="E39" i="2"/>
  <c r="I39" i="2" s="1"/>
  <c r="F39" i="2"/>
  <c r="G39" i="2"/>
  <c r="H39" i="2"/>
  <c r="D40" i="2"/>
  <c r="I40" i="2" s="1"/>
  <c r="E40" i="2"/>
  <c r="F40" i="2"/>
  <c r="G40" i="2"/>
  <c r="H40" i="2"/>
  <c r="D41" i="2"/>
  <c r="E41" i="2"/>
  <c r="F41" i="2"/>
  <c r="G41" i="2"/>
  <c r="H41" i="2"/>
  <c r="D42" i="2"/>
  <c r="E42" i="2"/>
  <c r="F42" i="2"/>
  <c r="G42" i="2"/>
  <c r="H42" i="2"/>
  <c r="D43" i="2"/>
  <c r="E43" i="2"/>
  <c r="F43" i="2"/>
  <c r="G43" i="2"/>
  <c r="H43" i="2"/>
  <c r="D44" i="2"/>
  <c r="E44" i="2"/>
  <c r="I44" i="2" s="1"/>
  <c r="F44" i="2"/>
  <c r="G44" i="2"/>
  <c r="H44" i="2"/>
  <c r="D45" i="2"/>
  <c r="I45" i="2" s="1"/>
  <c r="E45" i="2"/>
  <c r="F45" i="2"/>
  <c r="G45" i="2"/>
  <c r="H45" i="2"/>
  <c r="D46" i="2"/>
  <c r="I46" i="2" s="1"/>
  <c r="E46" i="2"/>
  <c r="F46" i="2"/>
  <c r="G46" i="2"/>
  <c r="H46" i="2"/>
  <c r="D47" i="2"/>
  <c r="I47" i="2" s="1"/>
  <c r="E47" i="2"/>
  <c r="F47" i="2"/>
  <c r="G47" i="2"/>
  <c r="H47" i="2"/>
  <c r="D48" i="2"/>
  <c r="I48" i="2" s="1"/>
  <c r="E48" i="2"/>
  <c r="F48" i="2"/>
  <c r="G48" i="2"/>
  <c r="H48" i="2"/>
  <c r="D49" i="2"/>
  <c r="E49" i="2"/>
  <c r="I49" i="2" s="1"/>
  <c r="F49" i="2"/>
  <c r="G49" i="2"/>
  <c r="H49" i="2"/>
  <c r="D50" i="2"/>
  <c r="I50" i="2" s="1"/>
  <c r="E50" i="2"/>
  <c r="F50" i="2"/>
  <c r="G50" i="2"/>
  <c r="H50" i="2"/>
  <c r="D51" i="2"/>
  <c r="I51" i="2" s="1"/>
  <c r="E51" i="2"/>
  <c r="F51" i="2"/>
  <c r="G51" i="2"/>
  <c r="H51" i="2"/>
  <c r="D52" i="2"/>
  <c r="I52" i="2" s="1"/>
  <c r="E52" i="2"/>
  <c r="F52" i="2"/>
  <c r="G52" i="2"/>
  <c r="H52" i="2"/>
  <c r="D53" i="2"/>
  <c r="E53" i="2"/>
  <c r="F53" i="2"/>
  <c r="G53" i="2"/>
  <c r="H53" i="2"/>
  <c r="D54" i="2"/>
  <c r="E54" i="2"/>
  <c r="I54" i="2" s="1"/>
  <c r="F54" i="2"/>
  <c r="G54" i="2"/>
  <c r="H54" i="2"/>
  <c r="D55" i="2"/>
  <c r="E55" i="2"/>
  <c r="F55" i="2"/>
  <c r="G55" i="2"/>
  <c r="H55" i="2"/>
  <c r="D56" i="2"/>
  <c r="I56" i="2" s="1"/>
  <c r="E56" i="2"/>
  <c r="F56" i="2"/>
  <c r="G56" i="2"/>
  <c r="H56" i="2"/>
  <c r="D57" i="2"/>
  <c r="E57" i="2"/>
  <c r="F57" i="2"/>
  <c r="G57" i="2"/>
  <c r="H57" i="2"/>
  <c r="D58" i="2"/>
  <c r="E58" i="2"/>
  <c r="F58" i="2"/>
  <c r="G58" i="2"/>
  <c r="H58" i="2"/>
  <c r="D59" i="2"/>
  <c r="E59" i="2"/>
  <c r="I59" i="2" s="1"/>
  <c r="F59" i="2"/>
  <c r="G59" i="2"/>
  <c r="H59" i="2"/>
  <c r="D60" i="2"/>
  <c r="I60" i="2" s="1"/>
  <c r="E60" i="2"/>
  <c r="F60" i="2"/>
  <c r="G60" i="2"/>
  <c r="H60" i="2"/>
  <c r="D61" i="2"/>
  <c r="E61" i="2"/>
  <c r="F61" i="2"/>
  <c r="G61" i="2"/>
  <c r="H61" i="2"/>
  <c r="D62" i="2"/>
  <c r="E62" i="2"/>
  <c r="F62" i="2"/>
  <c r="G62" i="2"/>
  <c r="H62" i="2"/>
  <c r="D63" i="2"/>
  <c r="E63" i="2"/>
  <c r="F63" i="2"/>
  <c r="G63" i="2"/>
  <c r="H63" i="2"/>
  <c r="D64" i="2"/>
  <c r="E64" i="2"/>
  <c r="I64" i="2" s="1"/>
  <c r="F64" i="2"/>
  <c r="G64" i="2"/>
  <c r="H64" i="2"/>
  <c r="D65" i="2"/>
  <c r="I65" i="2" s="1"/>
  <c r="E65" i="2"/>
  <c r="F65" i="2"/>
  <c r="G65" i="2"/>
  <c r="H65" i="2"/>
  <c r="D66" i="2"/>
  <c r="I66" i="2" s="1"/>
  <c r="E66" i="2"/>
  <c r="F66" i="2"/>
  <c r="G66" i="2"/>
  <c r="H66" i="2"/>
  <c r="D67" i="2"/>
  <c r="I67" i="2" s="1"/>
  <c r="E67" i="2"/>
  <c r="F67" i="2"/>
  <c r="G67" i="2"/>
  <c r="H67" i="2"/>
  <c r="D68" i="2"/>
  <c r="I68" i="2" s="1"/>
  <c r="E68" i="2"/>
  <c r="F68" i="2"/>
  <c r="G68" i="2"/>
  <c r="H68" i="2"/>
  <c r="D69" i="2"/>
  <c r="E69" i="2"/>
  <c r="I69" i="2" s="1"/>
  <c r="F69" i="2"/>
  <c r="G69" i="2"/>
  <c r="H69" i="2"/>
  <c r="D70" i="2"/>
  <c r="I70" i="2" s="1"/>
  <c r="E70" i="2"/>
  <c r="F70" i="2"/>
  <c r="G70" i="2"/>
  <c r="H70" i="2"/>
  <c r="D71" i="2"/>
  <c r="I71" i="2" s="1"/>
  <c r="E71" i="2"/>
  <c r="F71" i="2"/>
  <c r="G71" i="2"/>
  <c r="H71" i="2"/>
  <c r="D72" i="2"/>
  <c r="I72" i="2" s="1"/>
  <c r="E72" i="2"/>
  <c r="F72" i="2"/>
  <c r="G72" i="2"/>
  <c r="H72" i="2"/>
  <c r="D73" i="2"/>
  <c r="E73" i="2"/>
  <c r="F73" i="2"/>
  <c r="G73" i="2"/>
  <c r="H73" i="2"/>
  <c r="D74" i="2"/>
  <c r="E74" i="2"/>
  <c r="I74" i="2" s="1"/>
  <c r="F74" i="2"/>
  <c r="G74" i="2"/>
  <c r="H74" i="2"/>
  <c r="D75" i="2"/>
  <c r="I75" i="2" s="1"/>
  <c r="E75" i="2"/>
  <c r="F75" i="2"/>
  <c r="G75" i="2"/>
  <c r="H75" i="2"/>
  <c r="D76" i="2"/>
  <c r="I76" i="2" s="1"/>
  <c r="E76" i="2"/>
  <c r="F76" i="2"/>
  <c r="G76" i="2"/>
  <c r="H76" i="2"/>
  <c r="D77" i="2"/>
  <c r="E77" i="2"/>
  <c r="F77" i="2"/>
  <c r="G77" i="2"/>
  <c r="H77" i="2"/>
  <c r="D78" i="2"/>
  <c r="E78" i="2"/>
  <c r="F78" i="2"/>
  <c r="G78" i="2"/>
  <c r="H78" i="2"/>
  <c r="D79" i="2"/>
  <c r="E79" i="2"/>
  <c r="I79" i="2" s="1"/>
  <c r="F79" i="2"/>
  <c r="G79" i="2"/>
  <c r="H79" i="2"/>
  <c r="D80" i="2"/>
  <c r="I80" i="2" s="1"/>
  <c r="E80" i="2"/>
  <c r="F80" i="2"/>
  <c r="G80" i="2"/>
  <c r="H80" i="2"/>
  <c r="D81" i="2"/>
  <c r="E81" i="2"/>
  <c r="F81" i="2"/>
  <c r="G81" i="2"/>
  <c r="H81" i="2"/>
  <c r="D82" i="2"/>
  <c r="E82" i="2"/>
  <c r="F82" i="2"/>
  <c r="G82" i="2"/>
  <c r="H82" i="2"/>
  <c r="D83" i="2"/>
  <c r="E83" i="2"/>
  <c r="F83" i="2"/>
  <c r="G83" i="2"/>
  <c r="H83" i="2"/>
  <c r="D84" i="2"/>
  <c r="E84" i="2"/>
  <c r="I84" i="2" s="1"/>
  <c r="F84" i="2"/>
  <c r="G84" i="2"/>
  <c r="H84" i="2"/>
  <c r="D85" i="2"/>
  <c r="I85" i="2" s="1"/>
  <c r="E85" i="2"/>
  <c r="F85" i="2"/>
  <c r="G85" i="2"/>
  <c r="H85" i="2"/>
  <c r="D86" i="2"/>
  <c r="I86" i="2" s="1"/>
  <c r="E86" i="2"/>
  <c r="F86" i="2"/>
  <c r="G86" i="2"/>
  <c r="H86" i="2"/>
  <c r="D87" i="2"/>
  <c r="I87" i="2" s="1"/>
  <c r="E87" i="2"/>
  <c r="F87" i="2"/>
  <c r="G87" i="2"/>
  <c r="H87" i="2"/>
  <c r="D88" i="2"/>
  <c r="I88" i="2" s="1"/>
  <c r="E88" i="2"/>
  <c r="F88" i="2"/>
  <c r="G88" i="2"/>
  <c r="H88" i="2"/>
  <c r="D89" i="2"/>
  <c r="E89" i="2"/>
  <c r="I89" i="2" s="1"/>
  <c r="F89" i="2"/>
  <c r="G89" i="2"/>
  <c r="H89" i="2"/>
  <c r="D90" i="2"/>
  <c r="I90" i="2" s="1"/>
  <c r="E90" i="2"/>
  <c r="F90" i="2"/>
  <c r="G90" i="2"/>
  <c r="H90" i="2"/>
  <c r="D91" i="2"/>
  <c r="I91" i="2" s="1"/>
  <c r="E91" i="2"/>
  <c r="F91" i="2"/>
  <c r="G91" i="2"/>
  <c r="H91" i="2"/>
  <c r="D92" i="2"/>
  <c r="I92" i="2" s="1"/>
  <c r="E92" i="2"/>
  <c r="F92" i="2"/>
  <c r="G92" i="2"/>
  <c r="H92" i="2"/>
  <c r="D93" i="2"/>
  <c r="E93" i="2"/>
  <c r="F93" i="2"/>
  <c r="G93" i="2"/>
  <c r="H93" i="2"/>
  <c r="D94" i="2"/>
  <c r="E94" i="2"/>
  <c r="I94" i="2" s="1"/>
  <c r="F94" i="2"/>
  <c r="G94" i="2"/>
  <c r="H94" i="2"/>
  <c r="D95" i="2"/>
  <c r="I95" i="2" s="1"/>
  <c r="E95" i="2"/>
  <c r="F95" i="2"/>
  <c r="G95" i="2"/>
  <c r="H95" i="2"/>
  <c r="D96" i="2"/>
  <c r="I96" i="2" s="1"/>
  <c r="E96" i="2"/>
  <c r="F96" i="2"/>
  <c r="G96" i="2"/>
  <c r="H96" i="2"/>
  <c r="D97" i="2"/>
  <c r="E97" i="2"/>
  <c r="F97" i="2"/>
  <c r="G97" i="2"/>
  <c r="H97" i="2"/>
  <c r="D98" i="2"/>
  <c r="E98" i="2"/>
  <c r="F98" i="2"/>
  <c r="G98" i="2"/>
  <c r="H98" i="2"/>
  <c r="D99" i="2"/>
  <c r="E99" i="2"/>
  <c r="I99" i="2" s="1"/>
  <c r="F99" i="2"/>
  <c r="G99" i="2"/>
  <c r="H99" i="2"/>
  <c r="D100" i="2"/>
  <c r="I100" i="2" s="1"/>
  <c r="E100" i="2"/>
  <c r="F100" i="2"/>
  <c r="G100" i="2"/>
  <c r="H100" i="2"/>
  <c r="D101" i="2"/>
  <c r="E101" i="2"/>
  <c r="F101" i="2"/>
  <c r="G101" i="2"/>
  <c r="H101" i="2"/>
  <c r="D102" i="2"/>
  <c r="E102" i="2"/>
  <c r="F102" i="2"/>
  <c r="G102" i="2"/>
  <c r="H102" i="2"/>
  <c r="D103" i="2"/>
  <c r="E103" i="2"/>
  <c r="F103" i="2"/>
  <c r="G103" i="2"/>
  <c r="H103" i="2"/>
  <c r="D104" i="2"/>
  <c r="E104" i="2"/>
  <c r="I104" i="2" s="1"/>
  <c r="F104" i="2"/>
  <c r="G104" i="2"/>
  <c r="H104" i="2"/>
  <c r="D105" i="2"/>
  <c r="I105" i="2" s="1"/>
  <c r="E105" i="2"/>
  <c r="F105" i="2"/>
  <c r="G105" i="2"/>
  <c r="H105" i="2"/>
  <c r="D106" i="2"/>
  <c r="I106" i="2" s="1"/>
  <c r="E106" i="2"/>
  <c r="F106" i="2"/>
  <c r="G106" i="2"/>
  <c r="H106" i="2"/>
  <c r="D107" i="2"/>
  <c r="I107" i="2" s="1"/>
  <c r="E107" i="2"/>
  <c r="F107" i="2"/>
  <c r="G107" i="2"/>
  <c r="H107" i="2"/>
  <c r="D108" i="2"/>
  <c r="I108" i="2" s="1"/>
  <c r="E108" i="2"/>
  <c r="F108" i="2"/>
  <c r="G108" i="2"/>
  <c r="H108" i="2"/>
  <c r="D109" i="2"/>
  <c r="E109" i="2"/>
  <c r="I109" i="2" s="1"/>
  <c r="F109" i="2"/>
  <c r="G109" i="2"/>
  <c r="H109" i="2"/>
  <c r="D110" i="2"/>
  <c r="I110" i="2" s="1"/>
  <c r="E110" i="2"/>
  <c r="F110" i="2"/>
  <c r="G110" i="2"/>
  <c r="H110" i="2"/>
  <c r="D111" i="2"/>
  <c r="I111" i="2" s="1"/>
  <c r="E111" i="2"/>
  <c r="F111" i="2"/>
  <c r="G111" i="2"/>
  <c r="H111" i="2"/>
  <c r="D112" i="2"/>
  <c r="I112" i="2" s="1"/>
  <c r="E112" i="2"/>
  <c r="F112" i="2"/>
  <c r="G112" i="2"/>
  <c r="H112" i="2"/>
  <c r="D113" i="2"/>
  <c r="E113" i="2"/>
  <c r="F113" i="2"/>
  <c r="G113" i="2"/>
  <c r="H113" i="2"/>
  <c r="D114" i="2"/>
  <c r="E114" i="2"/>
  <c r="I114" i="2" s="1"/>
  <c r="F114" i="2"/>
  <c r="G114" i="2"/>
  <c r="H114" i="2"/>
  <c r="D115" i="2"/>
  <c r="I115" i="2" s="1"/>
  <c r="E115" i="2"/>
  <c r="F115" i="2"/>
  <c r="G115" i="2"/>
  <c r="H115" i="2"/>
  <c r="D116" i="2"/>
  <c r="I116" i="2" s="1"/>
  <c r="E116" i="2"/>
  <c r="F116" i="2"/>
  <c r="G116" i="2"/>
  <c r="H116" i="2"/>
  <c r="D117" i="2"/>
  <c r="E117" i="2"/>
  <c r="F117" i="2"/>
  <c r="G117" i="2"/>
  <c r="H117" i="2"/>
  <c r="D118" i="2"/>
  <c r="E118" i="2"/>
  <c r="F118" i="2"/>
  <c r="G118" i="2"/>
  <c r="H118" i="2"/>
  <c r="D119" i="2"/>
  <c r="E119" i="2"/>
  <c r="I119" i="2" s="1"/>
  <c r="F119" i="2"/>
  <c r="G119" i="2"/>
  <c r="H119" i="2"/>
  <c r="D120" i="2"/>
  <c r="I120" i="2" s="1"/>
  <c r="E120" i="2"/>
  <c r="F120" i="2"/>
  <c r="G120" i="2"/>
  <c r="H120" i="2"/>
  <c r="D121" i="2"/>
  <c r="E121" i="2"/>
  <c r="F121" i="2"/>
  <c r="G121" i="2"/>
  <c r="H121" i="2"/>
  <c r="D122" i="2"/>
  <c r="E122" i="2"/>
  <c r="F122" i="2"/>
  <c r="G122" i="2"/>
  <c r="H122" i="2"/>
  <c r="D123" i="2"/>
  <c r="E123" i="2"/>
  <c r="F123" i="2"/>
  <c r="G123" i="2"/>
  <c r="H123" i="2"/>
  <c r="D124" i="2"/>
  <c r="E124" i="2"/>
  <c r="I124" i="2" s="1"/>
  <c r="F124" i="2"/>
  <c r="G124" i="2"/>
  <c r="H124" i="2"/>
  <c r="D125" i="2"/>
  <c r="I125" i="2" s="1"/>
  <c r="E125" i="2"/>
  <c r="F125" i="2"/>
  <c r="G125" i="2"/>
  <c r="H125" i="2"/>
  <c r="D126" i="2"/>
  <c r="I126" i="2" s="1"/>
  <c r="E126" i="2"/>
  <c r="F126" i="2"/>
  <c r="G126" i="2"/>
  <c r="H126" i="2"/>
  <c r="D127" i="2"/>
  <c r="I127" i="2" s="1"/>
  <c r="E127" i="2"/>
  <c r="F127" i="2"/>
  <c r="G127" i="2"/>
  <c r="H127" i="2"/>
  <c r="D128" i="2"/>
  <c r="I128" i="2" s="1"/>
  <c r="E128" i="2"/>
  <c r="F128" i="2"/>
  <c r="G128" i="2"/>
  <c r="H128" i="2"/>
  <c r="D129" i="2"/>
  <c r="E129" i="2"/>
  <c r="I129" i="2" s="1"/>
  <c r="F129" i="2"/>
  <c r="G129" i="2"/>
  <c r="H129" i="2"/>
  <c r="D130" i="2"/>
  <c r="I130" i="2" s="1"/>
  <c r="E130" i="2"/>
  <c r="F130" i="2"/>
  <c r="G130" i="2"/>
  <c r="H130" i="2"/>
  <c r="D131" i="2"/>
  <c r="I131" i="2" s="1"/>
  <c r="E131" i="2"/>
  <c r="F131" i="2"/>
  <c r="G131" i="2"/>
  <c r="H131" i="2"/>
  <c r="D132" i="2"/>
  <c r="I132" i="2" s="1"/>
  <c r="E132" i="2"/>
  <c r="F132" i="2"/>
  <c r="G132" i="2"/>
  <c r="H132" i="2"/>
  <c r="D133" i="2"/>
  <c r="E133" i="2"/>
  <c r="F133" i="2"/>
  <c r="G133" i="2"/>
  <c r="H133" i="2"/>
  <c r="D134" i="2"/>
  <c r="E134" i="2"/>
  <c r="I134" i="2" s="1"/>
  <c r="F134" i="2"/>
  <c r="G134" i="2"/>
  <c r="H134" i="2"/>
  <c r="D135" i="2"/>
  <c r="I135" i="2" s="1"/>
  <c r="E135" i="2"/>
  <c r="F135" i="2"/>
  <c r="G135" i="2"/>
  <c r="H135" i="2"/>
  <c r="D136" i="2"/>
  <c r="I136" i="2" s="1"/>
  <c r="E136" i="2"/>
  <c r="F136" i="2"/>
  <c r="G136" i="2"/>
  <c r="H136" i="2"/>
  <c r="D137" i="2"/>
  <c r="E137" i="2"/>
  <c r="F137" i="2"/>
  <c r="G137" i="2"/>
  <c r="H137" i="2"/>
  <c r="D138" i="2"/>
  <c r="E138" i="2"/>
  <c r="F138" i="2"/>
  <c r="G138" i="2"/>
  <c r="H138" i="2"/>
  <c r="D139" i="2"/>
  <c r="E139" i="2"/>
  <c r="I139" i="2" s="1"/>
  <c r="F139" i="2"/>
  <c r="G139" i="2"/>
  <c r="H139" i="2"/>
  <c r="D140" i="2"/>
  <c r="I140" i="2" s="1"/>
  <c r="E140" i="2"/>
  <c r="F140" i="2"/>
  <c r="G140" i="2"/>
  <c r="H140" i="2"/>
  <c r="D141" i="2"/>
  <c r="E141" i="2"/>
  <c r="F141" i="2"/>
  <c r="G141" i="2"/>
  <c r="H141" i="2"/>
  <c r="D142" i="2"/>
  <c r="E142" i="2"/>
  <c r="F142" i="2"/>
  <c r="G142" i="2"/>
  <c r="H142" i="2"/>
  <c r="D143" i="2"/>
  <c r="E143" i="2"/>
  <c r="F143" i="2"/>
  <c r="G143" i="2"/>
  <c r="H143" i="2"/>
  <c r="D144" i="2"/>
  <c r="E144" i="2"/>
  <c r="I144" i="2" s="1"/>
  <c r="F144" i="2"/>
  <c r="G144" i="2"/>
  <c r="H144" i="2"/>
  <c r="D145" i="2"/>
  <c r="I145" i="2" s="1"/>
  <c r="E145" i="2"/>
  <c r="F145" i="2"/>
  <c r="G145" i="2"/>
  <c r="H145" i="2"/>
  <c r="D146" i="2"/>
  <c r="I146" i="2" s="1"/>
  <c r="E146" i="2"/>
  <c r="F146" i="2"/>
  <c r="G146" i="2"/>
  <c r="H146" i="2"/>
  <c r="D147" i="2"/>
  <c r="I147" i="2" s="1"/>
  <c r="E147" i="2"/>
  <c r="F147" i="2"/>
  <c r="G147" i="2"/>
  <c r="H147" i="2"/>
  <c r="D148" i="2"/>
  <c r="I148" i="2" s="1"/>
  <c r="E148" i="2"/>
  <c r="F148" i="2"/>
  <c r="G148" i="2"/>
  <c r="H148" i="2"/>
  <c r="D149" i="2"/>
  <c r="E149" i="2"/>
  <c r="I149" i="2" s="1"/>
  <c r="F149" i="2"/>
  <c r="G149" i="2"/>
  <c r="H149" i="2"/>
  <c r="D150" i="2"/>
  <c r="I150" i="2" s="1"/>
  <c r="E150" i="2"/>
  <c r="F150" i="2"/>
  <c r="G150" i="2"/>
  <c r="H150" i="2"/>
  <c r="D151" i="2"/>
  <c r="I151" i="2" s="1"/>
  <c r="E151" i="2"/>
  <c r="F151" i="2"/>
  <c r="G151" i="2"/>
  <c r="H151" i="2"/>
  <c r="D152" i="2"/>
  <c r="E152" i="2"/>
  <c r="F152" i="2"/>
  <c r="G152" i="2"/>
  <c r="H152" i="2"/>
  <c r="D153" i="2"/>
  <c r="E153" i="2"/>
  <c r="F153" i="2"/>
  <c r="G153" i="2"/>
  <c r="H153" i="2"/>
  <c r="D154" i="2"/>
  <c r="E154" i="2"/>
  <c r="I154" i="2" s="1"/>
  <c r="F154" i="2"/>
  <c r="G154" i="2"/>
  <c r="H154" i="2"/>
  <c r="D155" i="2"/>
  <c r="E155" i="2"/>
  <c r="F155" i="2"/>
  <c r="G155" i="2"/>
  <c r="H155" i="2"/>
  <c r="D156" i="2"/>
  <c r="I156" i="2" s="1"/>
  <c r="E156" i="2"/>
  <c r="F156" i="2"/>
  <c r="G156" i="2"/>
  <c r="H156" i="2"/>
  <c r="D157" i="2"/>
  <c r="E157" i="2"/>
  <c r="F157" i="2"/>
  <c r="G157" i="2"/>
  <c r="H157" i="2"/>
  <c r="D11" i="2"/>
  <c r="E11" i="2"/>
  <c r="F11" i="2"/>
  <c r="G11" i="2"/>
  <c r="H11" i="2"/>
  <c r="D12" i="2"/>
  <c r="E12" i="2"/>
  <c r="F12" i="2"/>
  <c r="G12" i="2"/>
  <c r="H12" i="2"/>
  <c r="D13" i="2"/>
  <c r="E13" i="2"/>
  <c r="F13" i="2"/>
  <c r="G13" i="2"/>
  <c r="H13" i="2"/>
  <c r="D14" i="2"/>
  <c r="E14" i="2"/>
  <c r="F14" i="2"/>
  <c r="G14" i="2"/>
  <c r="H14" i="2"/>
  <c r="D15" i="2"/>
  <c r="E15" i="2"/>
  <c r="F15" i="2"/>
  <c r="G15" i="2"/>
  <c r="H15" i="2"/>
  <c r="D16" i="2"/>
  <c r="E16" i="2"/>
  <c r="F16" i="2"/>
  <c r="G16" i="2"/>
  <c r="H16" i="2"/>
  <c r="D17" i="2"/>
  <c r="E17" i="2"/>
  <c r="F17" i="2"/>
  <c r="G17" i="2"/>
  <c r="H17" i="2"/>
  <c r="D18" i="2"/>
  <c r="E18" i="2"/>
  <c r="F18" i="2"/>
  <c r="G18" i="2"/>
  <c r="H18" i="2"/>
  <c r="D19" i="2"/>
  <c r="E19" i="2"/>
  <c r="F19" i="2"/>
  <c r="G19" i="2"/>
  <c r="H19" i="2"/>
  <c r="B7" i="2"/>
  <c r="B6" i="2"/>
  <c r="E7" i="2" s="1"/>
  <c r="C6" i="2"/>
  <c r="C7" i="2" s="1"/>
  <c r="D6" i="2"/>
  <c r="E6" i="2"/>
  <c r="F6" i="2"/>
  <c r="B9" i="13" l="1"/>
  <c r="B8" i="13"/>
  <c r="C96" i="13"/>
  <c r="E59" i="10"/>
  <c r="E64" i="10"/>
  <c r="E63" i="10"/>
  <c r="E62" i="10"/>
  <c r="E61" i="10"/>
  <c r="E60" i="10"/>
  <c r="E90" i="9"/>
  <c r="E89" i="9"/>
  <c r="E88" i="9"/>
  <c r="E93" i="9"/>
  <c r="E95" i="9"/>
  <c r="E86" i="9"/>
  <c r="E91" i="9"/>
  <c r="E85" i="9"/>
  <c r="E92" i="9"/>
  <c r="E54" i="8"/>
  <c r="E52" i="8"/>
  <c r="E55" i="8"/>
  <c r="E49" i="8"/>
  <c r="E51" i="8"/>
  <c r="D7" i="2"/>
  <c r="F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<sst xmlns="http://schemas.openxmlformats.org/spreadsheetml/2006/main" count="45004" uniqueCount="5328">
  <si>
    <t>Subject</t>
  </si>
  <si>
    <t>subjectType</t>
  </si>
  <si>
    <t>predicate</t>
  </si>
  <si>
    <t>object</t>
  </si>
  <si>
    <t>objectType</t>
  </si>
  <si>
    <t>subject_prop_name</t>
  </si>
  <si>
    <t>subject_prop_val</t>
  </si>
  <si>
    <t>object_prop_name</t>
  </si>
  <si>
    <t>object_prop_val</t>
  </si>
  <si>
    <t>entity:CHWS-MAIN-LOOP</t>
  </si>
  <si>
    <t>para:Chilled_Water_Loop_Network</t>
  </si>
  <si>
    <t>ref:hasExternalReference</t>
  </si>
  <si>
    <t>&lt;blanknode&gt;</t>
  </si>
  <si>
    <t>ref:IFCReference</t>
  </si>
  <si>
    <t>ref:ifcName</t>
  </si>
  <si>
    <t>CHWS-MAIN-LOOP</t>
  </si>
  <si>
    <t>rec:locatedIn</t>
  </si>
  <si>
    <t>entity:SSC</t>
  </si>
  <si>
    <t>rec:Building</t>
  </si>
  <si>
    <t>brick:aliasOf</t>
  </si>
  <si>
    <t>entity:CHW-System</t>
  </si>
  <si>
    <t>brick:Chilled_Water_System</t>
  </si>
  <si>
    <t>brick:isPartOf</t>
  </si>
  <si>
    <t>entity:HVAC</t>
  </si>
  <si>
    <t>brick:HVAC_System</t>
  </si>
  <si>
    <t>rdfs:label_en</t>
  </si>
  <si>
    <t>Chilled Water System</t>
  </si>
  <si>
    <t>entity:Electrical_System</t>
  </si>
  <si>
    <t>brick:System</t>
  </si>
  <si>
    <t>entity:QF</t>
  </si>
  <si>
    <t>rec:Site</t>
  </si>
  <si>
    <t>Electrical System</t>
  </si>
  <si>
    <t>HVAC System</t>
  </si>
  <si>
    <t>rec:isPartOf</t>
  </si>
  <si>
    <t>SSC Building</t>
  </si>
  <si>
    <t>Qatar Foundation</t>
  </si>
  <si>
    <t>entity:SSC_01_001_CORRIDOR</t>
  </si>
  <si>
    <t>rec:Room</t>
  </si>
  <si>
    <t>entity:SSC_Level-01</t>
  </si>
  <si>
    <t>rec:Level</t>
  </si>
  <si>
    <t>1.001 CORRIDOR</t>
  </si>
  <si>
    <t>entity:SSC_01_002_SHELL_SPACE</t>
  </si>
  <si>
    <t>1.002 SHELL SPACE</t>
  </si>
  <si>
    <t>entity:SSC_01_003_OPEN_SPACE</t>
  </si>
  <si>
    <t>1.003 OPEN SPACE</t>
  </si>
  <si>
    <t>entity:SSC_01_004_CORRIDOR</t>
  </si>
  <si>
    <t>1.004 CORRIDOR</t>
  </si>
  <si>
    <t>entity:SSC_01_005_KITCHEN</t>
  </si>
  <si>
    <t>1.005 KITCHEN</t>
  </si>
  <si>
    <t>entity:SSC_01_006_MALE_TOILET</t>
  </si>
  <si>
    <t>1.006 MALE TOILET</t>
  </si>
  <si>
    <t>entity:SSC_01_007_FEMALE_TOILET</t>
  </si>
  <si>
    <t>1.007 FEMALE TOILET</t>
  </si>
  <si>
    <t>entity:SSC_01_008_AV_ROOM</t>
  </si>
  <si>
    <t>1.008 A / V ROOM</t>
  </si>
  <si>
    <t>entity:SSC_01_009_AUDITORIUM</t>
  </si>
  <si>
    <t>1.009 AUDITORIUM MEETING ROOM</t>
  </si>
  <si>
    <t>entity:SSC_01_010_CORRIDOR</t>
  </si>
  <si>
    <t>1.01 CORRIDOR</t>
  </si>
  <si>
    <t>entity:SSC_01_011_AIR_LOCK</t>
  </si>
  <si>
    <t>1.011 AIR LOCK</t>
  </si>
  <si>
    <t>entity:SSC_01_012_STORAGE</t>
  </si>
  <si>
    <t>1.012 STORAGE</t>
  </si>
  <si>
    <t>entity:SSC_01_013_CORRIDOR</t>
  </si>
  <si>
    <t>1.013 CORRIDOR</t>
  </si>
  <si>
    <t>entity:SSC_01_014_SHELL_SPACE</t>
  </si>
  <si>
    <t>1.014 SHELL SPACE</t>
  </si>
  <si>
    <t>entity:SSC_01_015_SHELL_SPACE</t>
  </si>
  <si>
    <t>1.015 SHELL SPACE</t>
  </si>
  <si>
    <t>entity:SSC_01_016_SHELL_SPACE</t>
  </si>
  <si>
    <t>1.016 SHELL SPACE</t>
  </si>
  <si>
    <t>entity:SSC_01_017_FEMALE_TOILET</t>
  </si>
  <si>
    <t>1.017 FEMALE TOILET</t>
  </si>
  <si>
    <t>entity:SSC_01_018_CORRIDOR</t>
  </si>
  <si>
    <t>1.018 CORRIDOR</t>
  </si>
  <si>
    <t>entity:SSC_01_019_PRAYER_ROOM</t>
  </si>
  <si>
    <t>1.019 PRAYER ROOM</t>
  </si>
  <si>
    <t>entity:SSC_01_020_CORRIDOR</t>
  </si>
  <si>
    <t>1.02 CORRIDOR</t>
  </si>
  <si>
    <t>entity:SSC_01_021_ABLUTION_ROOM</t>
  </si>
  <si>
    <t>1.021 ABLUTION ROOM</t>
  </si>
  <si>
    <t>entity:SSC_01_022_ABLUTION_ROOM</t>
  </si>
  <si>
    <t>1.022 ABLUTION ROOM</t>
  </si>
  <si>
    <t>entity:SSC_01_023_CORRIDOR</t>
  </si>
  <si>
    <t>1.023 CORRIDOR</t>
  </si>
  <si>
    <t>entity:SSC_01_024_CORRIDOR</t>
  </si>
  <si>
    <t>1.024 CORRIDOR</t>
  </si>
  <si>
    <t>entity:SSC_01_025_MALE_TOILET</t>
  </si>
  <si>
    <t>1.025 MALE TOILET</t>
  </si>
  <si>
    <t>entity:SSC_01_026_STORAGE_ROOM</t>
  </si>
  <si>
    <t>1.026 FURNITURE STORAGE</t>
  </si>
  <si>
    <t>entity:SSC_01_027_IDF_1</t>
  </si>
  <si>
    <t>1.027 IDF - 1</t>
  </si>
  <si>
    <t>entity:SSC_01_028_CORRIDOR</t>
  </si>
  <si>
    <t>1.028 CORRIDOR</t>
  </si>
  <si>
    <t>entity:SSC_01_029_ROOM_NO_42</t>
  </si>
  <si>
    <t>1.029 SHELL SPACE</t>
  </si>
  <si>
    <t>entity:SSC_01_029_ROOM_NO_43</t>
  </si>
  <si>
    <t>entity:SSC_01_029_ROOM_NO_44</t>
  </si>
  <si>
    <t>entity:SSC_01_029_SHELL_SPACE</t>
  </si>
  <si>
    <t>entity:SSC_01_030_STORAGE</t>
  </si>
  <si>
    <t>1.03 STORAGE</t>
  </si>
  <si>
    <t>entity:SSC_01_031_TOILET</t>
  </si>
  <si>
    <t>1.031 TOILET</t>
  </si>
  <si>
    <t>entity:SSC_01_032_VESTIBULE</t>
  </si>
  <si>
    <t>1.032 VESTIBULE</t>
  </si>
  <si>
    <t>entity:SSC_01_033_JANITORS_CLOSET</t>
  </si>
  <si>
    <t>1.033 JANITORS CLOSET</t>
  </si>
  <si>
    <t>entity:SSC_01_034_AIR_LOCK</t>
  </si>
  <si>
    <t>1.034 AIR LOCK</t>
  </si>
  <si>
    <t>entity:SSC_01_035_CORRIDOR</t>
  </si>
  <si>
    <t>1.035 CORRIDOR</t>
  </si>
  <si>
    <t>entity:SSC_01_036_OUTDOOR_AREA</t>
  </si>
  <si>
    <t>1.036 OUTDOOR AREA</t>
  </si>
  <si>
    <t>entity:SSC_01_037_OUTDOOR_AREA</t>
  </si>
  <si>
    <t>1.037 OUTDOOR AREA</t>
  </si>
  <si>
    <t>entity:SSC_01_038_STORAGE_AREA</t>
  </si>
  <si>
    <t>1.038 STORAGE AREA</t>
  </si>
  <si>
    <t>entity:SSC_01_039_IDF_2</t>
  </si>
  <si>
    <t>1.039 IDF - 2</t>
  </si>
  <si>
    <t>entity:SSC_01_041_STORAGE_ROOM</t>
  </si>
  <si>
    <t>1.041 STORAGE</t>
  </si>
  <si>
    <t>entity:SSC_01_P-1_P-1</t>
  </si>
  <si>
    <t>01.P-1 LIFT</t>
  </si>
  <si>
    <t>entity:SSC_01_P-2_P-2</t>
  </si>
  <si>
    <t>01.P-2 LIFT</t>
  </si>
  <si>
    <t>entity:SSC_01_ST-1_STAIR-1</t>
  </si>
  <si>
    <t>01.ST-1 STAIR-1</t>
  </si>
  <si>
    <t>entity:SSC_01_ST-2_STAIR-2</t>
  </si>
  <si>
    <t>01.ST-2 STAIR-2</t>
  </si>
  <si>
    <t>entity:SSC_01_ST-3_STAIR-3</t>
  </si>
  <si>
    <t>01.ST-3 STAIR-3</t>
  </si>
  <si>
    <t>entity:SSC_01_ST-4_STAIR_4</t>
  </si>
  <si>
    <t>01.ST-4 STAIR-4</t>
  </si>
  <si>
    <t>entity:SSC_01_ST-5_STAIR-5</t>
  </si>
  <si>
    <t>01.ST-5 STAIR-5</t>
  </si>
  <si>
    <t>entity:SSC_01_ST-8_STAIR-8</t>
  </si>
  <si>
    <t>01.ST-8 STAIR-8</t>
  </si>
  <si>
    <t>entity:SSC_01_ST-9_STAIR-9</t>
  </si>
  <si>
    <t>01.ST-9 STAIR-9</t>
  </si>
  <si>
    <t>entity:SSC_02_001_FOYER</t>
  </si>
  <si>
    <t>entity:SSC_Level-02</t>
  </si>
  <si>
    <t>2.001 FOYER</t>
  </si>
  <si>
    <t>entity:SSC_02_002_LOBBY</t>
  </si>
  <si>
    <t>2.002 LOBBY</t>
  </si>
  <si>
    <t>entity:SSC_02_003_CORRIDOR</t>
  </si>
  <si>
    <t>2.003 CORRIDOR</t>
  </si>
  <si>
    <t>entity:SSC_02_004_CORRIDOR</t>
  </si>
  <si>
    <t>2.004 CORRIDOR</t>
  </si>
  <si>
    <t>entity:SSC_02_005_EXECUTIVE_CONFERENCE_ROOM</t>
  </si>
  <si>
    <t>2.005 EXECUTIVE CONFERENCE ROOM</t>
  </si>
  <si>
    <t>entity:SSC_02_006_CONFERENCE_ROOM</t>
  </si>
  <si>
    <t>2.006 CONFERENCE ROOM</t>
  </si>
  <si>
    <t>entity:SSC_02_007_MEZZANINE</t>
  </si>
  <si>
    <t>2.007 MEZZANINE</t>
  </si>
  <si>
    <t>entity:SSC_02_008_TOILET</t>
  </si>
  <si>
    <t>2.008 TOILET</t>
  </si>
  <si>
    <t>entity:SSC_02_010_VESTIBULE</t>
  </si>
  <si>
    <t>2.01 VESTIBULE</t>
  </si>
  <si>
    <t>entity:SSC_02_P-1_LIFT</t>
  </si>
  <si>
    <t>02.P-1 LIFT</t>
  </si>
  <si>
    <t>entity:SSC_02_P-2_LIFT</t>
  </si>
  <si>
    <t>02.P-2 LIFT</t>
  </si>
  <si>
    <t>entity:SSC_02_ST-1_STAIR-1</t>
  </si>
  <si>
    <t>02.ST-1 STAIR-1</t>
  </si>
  <si>
    <t>entity:SSC_02_ST-2_STAIR-2</t>
  </si>
  <si>
    <t>02.ST-2 STAIR-2</t>
  </si>
  <si>
    <t>entity:SSC_02_ST-8_STAIR-8</t>
  </si>
  <si>
    <t>02.ST-8 STAIR-8</t>
  </si>
  <si>
    <t>entity:SSC_03_001_DIRECTORS_OFFICE</t>
  </si>
  <si>
    <t>entity:SSC_Level-03</t>
  </si>
  <si>
    <t>3.001 DIRECTOR'S OFFICE</t>
  </si>
  <si>
    <t>entity:SSC_03_002_DIRECTORS_MEETING_ROOM</t>
  </si>
  <si>
    <t>3.002 DIRECTOR'S MEETING ROOM</t>
  </si>
  <si>
    <t>entity:SSC_03_003_RESEARCHERS_OFFICE</t>
  </si>
  <si>
    <t>3.003 RESEARCHER'S OFFICE</t>
  </si>
  <si>
    <t>entity:SSC_03_004_VISITORS_CUBICLE</t>
  </si>
  <si>
    <t>3.004 VISITOR'S CUBICLE</t>
  </si>
  <si>
    <t>entity:SSC_03_005_RESEARCHERS_OFFICE</t>
  </si>
  <si>
    <t>3.005 RESEARCHER'S OFFICE</t>
  </si>
  <si>
    <t>entity:SSC_03_006_MEETING_ROOM</t>
  </si>
  <si>
    <t>3.006 MEETING ROOM</t>
  </si>
  <si>
    <t>entity:SSC_03_007_OPERATIONS_MANAGER</t>
  </si>
  <si>
    <t>3.007 OPERATIONS MANAGER</t>
  </si>
  <si>
    <t>entity:SSC_03_008_VISITORS_CUBICLE</t>
  </si>
  <si>
    <t>3.008 VISITOR'S CUBICLE</t>
  </si>
  <si>
    <t>entity:SSC_03_009_RESEARCHERS_OFFICE</t>
  </si>
  <si>
    <t>3.009 RESEARCHER'S OFFICE</t>
  </si>
  <si>
    <t>entity:SSC_03_010_RESEARCHERS_OFFICE</t>
  </si>
  <si>
    <t>3.01 RESEARCHER'S OFFICE</t>
  </si>
  <si>
    <t>entity:SSC_03_011_VISITORS_CUBICLE</t>
  </si>
  <si>
    <t>3.011 VISITOR'S CUBICLE</t>
  </si>
  <si>
    <t>entity:SSC_03_012_RESEARCHERS_OFFICE</t>
  </si>
  <si>
    <t>3.012 RESEARCHER'S OFFICE</t>
  </si>
  <si>
    <t>entity:SSC_03_013_RESEARCHERS_OFFICE</t>
  </si>
  <si>
    <t>3.013 RESEARCHER'S OFFICE</t>
  </si>
  <si>
    <t>entity:SSC_03_014_VISITORS_CUBICLE</t>
  </si>
  <si>
    <t>3.014 VISITOR'S CUBICLE</t>
  </si>
  <si>
    <t>entity:SSC_03_015_RESEARCHERS_OFFICE</t>
  </si>
  <si>
    <t>3.015 RESEARCHER'S OFFICE</t>
  </si>
  <si>
    <t>entity:SSC_03_016_LOUNGE</t>
  </si>
  <si>
    <t>3.016 LOUNGE</t>
  </si>
  <si>
    <t>entity:SSC_03_017_RESEARCHERS_OFFICE</t>
  </si>
  <si>
    <t>3.017 RESEARCHER'S OFFICE</t>
  </si>
  <si>
    <t>entity:SSC_03_018_VISITORS_CUBICLE</t>
  </si>
  <si>
    <t>3.018 VISITOR'S CUBICLE</t>
  </si>
  <si>
    <t>entity:SSC_03_019_IT_MANAGERS_OFFICE</t>
  </si>
  <si>
    <t>3.019 IT MANAGER'S OFFICE</t>
  </si>
  <si>
    <t>entity:SSC_03_020_RESEARCHERS_OFFICE</t>
  </si>
  <si>
    <t>3.02 RESEARCHER'S OFFICE</t>
  </si>
  <si>
    <t>entity:SSC_03_021_VISITORS_CUBICLE</t>
  </si>
  <si>
    <t>3.021 VISITOR'S CUBICLE</t>
  </si>
  <si>
    <t>entity:SSC_03_022_RESEARCHERS_OFFICE</t>
  </si>
  <si>
    <t>3.022 RESEARCHER'S OFFICE</t>
  </si>
  <si>
    <t>entity:SSC_03_023_RESEARCHERS_OFFICE</t>
  </si>
  <si>
    <t>3.023 RESEARCHER'S OFFICE</t>
  </si>
  <si>
    <t>entity:SSC_03_024_VISITORS_CUBICLE</t>
  </si>
  <si>
    <t>3.024 VISITOR'S CUBICLE</t>
  </si>
  <si>
    <t>entity:SSC_03_025_SECRETARIAL_AREA</t>
  </si>
  <si>
    <t>3.025 SECRETARIAL AREA</t>
  </si>
  <si>
    <t>entity:SSC_03_026_MEETING_ROOM</t>
  </si>
  <si>
    <t>3.026 MEETING ROOM</t>
  </si>
  <si>
    <t>entity:SSC_03_027_RESEARCHERS_OFFICE</t>
  </si>
  <si>
    <t>3.027 RESEARCHER'S OFFICE</t>
  </si>
  <si>
    <t>entity:SSC_03_028_VISITORS_CUBICLE</t>
  </si>
  <si>
    <t>3.028 VISITOR'S CUBICLE</t>
  </si>
  <si>
    <t>entity:SSC_03_029_RESEARCHERS_OFFICE</t>
  </si>
  <si>
    <t>3.029 RESEARCHER'S OFFICE</t>
  </si>
  <si>
    <t>entity:SSC_03_030_ASSOC_DIRECTORS_MEETING_ROOM</t>
  </si>
  <si>
    <t>3.03 ASSOC. DIRECTOR'S MEETING ROOM</t>
  </si>
  <si>
    <t>entity:SSC_03_031_ASSOC_DIRECTORS_OFFICE</t>
  </si>
  <si>
    <t>3.031 ASSOC. DIRECTOR'S OFFICE</t>
  </si>
  <si>
    <t>entity:SSC_03_032_GENERAL_OFFICE_AREA</t>
  </si>
  <si>
    <t>3.032 GENERAL OFFICE AREA</t>
  </si>
  <si>
    <t>entity:SSC_03_033_PRINTING</t>
  </si>
  <si>
    <t>3.033 PRINTING</t>
  </si>
  <si>
    <t>entity:SSC_03_034_CORRIDOR</t>
  </si>
  <si>
    <t>3.034 CORRIDOR</t>
  </si>
  <si>
    <t>entity:SSC_03_035_STUDY_LIBRARY_AREA</t>
  </si>
  <si>
    <t>3.035 STUDY LIBRARY AREA</t>
  </si>
  <si>
    <t>entity:SSC_03_036_KITCHEN</t>
  </si>
  <si>
    <t>3.036 KITCHEN</t>
  </si>
  <si>
    <t>entity:SSC_03_037_MALE_TOILET</t>
  </si>
  <si>
    <t>3.037 MALE TOILET</t>
  </si>
  <si>
    <t>entity:SSC_03_038_SERVER_ROOM</t>
  </si>
  <si>
    <t>3.038 IT SERVER ROOM</t>
  </si>
  <si>
    <t>entity:SSC_03_039_FEMALE_TOILET</t>
  </si>
  <si>
    <t>3.039 FEMALE TOILET</t>
  </si>
  <si>
    <t>entity:SSC_03_040_CORRIDOR</t>
  </si>
  <si>
    <t>3.04 CORRIDOR</t>
  </si>
  <si>
    <t>entity:SSC_03_041_CORRIDOR</t>
  </si>
  <si>
    <t>3.041 CORRIDOR</t>
  </si>
  <si>
    <t>entity:SSC_03_042_CORRIDOR</t>
  </si>
  <si>
    <t>3.042 CORRIDOR</t>
  </si>
  <si>
    <t>entity:SSC_03_043_EXTERIOR_COURTYARD</t>
  </si>
  <si>
    <t>3.043 EXTERIOR COURTYARD</t>
  </si>
  <si>
    <t>entity:SSC_03_044_CORRIDOR</t>
  </si>
  <si>
    <t>3.044 CORRIDOR</t>
  </si>
  <si>
    <t>entity:SSC_03_045_JANITORS_CLOSET</t>
  </si>
  <si>
    <t>3.045 JANITOR'S CLOSET</t>
  </si>
  <si>
    <t>entity:SSC_03_046_STORAGE</t>
  </si>
  <si>
    <t>3.046 STORAGE</t>
  </si>
  <si>
    <t>entity:SSC_03_047_BALCONY</t>
  </si>
  <si>
    <t>3.047 BALCONY</t>
  </si>
  <si>
    <t>entity:SSC_03_048_BALCONY</t>
  </si>
  <si>
    <t>3.048 BALCONY</t>
  </si>
  <si>
    <t>entity:SSC_03_049_IT_OFFICE</t>
  </si>
  <si>
    <t>3.049 IT OFFICE</t>
  </si>
  <si>
    <t>entity:SSC_03_F7_1_PODIUM</t>
  </si>
  <si>
    <t>03.F7.1 PODIUM</t>
  </si>
  <si>
    <t>entity:SSC_03_P-1_LIFT</t>
  </si>
  <si>
    <t>03.P-1 LIFT</t>
  </si>
  <si>
    <t>entity:SSC_03_P-2_LIFT</t>
  </si>
  <si>
    <t>03.P-2 LIFT</t>
  </si>
  <si>
    <t>entity:SSC_03_ST-1_STAIR-1</t>
  </si>
  <si>
    <t>03.ST-1 STAIR-1</t>
  </si>
  <si>
    <t>entity:SSC_03_ST-2_STAIR-2</t>
  </si>
  <si>
    <t>03.ST-2 STAIR-2</t>
  </si>
  <si>
    <t>entity:SSC_AHUB0001</t>
  </si>
  <si>
    <t>brick:Air_Handling_Unit</t>
  </si>
  <si>
    <t>brick:hasPart</t>
  </si>
  <si>
    <t>entity:SSC_AHUB0001_CHW-Coil</t>
  </si>
  <si>
    <t>brick:Chilled_Water_Coil</t>
  </si>
  <si>
    <t>Chilled Water Coil</t>
  </si>
  <si>
    <t>entity:SSC_AHUB0001_Filter</t>
  </si>
  <si>
    <t>brick:Filter</t>
  </si>
  <si>
    <t>Pre Filter and Bag Filter</t>
  </si>
  <si>
    <t>entity:SSC_AHUB0001_OAD</t>
  </si>
  <si>
    <t>brick:Outside_Damper</t>
  </si>
  <si>
    <t>Outside Air Damper</t>
  </si>
  <si>
    <t>entity:SSC_AHUB0001_RAD</t>
  </si>
  <si>
    <t>brick:Return_Damper</t>
  </si>
  <si>
    <t>Return Air Damper</t>
  </si>
  <si>
    <t>entity:SSC_AHUB0001_MAD</t>
  </si>
  <si>
    <t>brick:Mixed_Damper</t>
  </si>
  <si>
    <t>Mixed Air Damper</t>
  </si>
  <si>
    <t>entity:SSC_AHUB0001_EAD</t>
  </si>
  <si>
    <t>brick:Exhaust_Damper</t>
  </si>
  <si>
    <t>Exhaust Air Damper</t>
  </si>
  <si>
    <t>entity:SSC_AHUB0001_RF</t>
  </si>
  <si>
    <t>brick:Return_Fan</t>
  </si>
  <si>
    <t>Return Fan</t>
  </si>
  <si>
    <t>entity:SSC_AHUB0001_SF</t>
  </si>
  <si>
    <t>brick:Supply_Fan</t>
  </si>
  <si>
    <t>Supply Fan</t>
  </si>
  <si>
    <t>entity:SSC_AHUB0001_Heater</t>
  </si>
  <si>
    <t>brick:Heater</t>
  </si>
  <si>
    <t>Heater</t>
  </si>
  <si>
    <t>brick:hasPoint</t>
  </si>
  <si>
    <t>entity:SSC_AHUB0001_OA_RH</t>
  </si>
  <si>
    <t>brick:Outside_Air_Humidity_Sensor</t>
  </si>
  <si>
    <t>Fresh Air Humidity</t>
  </si>
  <si>
    <t>brick:hasUnit</t>
  </si>
  <si>
    <t>unit:PERCENT_RH</t>
  </si>
  <si>
    <t>entity:SSC_AHUB0001_OA_Temperature</t>
  </si>
  <si>
    <t>brick:Outside_Air_Temperature_Sensor</t>
  </si>
  <si>
    <t>Fresh Air Temperature</t>
  </si>
  <si>
    <t>unit:DEG_C</t>
  </si>
  <si>
    <t>entity:SSC_AHUB0001_RA_RH</t>
  </si>
  <si>
    <t>brick:Return_Air_Humidity_Sensor</t>
  </si>
  <si>
    <t>Return Air Humidity</t>
  </si>
  <si>
    <t>entity:SSC_AHUB0001_RA_Temperature</t>
  </si>
  <si>
    <t>brick:Return_Air_Temperature_Sensor</t>
  </si>
  <si>
    <t>Return Air Temperature</t>
  </si>
  <si>
    <t>entity:SSC_AHUB0001_RA_Flow</t>
  </si>
  <si>
    <t>brick:Return_Air_Flow_Sensor</t>
  </si>
  <si>
    <t>Return Air Flow</t>
  </si>
  <si>
    <t>unit:L-PER-SEC</t>
  </si>
  <si>
    <t>entity:SSC_AHUB0001_MA_Temperature</t>
  </si>
  <si>
    <t>brick:Mixed_Air_Temperature_Sensor</t>
  </si>
  <si>
    <t>Mixed Air Temperature</t>
  </si>
  <si>
    <t>entity:SSC_AHUB0001_SA_Flow</t>
  </si>
  <si>
    <t>brick:Supply_Air_Flow_Sensor</t>
  </si>
  <si>
    <t>Supply Air Flow</t>
  </si>
  <si>
    <t>entity:SSC_AHUB0001_SA_RH</t>
  </si>
  <si>
    <t>brick:Supply_Air_Humidity_Sensor</t>
  </si>
  <si>
    <t>Supply Air Humidity</t>
  </si>
  <si>
    <t>entity:SSC_AHUB0001_SAT</t>
  </si>
  <si>
    <t>brick:Supply_Air_Temperature_Sensor</t>
  </si>
  <si>
    <t>Supply Air Temperature</t>
  </si>
  <si>
    <t>entity:SSC_AHUB0001_Occupancy_Mode</t>
  </si>
  <si>
    <t>brick:Occupancy_Status</t>
  </si>
  <si>
    <t>Occupancy Mode</t>
  </si>
  <si>
    <t>unit:UNITLESS</t>
  </si>
  <si>
    <t>entity:SSC_AHUB0001_Dehum_Setpoint</t>
  </si>
  <si>
    <t>brick:Humidity_Setpoint</t>
  </si>
  <si>
    <t>Dehumidification  Setpoint</t>
  </si>
  <si>
    <t>entity:SSC_AHUB0001_Occ_Temp_Setpoint</t>
  </si>
  <si>
    <t>brick:ccupied_Air_Temperature_Setpoint</t>
  </si>
  <si>
    <t>Occupied Temperature Setpoint</t>
  </si>
  <si>
    <t>entity:SSC_AHUB0001_SAP_Setpoint</t>
  </si>
  <si>
    <t>brick:Static_Pressure_Setpoint</t>
  </si>
  <si>
    <t>Pressure Setpoint</t>
  </si>
  <si>
    <t>unit:PA</t>
  </si>
  <si>
    <t>entity:SSC_AHUB0001_UnOcc_Temp_Setpoint</t>
  </si>
  <si>
    <t>brick:Unoccupied_Air_Temperature_Setpoint</t>
  </si>
  <si>
    <t>UnOccupied Temperature Setpoint</t>
  </si>
  <si>
    <t>entity:SSC_AHUB0001_Enable_Disable_Cmd</t>
  </si>
  <si>
    <t>brick:System_Enable_Command</t>
  </si>
  <si>
    <t>AHU Enable Disable Command</t>
  </si>
  <si>
    <t>entity:SSC_AHUB0001_Pressure_High_Filter_Dirty_Status</t>
  </si>
  <si>
    <t>brick:Filter_Status</t>
  </si>
  <si>
    <t>Pressure high Filter Dirty Status</t>
  </si>
  <si>
    <t>entity:SSC_AHUB0001_High_Pressure_Alarm</t>
  </si>
  <si>
    <t>brick:Pressure_Alarm</t>
  </si>
  <si>
    <t>Pressure Switch High</t>
  </si>
  <si>
    <t>entity:SSC_AHUB0001_SA_P-Static</t>
  </si>
  <si>
    <t>brick:Static_Pressure_Sensor</t>
  </si>
  <si>
    <t>Supply Air Duct Remote Pressure 01</t>
  </si>
  <si>
    <t>entity:SSC_AHUB0001_RA_P-Static</t>
  </si>
  <si>
    <t>para:Return_Air_Static_Pressure_Sensor</t>
  </si>
  <si>
    <t>Return Air Duct Pressure</t>
  </si>
  <si>
    <t>SSC AHUB0001</t>
  </si>
  <si>
    <t>rdfs:comment</t>
  </si>
  <si>
    <t>Serves Level 1 &amp; Level 3 VAVs; coil/fan/points pending AHU schedule + IO list.</t>
  </si>
  <si>
    <t>para:ratedOutsideAirFlowrate</t>
  </si>
  <si>
    <t>brick:value</t>
  </si>
  <si>
    <t>570 l/s</t>
  </si>
  <si>
    <t>para:ratedSupplyAirFlowrate</t>
  </si>
  <si>
    <t>3800 l/s</t>
  </si>
  <si>
    <t>rec:isFedBy</t>
  </si>
  <si>
    <t>entity:SSC_B1_013_CHILLED_WATER</t>
  </si>
  <si>
    <t>para:IFC_ID</t>
  </si>
  <si>
    <t>SSC_AHUB0001</t>
  </si>
  <si>
    <t>brick:coolingCapacity</t>
  </si>
  <si>
    <t>unit:KiloW</t>
  </si>
  <si>
    <t>entity:SSC_AHUB0001_CHW-Coil_Valve</t>
  </si>
  <si>
    <t>brick:Cooling_Valve</t>
  </si>
  <si>
    <t>Chilled Water Cooling Valve</t>
  </si>
  <si>
    <t>entity:SSC_AHUB0001_CHW-Coil_Cooling-Load-Consumption</t>
  </si>
  <si>
    <t>brick:Thermal_Energy_Usage_Sensor</t>
  </si>
  <si>
    <t>ref:TimeseriesReference</t>
  </si>
  <si>
    <t>ref:hasTimeseriesId</t>
  </si>
  <si>
    <t>CWPWR_KWTH_CALC</t>
  </si>
  <si>
    <t>para:hasEntityId</t>
  </si>
  <si>
    <t>entity:SSC_AHUB0001_CHW-Coil_Cooling-Load-Demand</t>
  </si>
  <si>
    <t>brick:Thermal_Power_Sensor</t>
  </si>
  <si>
    <t>CWPWR_KWT_CALC</t>
  </si>
  <si>
    <t>entity:SSC_AHUB0001_Cooling-Thermal-Virtual-Meter</t>
  </si>
  <si>
    <t>brick:Thermal_Power_Meter</t>
  </si>
  <si>
    <t>Cooling Thermal Power Meter</t>
  </si>
  <si>
    <t>entity:SSC_AHUB0001_CHW-Coil_Valve_Pos-Command</t>
  </si>
  <si>
    <t>brick:Valve_Position_Command</t>
  </si>
  <si>
    <t>Cooling Valve Position Command</t>
  </si>
  <si>
    <t>unit:PERCENT</t>
  </si>
  <si>
    <t>entity:SSC_AHUB0001_CHW-Coil_Valve_Pos-Feedback</t>
  </si>
  <si>
    <t>brick:Valve_Position_Sensor</t>
  </si>
  <si>
    <t>Cooling Valve Position Feedback</t>
  </si>
  <si>
    <t>SSC_AHUB0001_CoolVlv.PosCmd</t>
  </si>
  <si>
    <t>SSC_AHUB0001_CoolVlv.PosFbk</t>
  </si>
  <si>
    <t xml:space="preserve">Cooling Load Consumption </t>
  </si>
  <si>
    <t>para:KiloWt-HR</t>
  </si>
  <si>
    <t>Cooling Load Demand</t>
  </si>
  <si>
    <t>para:KiloWt</t>
  </si>
  <si>
    <t>SSC_AHUB0001_SP.DehumSP</t>
  </si>
  <si>
    <t>entity:SSC_AHUB0001_EAD_Pos_Cmd</t>
  </si>
  <si>
    <t>Exhaust Damper Position Command</t>
  </si>
  <si>
    <t>entity:SSC_AHUB0001_EAD_Pos_Fbk</t>
  </si>
  <si>
    <t>Exhaust Damper Position Feedback</t>
  </si>
  <si>
    <t>entity:SSC_AHUB0001_EAD_Pos-Status</t>
  </si>
  <si>
    <t>brick:Damper_Position_Status</t>
  </si>
  <si>
    <t>Exhaust Fan Damper Status</t>
  </si>
  <si>
    <t>SSC_AHUB0001_ExhDmpr.PositionCmd</t>
  </si>
  <si>
    <t>SSC_AHUB0001_ExhDmpr.PositionFbk</t>
  </si>
  <si>
    <t>SSC_AHUB0001.ExAirDmprSts</t>
  </si>
  <si>
    <t>SSC_AHUB0001.EnableDisableCmd</t>
  </si>
  <si>
    <t>entity:SSC_AHUB0001_Heater_Command</t>
  </si>
  <si>
    <t>brick:Heating_Command</t>
  </si>
  <si>
    <t>Heater Control</t>
  </si>
  <si>
    <t>SSC_AHUB0001_SupHtr.HtrCtrl</t>
  </si>
  <si>
    <t>SSC_AHUB0001_SP.PressSWHigh</t>
  </si>
  <si>
    <t>SSC_AHUB0001_MixAirTemp.PV</t>
  </si>
  <si>
    <t>entity:SSC_AHUB0001_MAD_Pos_Cmd</t>
  </si>
  <si>
    <t>Mixed Damper Position Command</t>
  </si>
  <si>
    <t>entity:SSC_AHUB0001_MAD_Pos_Fbk</t>
  </si>
  <si>
    <t>Mixed Damper Position Feedback</t>
  </si>
  <si>
    <t>SSC_AHUB0001_MixDmpr.PositionCmd</t>
  </si>
  <si>
    <t>SSC_AHUB0001_MixDmpr.PositionFbk</t>
  </si>
  <si>
    <t>SSC_AHUB0001_FrshAirHum.PV</t>
  </si>
  <si>
    <t>SSC_AHUB0001_FrshAirTemp.PV</t>
  </si>
  <si>
    <t>entity:SSC_AHUB0001_OAD_Pos_Cmd</t>
  </si>
  <si>
    <t>Fresh Air Damper Position Command</t>
  </si>
  <si>
    <t>entity:SSC_AHUB0001_OAD_Pos_Fbk</t>
  </si>
  <si>
    <t>Fresh Air Damper Position Feedback</t>
  </si>
  <si>
    <t>entity:SSC_AHUB0001_OAD_Pos-Status</t>
  </si>
  <si>
    <t>Fresh Air Damper Status</t>
  </si>
  <si>
    <t>SSC_AHUB0001_FrshDmpr.PositionCmd</t>
  </si>
  <si>
    <t>SSC_AHUB0001_FrshDmpr.PositionFbk</t>
  </si>
  <si>
    <t>SSC_AHUB0001.FrshAirDmprSts</t>
  </si>
  <si>
    <t>SSC_AHUB0001_SP.OccTempSP</t>
  </si>
  <si>
    <t>SSC_AHUB0001.OccMode</t>
  </si>
  <si>
    <t>SSC_AHUB0001_SupPreFlt.PressureHigh</t>
  </si>
  <si>
    <t>SSC_AHUB0001_RtnAirFlow.PV</t>
  </si>
  <si>
    <t>para:Static_Pressure_Sensor</t>
  </si>
  <si>
    <t>SSC_AHUB0001_RtnAirDuctPrs.PV</t>
  </si>
  <si>
    <t>SSC_AHUB0001_RtnAirHum.PV</t>
  </si>
  <si>
    <t>SSC_AHUB0001_RtnAirTemp.PV</t>
  </si>
  <si>
    <t>entity:SSC_AHUB0001_RAD_ReCr_Damper_Pos_100</t>
  </si>
  <si>
    <t>para:Damper_Position_100</t>
  </si>
  <si>
    <t>Damper Position 100</t>
  </si>
  <si>
    <t>entity:SSC_AHUB0001_RAD_ReCr_Damper_Pos_70</t>
  </si>
  <si>
    <t>para:Damper_Position_70</t>
  </si>
  <si>
    <t>Damper Position 70</t>
  </si>
  <si>
    <t>entity:SSC_AHUB0001_RAD_ReCr_Damper_Pos_77.5</t>
  </si>
  <si>
    <t>para:Damper_Position_77.5</t>
  </si>
  <si>
    <t>Damper Position 77.5</t>
  </si>
  <si>
    <t>entity:SSC_AHUB0001_RAD_ReCr_Damper_Pos_85</t>
  </si>
  <si>
    <t>para:Damper_Position_85</t>
  </si>
  <si>
    <t>Damper Position 85</t>
  </si>
  <si>
    <t>entity:SSC_AHUB0001_RAD_ReCr_Damper_Pos_92.5</t>
  </si>
  <si>
    <t>para:Damper_Position_92.5</t>
  </si>
  <si>
    <t>Damper Position 92.5</t>
  </si>
  <si>
    <t>SSC_AHUB_0001_MinFALoocupTb.RecDmprPos100</t>
  </si>
  <si>
    <t>SSC_AHUB_0001_MinFALoocupTb.RecDmprPos70</t>
  </si>
  <si>
    <t>SSC_AHUB_0001_MinFALoocupTb.RecDmprPos77.5</t>
  </si>
  <si>
    <t>SSC_AHUB_0001_MinFALoocupTb.RecDmprPos85</t>
  </si>
  <si>
    <t>SSC_AHUB_0001_MinFALoocupTb.RecDmprPos92.5</t>
  </si>
  <si>
    <t>entity:SSC_AHUB0001_RF_Motor</t>
  </si>
  <si>
    <t>brick:Motor</t>
  </si>
  <si>
    <t>Return Fan Motor</t>
  </si>
  <si>
    <t>entity:SSC_AHUB0001_RF_AutoMan_Status</t>
  </si>
  <si>
    <t>brick:Manual_Auto_Status</t>
  </si>
  <si>
    <t>Return Fan AutoMan_Status</t>
  </si>
  <si>
    <t>entity:SSC_AHUB0001_RF_TripAlm</t>
  </si>
  <si>
    <t>brick:Alarm</t>
  </si>
  <si>
    <t>Return Fan Trip Alarm</t>
  </si>
  <si>
    <t>SSC_AHUB0001_RtnFan.AutoManSts</t>
  </si>
  <si>
    <t>entity:SSC_AHUB0001_RF_Motor_Electrical-Meter</t>
  </si>
  <si>
    <t>brick:Electrical_Meter</t>
  </si>
  <si>
    <t>Electrcial Power Meter</t>
  </si>
  <si>
    <t>entity:SSC_AHUB0001_RF_Motor_Speed_Cmd</t>
  </si>
  <si>
    <t>brick:Speed_Command</t>
  </si>
  <si>
    <t>Return Fan Speed Command</t>
  </si>
  <si>
    <t>entity:SSC_AHUB0001_RF_Motor_Speed_Fbk</t>
  </si>
  <si>
    <t>brick:Speed_Sensor</t>
  </si>
  <si>
    <t>Return Fan Speed Feedback</t>
  </si>
  <si>
    <t>unit:RPM</t>
  </si>
  <si>
    <t>entity:SSC_AHUB0001_RF_Motor_Electrical-Meter_Power-Demand</t>
  </si>
  <si>
    <t>brick:Electric_Power_Sensor</t>
  </si>
  <si>
    <t>Return Fan Electrical Demand</t>
  </si>
  <si>
    <t>entity:SSC_AHUB0001_RF_Motor_Electrical-Meter_Electrical_Energy_Consumption</t>
  </si>
  <si>
    <t>brick:Electrical_Energy_Usage_Sensor</t>
  </si>
  <si>
    <t>Return Fan Energy Consumption</t>
  </si>
  <si>
    <t>unit:MegaW-HR</t>
  </si>
  <si>
    <t>SSC_AHUB0001_RtnFan.kWh</t>
  </si>
  <si>
    <t>SSC_AHUB0001_RtnFan.kW</t>
  </si>
  <si>
    <t>SSC_AHUB0001_RtnFan.SpeedCmd</t>
  </si>
  <si>
    <t>SSC_AHUB0001_RtnFan.SpeedFbk</t>
  </si>
  <si>
    <t>SSC_AHUB0001_RtnFan.TripAlm</t>
  </si>
  <si>
    <t>SSC_AHUB0001_SupAirFlow.PV</t>
  </si>
  <si>
    <t>SSC_AHUB0001_SupAirDuctPrsRmt1.PV</t>
  </si>
  <si>
    <t>SSC_AHUB0001_SupAirHum.PV</t>
  </si>
  <si>
    <t>SSC_AHUB0001_SP.PressSP</t>
  </si>
  <si>
    <t>SSC_AHUB0001_SupAirTemp.PV</t>
  </si>
  <si>
    <t>entity:SSC_AHUB0001_SF_Motor</t>
  </si>
  <si>
    <t>Supply Fan Motor</t>
  </si>
  <si>
    <t>entity:SSC_AHUB0001_SF_TripAlm</t>
  </si>
  <si>
    <t>Supplu Fan Trip Alarm</t>
  </si>
  <si>
    <t>entity:SSC_AHUB0001_SF_AutoMan_Status</t>
  </si>
  <si>
    <t>Supply Fan Auto Man Status</t>
  </si>
  <si>
    <t>entity:SSC_AHUB0001_SF_FailtoStop</t>
  </si>
  <si>
    <t>para:Fail_Stop_Alarm</t>
  </si>
  <si>
    <t>Supply Fan Fail to Stop</t>
  </si>
  <si>
    <t>entity:SSC_AHUB0001_SF_FailtoStart</t>
  </si>
  <si>
    <t>para:Fail_Start_Alarm</t>
  </si>
  <si>
    <t>Supply Fan FailtoStart</t>
  </si>
  <si>
    <t>entity:SSC_AHUB0001_SF_Status</t>
  </si>
  <si>
    <t>brick:On_Off_Status</t>
  </si>
  <si>
    <t>Supply Fan Status</t>
  </si>
  <si>
    <t>SSC_AHUB0001_SupFan.AutoManSts</t>
  </si>
  <si>
    <t>SSC_AHUB0001_SupFan.FTST</t>
  </si>
  <si>
    <t>SSC_AHUB0001_SupFan.FTSP</t>
  </si>
  <si>
    <t>entity:SSC_AHUB0001_SF_Motor_Electrical-Meter</t>
  </si>
  <si>
    <t>entity:SSC_AHUB0001_SF_Motor_Speed_Cmd</t>
  </si>
  <si>
    <t>Supply Fan Speed Command</t>
  </si>
  <si>
    <t>entity:SSC_AHUB0001_SF_Motor_Speed_Fbk</t>
  </si>
  <si>
    <t>Supply Fan Speed Feedback</t>
  </si>
  <si>
    <t>para:ratedFrequency</t>
  </si>
  <si>
    <t>unit:HZ</t>
  </si>
  <si>
    <t>para:ratedPower</t>
  </si>
  <si>
    <t>para:ratedVoltage</t>
  </si>
  <si>
    <t>unit:V</t>
  </si>
  <si>
    <t>entity:SSC_AHUB0001_SF_Motor_Electrical_Energy_Consumption</t>
  </si>
  <si>
    <t>SSC_AHUB0001_SupFan.kWh</t>
  </si>
  <si>
    <t>entity:SSC_AHUB0001_SF_Motor_Electrical-Meter_Power-Demand</t>
  </si>
  <si>
    <t>Supply Fan Electrical Demand</t>
  </si>
  <si>
    <t>Supply Fan Energy Consumption</t>
  </si>
  <si>
    <t>SSC_AHUB0001_SupFan.kW</t>
  </si>
  <si>
    <t>SSC_AHUB0001_SupFan.SpeedCmd</t>
  </si>
  <si>
    <t>SSC_AHUB0001_SupFan.SpeedFbk</t>
  </si>
  <si>
    <t>brick:Fan_Status</t>
  </si>
  <si>
    <t>SSC_AHUB0001.SupFanSts</t>
  </si>
  <si>
    <t>SSC_AHUB0001_SupFan.TripAlm</t>
  </si>
  <si>
    <t>SSC_AHUB0001_SP.UnOccTempSP</t>
  </si>
  <si>
    <t>entity:SSC_AHUB0002</t>
  </si>
  <si>
    <t>entity:SSC_AHUB0002_CHW-Coil</t>
  </si>
  <si>
    <t>entity:SSC_AHUB0002_Filter</t>
  </si>
  <si>
    <t>entity:SSC_AHUB0002_OAD</t>
  </si>
  <si>
    <t>entity:SSC_AHUB0002_RAD</t>
  </si>
  <si>
    <t>entity:SSC_AHUB0002_MAD</t>
  </si>
  <si>
    <t>entity:SSC_AHUB0002_EAD</t>
  </si>
  <si>
    <t>entity:SSC_AHUB0002_RF</t>
  </si>
  <si>
    <t>entity:SSC_AHUB0002_SF</t>
  </si>
  <si>
    <t>entity:SSC_AHUB0002_Heater</t>
  </si>
  <si>
    <t>entity:SSC_AHUB0002_OA_RH</t>
  </si>
  <si>
    <t>entity:SSC_AHUB0002_OA_Temperature</t>
  </si>
  <si>
    <t>entity:SSC_AHUB0002_RA_RH</t>
  </si>
  <si>
    <t>entity:SSC_AHUB0002_RA_Temperature</t>
  </si>
  <si>
    <t>entity:SSC_AHUB0002_RA_Flow</t>
  </si>
  <si>
    <t>entity:SSC_AHUB0002_MA_Temperature</t>
  </si>
  <si>
    <t>entity:SSC_AHUB0002_SA_Flow</t>
  </si>
  <si>
    <t>entity:SSC_AHUB0002_SA_RH</t>
  </si>
  <si>
    <t>entity:SSC_AHUB0002_SAT</t>
  </si>
  <si>
    <t>entity:SSC_AHUB0002_Occupancy_Mode</t>
  </si>
  <si>
    <t>entity:SSC_AHUB0002_Dehum_Setpoint</t>
  </si>
  <si>
    <t>entity:SSC_AHUB0002_Occ_Temp_Setpoint</t>
  </si>
  <si>
    <t>entity:SSC_AHUB0002_SAP_Setpoint</t>
  </si>
  <si>
    <t>entity:SSC_AHUB0002_UnOcc_Temp_Setpoint</t>
  </si>
  <si>
    <t>entity:SSC_AHUB0002_Enable_Disable_Cmd</t>
  </si>
  <si>
    <t>entity:SSC_AHUB0002_Pressure_High_Filter_Dirty_Status</t>
  </si>
  <si>
    <t>entity:SSC_AHUB0002_High_Pressure_Alarm</t>
  </si>
  <si>
    <t>entity:SSC_AHUB0002_SA_P-Static</t>
  </si>
  <si>
    <t>Supply Air Duct Remote Pressure 02</t>
  </si>
  <si>
    <t>entity:SSC_AHUB0002_RA_P-Static</t>
  </si>
  <si>
    <t>SSC AHUB0002</t>
  </si>
  <si>
    <t>1440 l/s</t>
  </si>
  <si>
    <t>9800 l/s</t>
  </si>
  <si>
    <t>entity:SSC_B1_014_VENT_PLANT</t>
  </si>
  <si>
    <t>SSC_AHUB0002</t>
  </si>
  <si>
    <t>entity:SSC_AHUB0002_CHW-Coil_Valve</t>
  </si>
  <si>
    <t>entity:SSC_AHUB0002_CHW-Coil_Cooling-Load-Consumption</t>
  </si>
  <si>
    <t>entity:SSC_AHUB0002_CHW-Coil_Cooling-Load-Demand</t>
  </si>
  <si>
    <t>entity:SSC_AHUB0002_Cooling-Thermal-Virtual-Meter</t>
  </si>
  <si>
    <t>entity:SSC_AHUB0002_CHW-Coil_Valve_Pos-Command</t>
  </si>
  <si>
    <t>entity:SSC_AHUB0002_CHW-Coil_Valve_Pos-Feedback</t>
  </si>
  <si>
    <t>SSC_AHUB0002_CoolVlv.PosCmd</t>
  </si>
  <si>
    <t>SSC_AHUB0002_CoolVlv.PosFbk</t>
  </si>
  <si>
    <t>SSC_AHUB0002_SP.DehumSP</t>
  </si>
  <si>
    <t>entity:SSC_AHUB0002_EAD_Pos_Cmd</t>
  </si>
  <si>
    <t>entity:SSC_AHUB0002_EAD_Pos_Fbk</t>
  </si>
  <si>
    <t>entity:SSC_AHUB0002_EAD_Pos-Status</t>
  </si>
  <si>
    <t>SSC_AHUB0002_ExhDmpr.PositionCmd</t>
  </si>
  <si>
    <t>SSC_AHUB0002_ExhDmpr.PositionFbk</t>
  </si>
  <si>
    <t>SSC_AHUB0002.ExAirDmprSts</t>
  </si>
  <si>
    <t>SSC_AHUB0002.EnableDisableCmd</t>
  </si>
  <si>
    <t>entity:SSC_AHUB0002_Heater_Command</t>
  </si>
  <si>
    <t>SSC_AHUB0002_SupHtr.HtrCtrl</t>
  </si>
  <si>
    <t>SSC_AHUB0002_SP.PressSWHigh</t>
  </si>
  <si>
    <t>SSC_AHUB0002_MixAirTemp.PV</t>
  </si>
  <si>
    <t>entity:SSC_AHUB0002_MAD_Pos_Cmd</t>
  </si>
  <si>
    <t>entity:SSC_AHUB0002_MAD_Pos_Fbk</t>
  </si>
  <si>
    <t>SSC_AHUB0002_MixDmpr.PositionCmd</t>
  </si>
  <si>
    <t>SSC_AHUB0002_MixDmpr.PositionFbk</t>
  </si>
  <si>
    <t>SSC_AHUB0002_FrshAirHum.PV</t>
  </si>
  <si>
    <t>SSC_AHUB0002_FrshAirTemp.PV</t>
  </si>
  <si>
    <t>entity:SSC_AHUB0002_OAD_Pos_Cmd</t>
  </si>
  <si>
    <t>entity:SSC_AHUB0002_OAD_Pos_Fbk</t>
  </si>
  <si>
    <t>entity:SSC_AHUB0002_OAD_Pos-Status</t>
  </si>
  <si>
    <t>SSC_AHUB0002_FrshDmpr.PositionCmd</t>
  </si>
  <si>
    <t>SSC_AHUB0002_FrshDmpr.PositionFbk</t>
  </si>
  <si>
    <t>SSC_AHUB0002.FrshAirDmprSts</t>
  </si>
  <si>
    <t>SSC_AHUB0002_SP.OccTempSP</t>
  </si>
  <si>
    <t>SSC_AHUB0002.OccMode</t>
  </si>
  <si>
    <t>SSC_AHUB0002_SupPreFlt.PressureHigh</t>
  </si>
  <si>
    <t>SSC_AHUB0002_RtnAirFlow.PV</t>
  </si>
  <si>
    <t>SSC_AHUB0002_RtnAirHum.PV</t>
  </si>
  <si>
    <t>SSC_AHUB0002_RtnAirTemp.PV</t>
  </si>
  <si>
    <t>entity:SSC_AHUB0002_RAD_ReCr_Damper_Pos_100</t>
  </si>
  <si>
    <t>entity:SSC_AHUB0002_RAD_ReCr_Damper_Pos_70</t>
  </si>
  <si>
    <t>entity:SSC_AHUB0002_RAD_ReCr_Damper_Pos_77.5</t>
  </si>
  <si>
    <t>entity:SSC_AHUB0002_RAD_ReCr_Damper_Pos_85</t>
  </si>
  <si>
    <t>entity:SSC_AHUB0002_RAD_ReCr_Damper_Pos_92.5</t>
  </si>
  <si>
    <t>SSC_AHUB_0002_MinFALoocupTb.RecDmprPos100</t>
  </si>
  <si>
    <t>SSC_AHUB_0002_MinFALoocupTb.RecDmprPos70</t>
  </si>
  <si>
    <t>SSC_AHUB_0002_MinFALoocupTb.RecDmprPos77.5</t>
  </si>
  <si>
    <t>SSC_AHUB_0002_MinFALoocupTb.RecDmprPos85</t>
  </si>
  <si>
    <t>SSC_AHUB_0002_MinFALoocupTb.RecDmprPos92.5</t>
  </si>
  <si>
    <t>entity:SSC_AHUB0002_RF_Motor</t>
  </si>
  <si>
    <t>entity:SSC_AHUB0002_RF_AutoMan_Status</t>
  </si>
  <si>
    <t>entity:SSC_AHUB0002_RF_TripAlm</t>
  </si>
  <si>
    <t>SSC_AHUB0002_RtnFan.AutoManSts</t>
  </si>
  <si>
    <t>entity:SSC_AHUB0002_RF_Motor_Electrical-Meter</t>
  </si>
  <si>
    <t>entity:SSC_AHUB0002_RF_Motor_Speed_Cmd</t>
  </si>
  <si>
    <t>entity:SSC_AHUB0002_RF_Motor_Speed_Fbk</t>
  </si>
  <si>
    <t>entity:SSC_AHUB0002_RF_Motor_Electrical-Meter_Power-Demand</t>
  </si>
  <si>
    <t>entity:SSC_AHUB0002_RF_Motor_Electrical-Meter_Electrical_Energy_Consumption</t>
  </si>
  <si>
    <t>SSC_AHUB0002_RtnFan.kWh</t>
  </si>
  <si>
    <t>SSC_AHUB0002_RtnFan.kW</t>
  </si>
  <si>
    <t>SSC_AHUB0002_RtnFan.SpeedCmd</t>
  </si>
  <si>
    <t>SSC_AHUB0002_RtnFan.SpeedFbk</t>
  </si>
  <si>
    <t>SSC_AHUB0002_RtnFan.TripAlm</t>
  </si>
  <si>
    <t>SSC_AHUB0002_SupAirFlow.PV</t>
  </si>
  <si>
    <t>SSC_AHUB0002_SupAirDuctPrsRmt2.PV</t>
  </si>
  <si>
    <t>SSC_AHUB0002_SupAirDuctPrsRmt1.PV</t>
  </si>
  <si>
    <t>SSC_AHUB0002_SupAirHum.PV</t>
  </si>
  <si>
    <t>SSC_AHUB0002_SP.PressSP</t>
  </si>
  <si>
    <t>SSC_AHUB0002_SupAirTemp.PV</t>
  </si>
  <si>
    <t>entity:SSC_AHUB0002_SF_Motor</t>
  </si>
  <si>
    <t>entity:SSC_AHUB0002_SF_TripAlm</t>
  </si>
  <si>
    <t>entity:SSC_AHUB0002_SF_AutoMan_Status</t>
  </si>
  <si>
    <t>entity:SSC_AHUB0002_SF_FailtoStop</t>
  </si>
  <si>
    <t>entity:SSC_AHUB0002_SF_FailtoStart</t>
  </si>
  <si>
    <t>entity:SSC_AHUB0002_SF_Status</t>
  </si>
  <si>
    <t>SSC_AHUB0002_SupFan.AutoManSts</t>
  </si>
  <si>
    <t>SSC_AHUB0002_SupFan.FTST</t>
  </si>
  <si>
    <t>SSC_AHUB0002_SupFan.FTSP</t>
  </si>
  <si>
    <t>entity:SSC_AHUB0002_SF_Motor_Electrical-Meter</t>
  </si>
  <si>
    <t>entity:SSC_AHUB0002_SF_Motor_Speed_Cmd</t>
  </si>
  <si>
    <t>entity:SSC_AHUB0002_SF_Motor_Speed_Fbk</t>
  </si>
  <si>
    <t>entity:SSC_AHUB0002_SF_Motor_Electrical_Energy_Consumption</t>
  </si>
  <si>
    <t>SSC_AHUB0002_SupFan.kWh</t>
  </si>
  <si>
    <t>entity:SSC_AHUB0002_SF_Motor_Electrical-Meter_Power-Demand</t>
  </si>
  <si>
    <t>SSC_AHUB0002_SupFan.kW</t>
  </si>
  <si>
    <t>SSC_AHUB0002_SupFan.SpeedCmd</t>
  </si>
  <si>
    <t>SSC_AHUB0002_SupFan.SpeedFbk</t>
  </si>
  <si>
    <t>SSC_AHUB0002.SupFanSts</t>
  </si>
  <si>
    <t>SSC_AHUB0002_SupFan.TripAlm</t>
  </si>
  <si>
    <t>SSC_AHUB0002_SP.UnOccTempSP</t>
  </si>
  <si>
    <t>entity:SSC_AHUB0003</t>
  </si>
  <si>
    <t>entity:SSC_AHUB0003_CHW-Coil</t>
  </si>
  <si>
    <t>entity:SSC_AHUB0003_Filter</t>
  </si>
  <si>
    <t>entity:SSC_AHUB0003_OAD</t>
  </si>
  <si>
    <t>entity:SSC_AHUB0003_RAD</t>
  </si>
  <si>
    <t>entity:SSC_AHUB0003_MAD</t>
  </si>
  <si>
    <t>entity:SSC_AHUB0003_EAD</t>
  </si>
  <si>
    <t>entity:SSC_AHUB0003_RF</t>
  </si>
  <si>
    <t>entity:SSC_AHUB0003_SF</t>
  </si>
  <si>
    <t>entity:SSC_AHUB0003_Heater</t>
  </si>
  <si>
    <t>entity:SSC_AHUB0003_OA_RH</t>
  </si>
  <si>
    <t>entity:SSC_AHUB0003_OA_Temperature</t>
  </si>
  <si>
    <t>entity:SSC_AHUB0003_RA_RH</t>
  </si>
  <si>
    <t>entity:SSC_AHUB0003_RA_Temperature</t>
  </si>
  <si>
    <t>entity:SSC_AHUB0003_RA_Flow</t>
  </si>
  <si>
    <t>entity:SSC_AHUB0003_MA_Temperature</t>
  </si>
  <si>
    <t>entity:SSC_AHUB0003_SA_Flow</t>
  </si>
  <si>
    <t>entity:SSC_AHUB0003_SA_RH</t>
  </si>
  <si>
    <t>entity:SSC_AHUB0003_SAT</t>
  </si>
  <si>
    <t>entity:SSC_AHUB0003_Occupancy_Mode</t>
  </si>
  <si>
    <t>entity:SSC_AHUB0003_Dehum_Setpoint</t>
  </si>
  <si>
    <t>entity:SSC_AHUB0003_Occ_Temp_Setpoint</t>
  </si>
  <si>
    <t>entity:SSC_AHUB0003_UnOcc_Temp_Setpoint</t>
  </si>
  <si>
    <t>entity:SSC_AHUB0003_Enable_Disable_Cmd</t>
  </si>
  <si>
    <t>entity:SSC_AHUB0003_Pressure_High_Filter_Dirty_Status</t>
  </si>
  <si>
    <t>entity:SSC_AHUB0003_High_Pressure_Alarm</t>
  </si>
  <si>
    <t>entity:SSC_AHUB0003_SA_P-Static</t>
  </si>
  <si>
    <t>entity:SSC_AHUB0003_RA_P-Static</t>
  </si>
  <si>
    <t>SSC AHUB0003</t>
  </si>
  <si>
    <t>320 l/s</t>
  </si>
  <si>
    <t>5700 l/s</t>
  </si>
  <si>
    <t>SSC_AHUB0003</t>
  </si>
  <si>
    <t>entity:SSC_AHUB0003_CHW-Coil_Valve</t>
  </si>
  <si>
    <t>entity:SSC_AHUB0003_CHW-Coil_Cooling-Load-Consumption</t>
  </si>
  <si>
    <t>entity:SSC_AHUB0003_CHW-Coil_Cooling-Load-Demand</t>
  </si>
  <si>
    <t>entity:SSC_AHUB0003_Cooling-Thermal-Virtual-Meter</t>
  </si>
  <si>
    <t>entity:SSC_AHUB0003_CHW-Coil_Valve_Pos-Command</t>
  </si>
  <si>
    <t>entity:SSC_AHUB0003_CHW-Coil_Valve_Pos-Feedback</t>
  </si>
  <si>
    <t>SSC_AHUB0003_CoolVlv.PosCmd</t>
  </si>
  <si>
    <t>SSC_AHUB0003_CoolVlv.PosFbk</t>
  </si>
  <si>
    <t>SSC_AHUB0003_SP.DehumSP</t>
  </si>
  <si>
    <t>entity:SSC_AHUB0003_EAD_Pos_Cmd</t>
  </si>
  <si>
    <t>entity:SSC_AHUB0003_EAD_Pos_Fbk</t>
  </si>
  <si>
    <t>entity:SSC_AHUB0003_EAD_Pos-Status</t>
  </si>
  <si>
    <t>SSC_AHUB0003_ExhDmpr.PositionCmd</t>
  </si>
  <si>
    <t>SSC_AHUB0003_ExhDmpr.PositionFbk</t>
  </si>
  <si>
    <t>SSC_AHUB0003.ExAirDmprSts</t>
  </si>
  <si>
    <t>SSC_AHUB0003.EnableDisableCmd</t>
  </si>
  <si>
    <t>entity:SSC_AHUB0003_Heater_Command</t>
  </si>
  <si>
    <t>SSC_AHUB0003_SupHtr.HtrCtrl</t>
  </si>
  <si>
    <t>SSC_AHUB0003_SP.PressSWHigh</t>
  </si>
  <si>
    <t>SSC_AHUB0003_MixAirTemp.PV</t>
  </si>
  <si>
    <t>entity:SSC_AHUB0003_MAD_Pos_Cmd</t>
  </si>
  <si>
    <t>entity:SSC_AHUB0003_MAD_Pos_Fbk</t>
  </si>
  <si>
    <t>SSC_AHUB0003_MixDmpr.PositionCmd</t>
  </si>
  <si>
    <t>SSC_AHUB0003_MixDmpr.PositionFbk</t>
  </si>
  <si>
    <t>SSC_AHUB0003_FrshAirHum.PV</t>
  </si>
  <si>
    <t>SSC_AHUB0003_FrshAirTemp.PV</t>
  </si>
  <si>
    <t>entity:SSC_AHUB0003_OAD_Pos_Cmd</t>
  </si>
  <si>
    <t>entity:SSC_AHUB0003_OAD_Pos_Fbk</t>
  </si>
  <si>
    <t>entity:SSC_AHUB0003_OAD_Pos-Status</t>
  </si>
  <si>
    <t>SSC_AHUB0003_FrshDmpr.PositionCmd</t>
  </si>
  <si>
    <t>SSC_AHUB0003_FrshDmpr.PositionFbk</t>
  </si>
  <si>
    <t>SSC_AHUB0003.FrshAirDmprSts</t>
  </si>
  <si>
    <t>SSC_AHUB0003_SP.OccTempSP</t>
  </si>
  <si>
    <t>SSC_AHUB0003.OccMode</t>
  </si>
  <si>
    <t>SSC_AHUB0003_SupPreFlt.PressureHigh</t>
  </si>
  <si>
    <t>SSC_AHUB0003_RtnAirFlow.PV</t>
  </si>
  <si>
    <t>SSC_AHUB0003_RtnAirHum.PV</t>
  </si>
  <si>
    <t>SSC_AHUB0003_RtnAirTemp.PV</t>
  </si>
  <si>
    <t>entity:SSC_AHUB0003_RAD_ReCr_Damper_Pos_100</t>
  </si>
  <si>
    <t>entity:SSC_AHUB0003_RAD_ReCr_Damper_Pos_70</t>
  </si>
  <si>
    <t>entity:SSC_AHUB0003_RAD_ReCr_Damper_Pos_77.5</t>
  </si>
  <si>
    <t>entity:SSC_AHUB0003_RAD_ReCr_Damper_Pos_85</t>
  </si>
  <si>
    <t>entity:SSC_AHUB0003_RAD_ReCr_Damper_Pos_92.5</t>
  </si>
  <si>
    <t>SSC_AHUB_0003_MinFALoocupTb.RecDmprPos100</t>
  </si>
  <si>
    <t>SSC_AHUB_0003_MinFALoocupTb.RecDmprPos70</t>
  </si>
  <si>
    <t>SSC_AHUB_0003_MinFALoocupTb.RecDmprPos77.5</t>
  </si>
  <si>
    <t>SSC_AHUB_0003_MinFALoocupTb.RecDmprPos85</t>
  </si>
  <si>
    <t>SSC_AHUB_0003_MinFALoocupTb.RecDmprPos92.5</t>
  </si>
  <si>
    <t>entity:SSC_AHUB0003_RF_Motor</t>
  </si>
  <si>
    <t>entity:SSC_AHUB0003_RF_AutoMan_Status</t>
  </si>
  <si>
    <t>entity:SSC_AHUB0003_RF_TripAlm</t>
  </si>
  <si>
    <t>SSC_AHUB0003_RtnFan.AutoManSts</t>
  </si>
  <si>
    <t>entity:SSC_AHUB0003_RF_Motor_Electrical-Meter</t>
  </si>
  <si>
    <t>entity:SSC_AHUB0003_RF_Motor_Speed_Cmd</t>
  </si>
  <si>
    <t>entity:SSC_AHUB0003_RF_Motor_Speed_Fbk</t>
  </si>
  <si>
    <t>entity:SSC_AHUB0003_RF_Motor_Electrical-Meter_Power-Demand</t>
  </si>
  <si>
    <t>entity:SSC_AHUB0003_RF_Motor_Electrical-Meter_Electrical_Energy_Consumption</t>
  </si>
  <si>
    <t>SSC_AHUB0003_RtnFan.kWh</t>
  </si>
  <si>
    <t>SSC_AHUB0003_RtnFan.kW</t>
  </si>
  <si>
    <t>SSC_AHUB0003_RtnFan.SpeedCmd</t>
  </si>
  <si>
    <t>SSC_AHUB0003_RtnFan.SpeedFbk</t>
  </si>
  <si>
    <t>SSC_AHUB0003_RtnFan.TripAlm</t>
  </si>
  <si>
    <t>SSC_AHUB0003_SupAirFlow.PV</t>
  </si>
  <si>
    <t>SSC_AHUB0003_SupAirDuctPrsRmt2.PV</t>
  </si>
  <si>
    <t>SSC_AHUB0003_SupAirDuctPrsRmt1.PV</t>
  </si>
  <si>
    <t>SSC_AHUB0003_SupAirHum.PV</t>
  </si>
  <si>
    <t>SSC_AHUB0003_SupAirTemp.PV</t>
  </si>
  <si>
    <t>entity:SSC_AHUB0003_SF_Motor</t>
  </si>
  <si>
    <t>entity:SSC_AHUB0003_SF_TripAlm</t>
  </si>
  <si>
    <t>entity:SSC_AHUB0003_SF_AutoMan_Status</t>
  </si>
  <si>
    <t>entity:SSC_AHUB0003_SF_FailtoStop</t>
  </si>
  <si>
    <t>entity:SSC_AHUB0003_SF_FailtoStart</t>
  </si>
  <si>
    <t>entity:SSC_AHUB0003_SF_Status</t>
  </si>
  <si>
    <t>SSC_AHUB0003_SupFan.AutoManSts</t>
  </si>
  <si>
    <t>SSC_AHUB0003_SupFan.FTST</t>
  </si>
  <si>
    <t>SSC_AHUB0003_SupFan.FTSP</t>
  </si>
  <si>
    <t>entity:SSC_AHUB0003_SF_Motor_Electrical-Meter</t>
  </si>
  <si>
    <t>entity:SSC_AHUB0003_SF_Motor_Speed_Cmd</t>
  </si>
  <si>
    <t>entity:SSC_AHUB0003_SF_Motor_Speed_Fbk</t>
  </si>
  <si>
    <t>entity:SSC_AHUB0003_SF_Motor_Electrical_Energy_Consumption</t>
  </si>
  <si>
    <t>SSC_AHUB0003_SupFan.kWh</t>
  </si>
  <si>
    <t>entity:SSC_AHUB0003_SF_Motor_Electrical-Meter_Power-Demand</t>
  </si>
  <si>
    <t>SSC_AHUB0003_SupFan.kW</t>
  </si>
  <si>
    <t>SSC_AHUB0003_SupFan.SpeedCmd</t>
  </si>
  <si>
    <t>SSC_AHUB0003_SupFan.SpeedFbk</t>
  </si>
  <si>
    <t>SSC_AHUB0003.SupFanSts</t>
  </si>
  <si>
    <t>SSC_AHUB0003_SupFan.TripAlm</t>
  </si>
  <si>
    <t>SSC_AHUB0003_SP.UnOccTempSP</t>
  </si>
  <si>
    <t>entity:SSC_AHUB0004</t>
  </si>
  <si>
    <t>entity:SSC_AHUB0004_CHW-Coil</t>
  </si>
  <si>
    <t>entity:SSC_AHUB0004_Filter</t>
  </si>
  <si>
    <t>entity:SSC_AHUB0004_OAD</t>
  </si>
  <si>
    <t>entity:SSC_AHUB0004_RAD</t>
  </si>
  <si>
    <t>entity:SSC_AHUB0004_MAD</t>
  </si>
  <si>
    <t>entity:SSC_AHUB0004_EAD</t>
  </si>
  <si>
    <t>entity:SSC_AHUB0004_RF</t>
  </si>
  <si>
    <t>entity:SSC_AHUB0004_SF</t>
  </si>
  <si>
    <t>entity:SSC_AHUB0004_Heater</t>
  </si>
  <si>
    <t>entity:SSC_AHUB0004_OA_RH</t>
  </si>
  <si>
    <t>entity:SSC_AHUB0004_OA_Temperature</t>
  </si>
  <si>
    <t>entity:SSC_AHUB0004_RA_RH</t>
  </si>
  <si>
    <t>entity:SSC_AHUB0004_RA_Temperature</t>
  </si>
  <si>
    <t>entity:SSC_AHUB0004_RA_Flow</t>
  </si>
  <si>
    <t>entity:SSC_AHUB0004_MA_Temperature</t>
  </si>
  <si>
    <t>entity:SSC_AHUB0004_SA_Flow</t>
  </si>
  <si>
    <t>entity:SSC_AHUB0004_SA_RH</t>
  </si>
  <si>
    <t>entity:SSC_AHUB0004_SAT</t>
  </si>
  <si>
    <t>entity:SSC_AHUB0004_Occupancy_Mode</t>
  </si>
  <si>
    <t>entity:SSC_AHUB0004_Dehum_Setpoint</t>
  </si>
  <si>
    <t>entity:SSC_AHUB0004_Occ_Temp_Setpoint</t>
  </si>
  <si>
    <t>entity:SSC_AHUB0004_SAP_Setpoint</t>
  </si>
  <si>
    <t>entity:SSC_AHUB0004_UnOcc_Temp_Setpoint</t>
  </si>
  <si>
    <t>entity:SSC_AHUB0004_Enable_Disable_Cmd</t>
  </si>
  <si>
    <t>entity:SSC_AHUB0004_Pressure_High_Filter_Dirty_Status</t>
  </si>
  <si>
    <t>entity:SSC_AHUB0004_High_Pressure_Alarm</t>
  </si>
  <si>
    <t>entity:SSC_AHUB0004_RA_P-Static_01</t>
  </si>
  <si>
    <t>para:Return_Air_Static_Pressure_Sensor_01</t>
  </si>
  <si>
    <t>Return Air Duct Pressure 01</t>
  </si>
  <si>
    <t>entity:SSC_AHUB0004_RA_P-Static_02</t>
  </si>
  <si>
    <t>para:Return_Air_Static_Pressure_Sensor_02</t>
  </si>
  <si>
    <t>Return Air Duct Pressure 02</t>
  </si>
  <si>
    <t>entity:SSC_AHUB0004_SA_P-Static</t>
  </si>
  <si>
    <t>entity:SSC_AHUB0004_RA_P-Static</t>
  </si>
  <si>
    <t>SSC AHUB0004</t>
  </si>
  <si>
    <t>1070 l/s</t>
  </si>
  <si>
    <t>7800 l/s</t>
  </si>
  <si>
    <t>entity:SSC_B1_008_VENT_PLANT</t>
  </si>
  <si>
    <t>SSC_AHUB0004</t>
  </si>
  <si>
    <t>entity:SSC_AHUB0004_CHW-Coil_Valve</t>
  </si>
  <si>
    <t>entity:SSC_AHUB0004_CHW-Coil_Cooling-Load-Consumption</t>
  </si>
  <si>
    <t>entity:SSC_AHUB0004_CHW-Coil_Cooling-Load-Demand</t>
  </si>
  <si>
    <t>entity:SSC_AHUB0004_Cooling-Thermal-Virtual-Meter</t>
  </si>
  <si>
    <t>entity:SSC_AHUB0004_CHW-Coil_Valve_Pos-Command</t>
  </si>
  <si>
    <t>entity:SSC_AHUB0004_CHW-Coil_Valve_Pos-Feedback</t>
  </si>
  <si>
    <t>SSC_AHUB0004_CoolVlv.PosCmd</t>
  </si>
  <si>
    <t>SSC_AHUB0004_CoolVlv.PosFbk</t>
  </si>
  <si>
    <t>SSC_AHUB0004_SP.DehumSP</t>
  </si>
  <si>
    <t>entity:SSC_AHUB0004_EAD_Pos_Cmd</t>
  </si>
  <si>
    <t>entity:SSC_AHUB0004_EAD_Pos_Fbk</t>
  </si>
  <si>
    <t>entity:SSC_AHUB0004_EAD_Pos-Status</t>
  </si>
  <si>
    <t>SSC_AHUB0004_ExhDmpr.PositionCmd</t>
  </si>
  <si>
    <t>SSC_AHUB0004_ExhDmpr.PositionFbk</t>
  </si>
  <si>
    <t>SSC_AHUB0004.ExAirDmprSts</t>
  </si>
  <si>
    <t>SSC_AHUB0004.EnableDisableCmd</t>
  </si>
  <si>
    <t>entity:SSC_AHUB0004_Heater_Command</t>
  </si>
  <si>
    <t>SSC_AHUB0004_SupHtr.HtrCtrl</t>
  </si>
  <si>
    <t>SSC_AHUB0004_SP.PressSWHigh</t>
  </si>
  <si>
    <t>SSC_AHUB0004_MixAirTemp.PV</t>
  </si>
  <si>
    <t>entity:SSC_AHUB0004_MAD_Pos_Cmd</t>
  </si>
  <si>
    <t>entity:SSC_AHUB0004_MAD_Pos_Fbk</t>
  </si>
  <si>
    <t>SSC_AHUB0004_MixDmpr.PositionCmd</t>
  </si>
  <si>
    <t>SSC_AHUB0004_MixDmpr.PositionFbk</t>
  </si>
  <si>
    <t>SSC_AHUB0004_FrshAirHum.PV</t>
  </si>
  <si>
    <t>SSC_AHUB0004_FrshAirTemp.PV</t>
  </si>
  <si>
    <t>entity:SSC_AHUB0004_OAD_Pos_Cmd</t>
  </si>
  <si>
    <t>entity:SSC_AHUB0004_OAD_Pos_Fbk</t>
  </si>
  <si>
    <t>entity:SSC_AHUB0004_OAD_Pos-Status</t>
  </si>
  <si>
    <t>SSC_AHUB0004_FrshDmpr.PositionCmd</t>
  </si>
  <si>
    <t>SSC_AHUB0004_FrshDmpr.PositionFbk</t>
  </si>
  <si>
    <t>SSC_AHUB0004.FrshAirDmprSts</t>
  </si>
  <si>
    <t>SSC_AHUB0004_SP.OccTempSP</t>
  </si>
  <si>
    <t>SSC_AHUB0004.OccMode</t>
  </si>
  <si>
    <t>SSC_AHUB0004_SupPreFlt.PressureHigh</t>
  </si>
  <si>
    <t>SSC_AHUB0004_RtnAirFlow.PV</t>
  </si>
  <si>
    <t>para:Static_Pressure_Sensor_01</t>
  </si>
  <si>
    <t>SSC_AHUB0004_RtnAirDuctPrs1.PV</t>
  </si>
  <si>
    <t>para:Static_Pressure_Sensor_02</t>
  </si>
  <si>
    <t>SSC_AHUB0004_RtnAirDuctPrs2.PV</t>
  </si>
  <si>
    <t>SSC_AHUB0004_RtnAirHum.PV</t>
  </si>
  <si>
    <t>SSC_AHUB0004_RtnAirTemp.PV</t>
  </si>
  <si>
    <t>entity:SSC_AHUB0004_RAD_ReCr_Damper_Pos_100</t>
  </si>
  <si>
    <t>entity:SSC_AHUB0004_RAD_ReCr_Damper_Pos_70</t>
  </si>
  <si>
    <t>entity:SSC_AHUB0004_RAD_ReCr_Damper_Pos_77.5</t>
  </si>
  <si>
    <t>entity:SSC_AHUB0004_RAD_ReCr_Damper_Pos_85</t>
  </si>
  <si>
    <t>entity:SSC_AHUB0004_RAD_ReCr_Damper_Pos_92.5</t>
  </si>
  <si>
    <t>SSC_AHUB_0004_MinFALoocupTb.RecDmprPos100</t>
  </si>
  <si>
    <t>SSC_AHUB_0004_MinFALoocupTb.RecDmprPos70</t>
  </si>
  <si>
    <t>SSC_AHUB_0004_MinFALoocupTb.RecDmprPos77.5</t>
  </si>
  <si>
    <t>SSC_AHUB_0004_MinFALoocupTb.RecDmprPos85</t>
  </si>
  <si>
    <t>SSC_AHUB_0004_MinFALoocupTb.RecDmprPos92.5</t>
  </si>
  <si>
    <t>entity:SSC_AHUB0004_RF_Motor</t>
  </si>
  <si>
    <t>entity:SSC_AHUB0004_RF_TripAlm</t>
  </si>
  <si>
    <t>entity:SSC_AHUB0004_RF_Motor_Electrical-Meter</t>
  </si>
  <si>
    <t>entity:SSC_AHUB0004_RF_Motor_Speed_Cmd</t>
  </si>
  <si>
    <t>entity:SSC_AHUB0004_RF_Motor_Speed_Fbk</t>
  </si>
  <si>
    <t>entity:SSC_AHUB0004_RF_Motor_Electrical-Meter_Power-Demand</t>
  </si>
  <si>
    <t>entity:SSC_AHUB0004_RF_Motor_Electrical-Meter_Electrical_Energy_Consumption</t>
  </si>
  <si>
    <t>SSC_AHUB0004_RtnFanDty.kW</t>
  </si>
  <si>
    <t>SSC_AHUB0004_RtnFanDty.kWh</t>
  </si>
  <si>
    <t>SSC_AHUB0004_RtnFanDty.SpeedCmd</t>
  </si>
  <si>
    <t>SSC_AHUB0004_RtnFanDty.SpeedFbk</t>
  </si>
  <si>
    <t>SSC_AHUB0004_RtnFanDty.TripAlm</t>
  </si>
  <si>
    <t>SSC_AHUB0004_SupAirFlow.PV</t>
  </si>
  <si>
    <t>SSC_AHUB0004_SupAirDuctPrsRmt2.PV</t>
  </si>
  <si>
    <t>SSC_AHUB0004_SupAirDuctPrsRmt1.PV</t>
  </si>
  <si>
    <t>SSC_AHUB0004_SupAirHum.PV</t>
  </si>
  <si>
    <t>SSC_AHUB0004_SP.PressSP</t>
  </si>
  <si>
    <t>SSC_AHUB0004_SupAirTemp.PV</t>
  </si>
  <si>
    <t>entity:SSC_AHUB0004_SF_Motor</t>
  </si>
  <si>
    <t>entity:SSC_AHUB0004_SF_TripAlm</t>
  </si>
  <si>
    <t>entity:SSC_AHUB0004_SF_AutoMan_Status</t>
  </si>
  <si>
    <t>entity:SSC_AHUB0004_SF_FailtoStop</t>
  </si>
  <si>
    <t>entity:SSC_AHUB0004_SF_FailtoStart</t>
  </si>
  <si>
    <t>entity:SSC_AHUB0004_SF_Status</t>
  </si>
  <si>
    <t>SSC_AHUB0004_SupFan.AutoManSts</t>
  </si>
  <si>
    <t>SSC_AHUB0004_SupFan.FTST</t>
  </si>
  <si>
    <t>SSC_AHUB0004_SupFan.FTSP</t>
  </si>
  <si>
    <t>entity:SSC_AHUB0004_SF_Motor_Electrical-Meter</t>
  </si>
  <si>
    <t>entity:SSC_AHUB0004_SF_Motor_Speed_Cmd</t>
  </si>
  <si>
    <t>entity:SSC_AHUB0004_SF_Motor_Speed_Fbk</t>
  </si>
  <si>
    <t>entity:SSC_AHUB0004_SF_Motor_Electrical_Energy_Consumption</t>
  </si>
  <si>
    <t>SSC_AHUB0004_SupFan.kWh</t>
  </si>
  <si>
    <t>entity:SSC_AHUB0004_SF_Motor_Electrical-Meter_Power-Demand</t>
  </si>
  <si>
    <t>SSC_AHUB0004_SupFan.kW</t>
  </si>
  <si>
    <t>SSC_AHUB0004_SupFan.SpeedCmd</t>
  </si>
  <si>
    <t>SSC_AHUB0004_SupFan.SpeedFbk</t>
  </si>
  <si>
    <t>SSC_AHUB0004.SupFanSts</t>
  </si>
  <si>
    <t>SSC_AHUB0004_SupFan.TripAlm</t>
  </si>
  <si>
    <t>SSC_AHUB0004_SP.UnOccTempSP</t>
  </si>
  <si>
    <t>entity:SSC_AHUB0005</t>
  </si>
  <si>
    <t>entity:SSC_AHUB0005_CHW-Coil</t>
  </si>
  <si>
    <t>entity:SSC_AHUB0005_Filter</t>
  </si>
  <si>
    <t>entity:SSC_AHUB0005_OAD</t>
  </si>
  <si>
    <t>entity:SSC_AHUB0005_RAD</t>
  </si>
  <si>
    <t>entity:SSC_AHUB0005_MAD</t>
  </si>
  <si>
    <t>entity:SSC_AHUB0005_EAD</t>
  </si>
  <si>
    <t>entity:SSC_AHUB0005_RF</t>
  </si>
  <si>
    <t>entity:SSC_AHUB0005_SF</t>
  </si>
  <si>
    <t>entity:SSC_AHUB0005_Heater</t>
  </si>
  <si>
    <t>entity:SSC_AHUB0005_OA_RH</t>
  </si>
  <si>
    <t>entity:SSC_AHUB0005_OA_Temperature</t>
  </si>
  <si>
    <t>entity:SSC_AHUB0005_RA_RH</t>
  </si>
  <si>
    <t>entity:SSC_AHUB0005_RA_Temperature</t>
  </si>
  <si>
    <t>entity:SSC_AHUB0005_RA_Flow</t>
  </si>
  <si>
    <t>entity:SSC_AHUB0005_MA_Temperature</t>
  </si>
  <si>
    <t>entity:SSC_AHUB0005_SA_Flow</t>
  </si>
  <si>
    <t>entity:SSC_AHUB0005_SA_RH</t>
  </si>
  <si>
    <t>entity:SSC_AHUB0005_SAT</t>
  </si>
  <si>
    <t>entity:SSC_AHUB0005_Occupancy_Mode</t>
  </si>
  <si>
    <t>entity:SSC_AHUB0005_Dehum_Setpoint</t>
  </si>
  <si>
    <t>entity:SSC_AHUB0005_Occ_Temp_Setpoint</t>
  </si>
  <si>
    <t>entity:SSC_AHUB0005_UnOcc_Temp_Setpoint</t>
  </si>
  <si>
    <t>entity:SSC_AHUB0005_Enable_Disable_Cmd</t>
  </si>
  <si>
    <t>entity:SSC_AHUB0005_Pressure_High_Filter_Dirty_Status</t>
  </si>
  <si>
    <t>entity:SSC_AHUB0005_High_Pressure_Alarm</t>
  </si>
  <si>
    <t>entity:SSC_AHUB0005_SA_P-Static</t>
  </si>
  <si>
    <t>entity:SSC_AHUB0005_RA_P-Static</t>
  </si>
  <si>
    <t>SSC AHUB0005</t>
  </si>
  <si>
    <t>850 l/s</t>
  </si>
  <si>
    <t>2000 l/s</t>
  </si>
  <si>
    <t>SSC_AHUB0005</t>
  </si>
  <si>
    <t>entity:SSC_AHUB0005_CHW-Coil_Valve</t>
  </si>
  <si>
    <t>entity:SSC_AHUB0005_CHW-Coil_Cooling-Load-Consumption</t>
  </si>
  <si>
    <t>entity:SSC_AHUB0005_CHW-Coil_Cooling-Load-Demand</t>
  </si>
  <si>
    <t>entity:SSC_AHUB0005_Cooling-Thermal-Virtual-Meter</t>
  </si>
  <si>
    <t>entity:SSC_AHUB0005_CHW-Coil_Valve_Pos-Command</t>
  </si>
  <si>
    <t>entity:SSC_AHUB0005_CHW-Coil_Valve_Pos-Feedback</t>
  </si>
  <si>
    <t>SSC_AHUB0005_CoolVlv.PosCmd</t>
  </si>
  <si>
    <t>SSC_AHUB0005_CoolVlv.PosFbk</t>
  </si>
  <si>
    <t>SSC_AHUB0005_SP.DehumSP</t>
  </si>
  <si>
    <t>entity:SSC_AHUB0005_EAD_Pos_Cmd</t>
  </si>
  <si>
    <t>entity:SSC_AHUB0005_EAD_Pos_Fbk</t>
  </si>
  <si>
    <t>entity:SSC_AHUB0005_EAD_Pos-Status</t>
  </si>
  <si>
    <t>SSC_AHUB0005_ExhDmpr.PositionCmd</t>
  </si>
  <si>
    <t>SSC_AHUB0005_ExhDmpr.PositionFbk</t>
  </si>
  <si>
    <t>SSC_AHUB0005.ExAirDmprSts</t>
  </si>
  <si>
    <t>SSC_AHUB0005.EnableDisableCmd</t>
  </si>
  <si>
    <t>entity:SSC_AHUB0005_Heater_Command</t>
  </si>
  <si>
    <t>SSC_AHUB0005_SupHtr.HtrCtrl</t>
  </si>
  <si>
    <t>SSC_AHUB0005_SP.PressSWHigh</t>
  </si>
  <si>
    <t>SSC_AHUB0005_MixAirTemp.PV</t>
  </si>
  <si>
    <t>entity:SSC_AHUB0005_MAD_Pos_Cmd</t>
  </si>
  <si>
    <t>entity:SSC_AHUB0005_MAD_Pos_Fbk</t>
  </si>
  <si>
    <t>SSC_AHUB0005_MixDmpr.PositionCmd</t>
  </si>
  <si>
    <t>SSC_AHUB0005_MixDmpr.PositionFbk</t>
  </si>
  <si>
    <t>SSC_AHUB0005_FrshAirHum.PV</t>
  </si>
  <si>
    <t>SSC_AHUB0005_FrshAirTemp.PV</t>
  </si>
  <si>
    <t>entity:SSC_AHUB0005_OAD_Pos_Cmd</t>
  </si>
  <si>
    <t>entity:SSC_AHUB0005_OAD_Pos_Fbk</t>
  </si>
  <si>
    <t>entity:SSC_AHUB0005_OAD_Pos-Status</t>
  </si>
  <si>
    <t>SSC_AHUB0005_FrshDmpr.PositionCmd</t>
  </si>
  <si>
    <t>SSC_AHUB0005_FrshDmpr.PositionFbk</t>
  </si>
  <si>
    <t>SSC_AHUB0005.FrshAirDmprSts</t>
  </si>
  <si>
    <t>SSC_AHUB0005_SP.OccTempSP</t>
  </si>
  <si>
    <t>SSC_AHUB0005.OccMode</t>
  </si>
  <si>
    <t>SSC_AHUB0005_SupPreFlt.PressureHigh</t>
  </si>
  <si>
    <t>SSC_AHUB0005_RtnAirFlow.PV</t>
  </si>
  <si>
    <t>SSC_AHUB0005_RtnAirHum.PV</t>
  </si>
  <si>
    <t>SSC_AHUB0005_RtnAirTemp.PV</t>
  </si>
  <si>
    <t>entity:SSC_AHUB0005_RAD_ReCr_Damper_Pos_100</t>
  </si>
  <si>
    <t>entity:SSC_AHUB0005_RAD_ReCr_Damper_Pos_70</t>
  </si>
  <si>
    <t>entity:SSC_AHUB0005_RAD_ReCr_Damper_Pos_77.5</t>
  </si>
  <si>
    <t>entity:SSC_AHUB0005_RAD_ReCr_Damper_Pos_85</t>
  </si>
  <si>
    <t>entity:SSC_AHUB0005_RAD_ReCr_Damper_Pos_92.5</t>
  </si>
  <si>
    <t>SSC_AHUB_0005_MinFALoocupTb.RecDmprPos100</t>
  </si>
  <si>
    <t>SSC_AHUB_0005_MinFALoocupTb.RecDmprPos70</t>
  </si>
  <si>
    <t>SSC_AHUB_0005_MinFALoocupTb.RecDmprPos77.5</t>
  </si>
  <si>
    <t>SSC_AHUB_0005_MinFALoocupTb.RecDmprPos85</t>
  </si>
  <si>
    <t>SSC_AHUB_0005_MinFALoocupTb.RecDmprPos92.5</t>
  </si>
  <si>
    <t>entity:SSC_AHUB0005_RF_Motor</t>
  </si>
  <si>
    <t>entity:SSC_AHUB0005_RF_AutoMan_Status</t>
  </si>
  <si>
    <t>entity:SSC_AHUB0005_RF_TripAlm</t>
  </si>
  <si>
    <t>SSC_AHUB0005_RtnFan.AutoManSts</t>
  </si>
  <si>
    <t>entity:SSC_AHUB0005_RF_Motor_Electrical-Meter</t>
  </si>
  <si>
    <t>entity:SSC_AHUB0005_RF_Motor_Speed_Cmd</t>
  </si>
  <si>
    <t>entity:SSC_AHUB0005_RF_Motor_Speed_Fbk</t>
  </si>
  <si>
    <t>entity:SSC_AHUB0005_RF_Motor_Electrical-Meter_Power-Demand</t>
  </si>
  <si>
    <t>entity:SSC_AHUB0005_RF_Motor_Electrical-Meter_Electrical_Energy_Consumption</t>
  </si>
  <si>
    <t>SSC_AHUB0005_RtnFan.kWh</t>
  </si>
  <si>
    <t>SSC_AHUB0005_RtnFan.kW</t>
  </si>
  <si>
    <t>SSC_AHUB0005_RtnFan.SpeedCmd</t>
  </si>
  <si>
    <t>SSC_AHUB0005_RtnFan.SpeedFbk</t>
  </si>
  <si>
    <t>SSC_AHUB0005_RtnFan.TripAlm</t>
  </si>
  <si>
    <t>SSC_AHUB0005_SupAirFlow.PV</t>
  </si>
  <si>
    <t>SSC_AHUB0005_SupAirDuctPrsRmt1.PV</t>
  </si>
  <si>
    <t>SSC_AHUB0005_SupAirHum.PV</t>
  </si>
  <si>
    <t>SSC_AHUB0005_SupAirTemp.PV</t>
  </si>
  <si>
    <t>entity:SSC_AHUB0005_SF_Motor</t>
  </si>
  <si>
    <t>entity:SSC_AHUB0005_SF_TripAlm</t>
  </si>
  <si>
    <t>entity:SSC_AHUB0005_SF_AutoMan_Status</t>
  </si>
  <si>
    <t>entity:SSC_AHUB0005_SF_FailtoStop</t>
  </si>
  <si>
    <t>entity:SSC_AHUB0005_SF_FailtoStart</t>
  </si>
  <si>
    <t>entity:SSC_AHUB0005_SF_Status</t>
  </si>
  <si>
    <t>SSC_AHUB0005_SupFan.AutoManSts</t>
  </si>
  <si>
    <t>SSC_AHUB0005_SupFan.FTST</t>
  </si>
  <si>
    <t>SSC_AHUB0005_SupFan.FTSP</t>
  </si>
  <si>
    <t>entity:SSC_AHUB0005_SF_Motor_Electrical-Meter</t>
  </si>
  <si>
    <t>entity:SSC_AHUB0005_SF_Motor_Speed_Cmd</t>
  </si>
  <si>
    <t>entity:SSC_AHUB0005_SF_Motor_Speed_Fbk</t>
  </si>
  <si>
    <t>entity:SSC_AHUB0005_SF_Motor_Electrical_Energy_Consumption</t>
  </si>
  <si>
    <t>SSC_AHUB0005_SupFan.kWh</t>
  </si>
  <si>
    <t>entity:SSC_AHUB0005_SF_Motor_Electrical-Meter_Power-Demand</t>
  </si>
  <si>
    <t>SSC_AHUB0005_SupFan.kW</t>
  </si>
  <si>
    <t>SSC_AHUB0005_SupFan.SpeedCmd</t>
  </si>
  <si>
    <t>SSC_AHUB0005_SupFan.SpeedFbk</t>
  </si>
  <si>
    <t>SSC_AHUB0005.SupFanSts</t>
  </si>
  <si>
    <t>SSC_AHUB0005_SupFan.TripAlm</t>
  </si>
  <si>
    <t>SSC_AHUB0005_SP.UnOccTempSP</t>
  </si>
  <si>
    <t>entity:SSC_B1_001_FM_STORAGE</t>
  </si>
  <si>
    <t>entity:SSC_Level-B1</t>
  </si>
  <si>
    <t>rec:BasementLevel</t>
  </si>
  <si>
    <t>B1.001 FM STORAGE</t>
  </si>
  <si>
    <t>entity:SSC_B1_002_HV_ROOM</t>
  </si>
  <si>
    <t>B1.002 HV</t>
  </si>
  <si>
    <t>entity:SSC_B1_003_TRANSFORMER</t>
  </si>
  <si>
    <t>B1.003 TRANSFORMER</t>
  </si>
  <si>
    <t>entity:SSC_B1_004_MV_SWITCH_ROOM</t>
  </si>
  <si>
    <t>B1.004 MV SWITCH ROOM</t>
  </si>
  <si>
    <t>entity:SSC_B1_005_UPS</t>
  </si>
  <si>
    <t>B1.005 UPS</t>
  </si>
  <si>
    <t>entity:SSC_B1_006_SERVICE_AREA</t>
  </si>
  <si>
    <t>B1.006 SERVICE AREA</t>
  </si>
  <si>
    <t>entity:SSC_B1_007_SERVICE_DOCK</t>
  </si>
  <si>
    <t>B1.007 SERVICE DOCK</t>
  </si>
  <si>
    <t>B1.008 VENT PLANT</t>
  </si>
  <si>
    <t>entity:SSC_B1_009_TOILET</t>
  </si>
  <si>
    <t>B1.009 TOILET</t>
  </si>
  <si>
    <t>entity:SSC_B1_010_VESTIBULE</t>
  </si>
  <si>
    <t>B1.010 VESTIBULE</t>
  </si>
  <si>
    <t>entity:SSC_B1_011_JANITORS_CLOSET</t>
  </si>
  <si>
    <t>B1.011 JANITORS CLOSET</t>
  </si>
  <si>
    <t>entity:SSC_B1_012_GENERATOR</t>
  </si>
  <si>
    <t>B1.012 GENERATOR</t>
  </si>
  <si>
    <t>B1.013 CHILLED WATER</t>
  </si>
  <si>
    <t>B1.014 VENT PLANT</t>
  </si>
  <si>
    <t>entity:SSC_B1_015_ENTRANCE</t>
  </si>
  <si>
    <t>B1.015 ENTRANCE</t>
  </si>
  <si>
    <t>entity:SSC_B1_016_SPRINKLER_&amp;_WATER</t>
  </si>
  <si>
    <t>B1.016 SPRINKLER &amp; WATER</t>
  </si>
  <si>
    <t>entity:SSC_B1_017_MDF-2</t>
  </si>
  <si>
    <t>B1.017 MDF-2</t>
  </si>
  <si>
    <t>entity:SSC_B1_018_CONDENSER_ROOM</t>
  </si>
  <si>
    <t>B1.018 CONDENSER ROOM</t>
  </si>
  <si>
    <t>entity:SSC_B1_019_FM_STORAGE</t>
  </si>
  <si>
    <t>B1.019 FM STORAGE</t>
  </si>
  <si>
    <t>entity:SSC_B1_020_FM_STORAGE</t>
  </si>
  <si>
    <t>B1.020 FM STORAGE</t>
  </si>
  <si>
    <t>entity:SSC_B1_021_FM_STORAGE</t>
  </si>
  <si>
    <t>B1.021 FM STORAGE</t>
  </si>
  <si>
    <t>entity:SSC_B1_022_SSP</t>
  </si>
  <si>
    <t>B1.022 SSP</t>
  </si>
  <si>
    <t>entity:SSC_B1_023_Q_TEL</t>
  </si>
  <si>
    <t>B1.023 QTEL</t>
  </si>
  <si>
    <t>entity:SSC_B1_024_BIN_STORAGE</t>
  </si>
  <si>
    <t>B1.024 BIN STORAGE</t>
  </si>
  <si>
    <t>entity:SSC_B1_025_MAIN_SEC_CONTROL_ROOM</t>
  </si>
  <si>
    <t>B1.025 MAIN SEC.  CONTROL ROOM</t>
  </si>
  <si>
    <t>entity:SSC_B1_026_MDF_SER-1</t>
  </si>
  <si>
    <t>B1.026 MDF/SER-1</t>
  </si>
  <si>
    <t>entity:SSC_B1_027_CORRIDOR</t>
  </si>
  <si>
    <t>B1.027 CORRIDOR</t>
  </si>
  <si>
    <t>entity:SSC_B1_028_FILE_STORAGE</t>
  </si>
  <si>
    <t>B1.028 FILE STORAGE</t>
  </si>
  <si>
    <t>entity:SSC_B1_029_CORRIDOR</t>
  </si>
  <si>
    <t>B1.029 CORRIDOR</t>
  </si>
  <si>
    <t>entity:SSC_B1_030_CORRIDOR</t>
  </si>
  <si>
    <t>B1.030 CORRIDOR</t>
  </si>
  <si>
    <t>entity:SSC_B1_031_CORRIDOR</t>
  </si>
  <si>
    <t>B1.031 CORRIDOR</t>
  </si>
  <si>
    <t>entity:SSC_B1_032_CORRIDOR</t>
  </si>
  <si>
    <t>B1.032 CORRIDOR</t>
  </si>
  <si>
    <t>entity:SSC_B1_034_CORRIDOR</t>
  </si>
  <si>
    <t>B1.034 CORRIDOR</t>
  </si>
  <si>
    <t>entity:SSC_B1_035_CORRIDOR</t>
  </si>
  <si>
    <t>B1.035 CORRIDOR</t>
  </si>
  <si>
    <t>entity:SSC_B1_036_STORAGE</t>
  </si>
  <si>
    <t>B1.036 STORAGE</t>
  </si>
  <si>
    <t>entity:SSC_B1_038_SER-2</t>
  </si>
  <si>
    <t>B1.038 SER-2</t>
  </si>
  <si>
    <t>entity:SSC_B1_039_BMS</t>
  </si>
  <si>
    <t>B1.039 BMS</t>
  </si>
  <si>
    <t>entity:SSC_B1_P-1_P1</t>
  </si>
  <si>
    <t>B1.P-1 LIFT</t>
  </si>
  <si>
    <t>entity:SSC_B1_P-2_P2</t>
  </si>
  <si>
    <t>B1.P-2 LIFT</t>
  </si>
  <si>
    <t>entity:SSC_B1_ST-1_STAIR-1</t>
  </si>
  <si>
    <t>B1.ST-1 STAIR-1</t>
  </si>
  <si>
    <t>entity:SSC_B1_ST-2_STAIR-2</t>
  </si>
  <si>
    <t>B1.ST-2 STAIR-2</t>
  </si>
  <si>
    <t>entity:SSC_CCU3F0301</t>
  </si>
  <si>
    <t>brick:CRAC</t>
  </si>
  <si>
    <t>entity:SSC_CCU3F0301_Humidity</t>
  </si>
  <si>
    <t>brick:Relative_Humidity_Sensor</t>
  </si>
  <si>
    <t>entity:SSC_CCU3F0301_Temperature</t>
  </si>
  <si>
    <t>brick:Temperature_Sensor</t>
  </si>
  <si>
    <t>entity:SSC_CCU3F0301_Humidity_Setpoint</t>
  </si>
  <si>
    <t>Actual Humidity Setpoint</t>
  </si>
  <si>
    <t>entity:SSC_CCU3F0301_Temperature_Setpoint</t>
  </si>
  <si>
    <t>brick:Temperature_Setpoint</t>
  </si>
  <si>
    <t>Actual Temperature Setpoint</t>
  </si>
  <si>
    <t>entity:SSC_CCU3F0301_Communication_Alarm</t>
  </si>
  <si>
    <t>brick:Communication_Loss_Alarm</t>
  </si>
  <si>
    <t>Communication Alarm</t>
  </si>
  <si>
    <t>entity:SSC_CCU3F0301_Loss_of_Airflow</t>
  </si>
  <si>
    <t>brick:Air_Flow_Loss_Alarm</t>
  </si>
  <si>
    <t>Air Flow Loss Alarm</t>
  </si>
  <si>
    <t>entity:SSC_CCU3F0301_General_Fault</t>
  </si>
  <si>
    <t>General Fault Alarm</t>
  </si>
  <si>
    <t>entity:SSC_CCU3F0301_Clogged_Filter</t>
  </si>
  <si>
    <t>Clogged Filter Alarm</t>
  </si>
  <si>
    <t>entity:SSC_CCU3F0301_Cool_On_Status</t>
  </si>
  <si>
    <t>brick:Cooling_Mode_Status</t>
  </si>
  <si>
    <t>Cooling Mode Status</t>
  </si>
  <si>
    <t>entity:SSC_CCU3F0301_Dehumidifcation_On_Status</t>
  </si>
  <si>
    <t>para:Dehumidification_On_Status</t>
  </si>
  <si>
    <t>entity:SSC_CCU3F0301_Electric_Heater_On_Status</t>
  </si>
  <si>
    <t>para:Heater_On_Status</t>
  </si>
  <si>
    <t>ElectHtrSts</t>
  </si>
  <si>
    <t>entity:SSC_CCU3F0301_Fan_On_Status</t>
  </si>
  <si>
    <t>Fan Status</t>
  </si>
  <si>
    <t>entity:SSC_CCU3F0301_Humidification_On_Status</t>
  </si>
  <si>
    <t>para:Humidification_On_Status</t>
  </si>
  <si>
    <t>Humidification Statu</t>
  </si>
  <si>
    <t>entity:SSC_CCU3F0301_Main_Fan_Overload</t>
  </si>
  <si>
    <t>brick:Overload_Alarm</t>
  </si>
  <si>
    <t>Main Fan Overload</t>
  </si>
  <si>
    <t>entity:SSC_CCU3F0301_Running_Status</t>
  </si>
  <si>
    <t>brick:Run_Status</t>
  </si>
  <si>
    <t>Run Status</t>
  </si>
  <si>
    <t>entity:SSC_CCU3F0301_Operating_State</t>
  </si>
  <si>
    <t>brick:Operating_Mode_Status</t>
  </si>
  <si>
    <t>State</t>
  </si>
  <si>
    <t>entity:SSC_CCU3F0301_Summary_Alarm_Status</t>
  </si>
  <si>
    <t>para:Summary_Alarm</t>
  </si>
  <si>
    <t>Summary Alarm</t>
  </si>
  <si>
    <t>CCU3F0301</t>
  </si>
  <si>
    <t>SSC_CCU3F0301</t>
  </si>
  <si>
    <t>SSC_CCU3F0301.CloggedFilter</t>
  </si>
  <si>
    <t>SSC_CCU3F0301.CommAlm</t>
  </si>
  <si>
    <t>SSC_CCU3F0301.CoolSts</t>
  </si>
  <si>
    <t>SSC_CCU3F0301.DehumSts</t>
  </si>
  <si>
    <t>SSC_CCU3F0301.ElectHtrSts</t>
  </si>
  <si>
    <t>SSC_CCU3F0301.FanSts</t>
  </si>
  <si>
    <t>brick:Fault_Status</t>
  </si>
  <si>
    <t>SSC_CCU3F0301.Alm</t>
  </si>
  <si>
    <t>SSC_CCU3F0301.HumSts</t>
  </si>
  <si>
    <t>SSC_CCU3F0301.RtnHumidity</t>
  </si>
  <si>
    <t>SSC_CCU3F0301.ActualHumiditySP</t>
  </si>
  <si>
    <t>SSC_CCU3F0301.AirFlwLoss</t>
  </si>
  <si>
    <t>SSC_CCU3F0301.MainFanOvrld</t>
  </si>
  <si>
    <t>SSC_CCU3F0301.State</t>
  </si>
  <si>
    <t>SSC_CCU3F0301.RunSts</t>
  </si>
  <si>
    <t>SSC_CCU3F0301.SumAlmSts</t>
  </si>
  <si>
    <t>SSC_CCU3F0301.RtnTemp</t>
  </si>
  <si>
    <t>SSC_CCU3F0301.ActualTempSP</t>
  </si>
  <si>
    <t>entity:SSC_CCU3F0302</t>
  </si>
  <si>
    <t>entity:SSC_CCU3F0302_Humidity</t>
  </si>
  <si>
    <t>entity:SSC_CCU3F0302_Temperature</t>
  </si>
  <si>
    <t>entity:SSC_CCU3F0302_Humidity_Setpoint</t>
  </si>
  <si>
    <t>entity:SSC_CCU3F0302_Temperature_Setpoint</t>
  </si>
  <si>
    <t>entity:SSC_CCU3F0302_Communication_Alarm</t>
  </si>
  <si>
    <t>entity:SSC_CCU3F0302_Loss_of_Airflow</t>
  </si>
  <si>
    <t>entity:SSC_CCU3F0302_General_Fault</t>
  </si>
  <si>
    <t>entity:SSC_CCU3F0302_Clogged_Filter</t>
  </si>
  <si>
    <t>entity:SSC_CCU3F0302_Cool_On_Status</t>
  </si>
  <si>
    <t>entity:SSC_CCU3F0302_Dehumidifcation_On_Status</t>
  </si>
  <si>
    <t>entity:SSC_CCU3F0302_Electric_Heater_On_Status</t>
  </si>
  <si>
    <t>entity:SSC_CCU3F0302_Fan_On_Status</t>
  </si>
  <si>
    <t>entity:SSC_CCU3F0302_Humidification_On_Status</t>
  </si>
  <si>
    <t>entity:SSC_CCU3F0302_Main_Fan_Overload</t>
  </si>
  <si>
    <t>entity:SSC_CCU3F0302_Running_Status</t>
  </si>
  <si>
    <t>entity:SSC_CCU3F0302_Operating_State</t>
  </si>
  <si>
    <t>entity:SSC_CCU3F0302_Summary_Alarm_Status</t>
  </si>
  <si>
    <t>CCU3F0302</t>
  </si>
  <si>
    <t>SSC_CCU3F0302</t>
  </si>
  <si>
    <t>SSC_CCU3F0302.CloggedFilter</t>
  </si>
  <si>
    <t>SSC_CCU3F0302.CommAlm</t>
  </si>
  <si>
    <t>SSC_CCU3F0302.CoolSts</t>
  </si>
  <si>
    <t>SSC_CCU3F0302.DehumSts</t>
  </si>
  <si>
    <t>SSC_CCU3F0302.ElectHtrSts</t>
  </si>
  <si>
    <t>SSC_CCU3F0302.FanSts</t>
  </si>
  <si>
    <t>SSC_CCU3F0302.Alm</t>
  </si>
  <si>
    <t>SSC_CCU3F0302.HumSts</t>
  </si>
  <si>
    <t>SSC_CCU3F0302.RtnHumidity</t>
  </si>
  <si>
    <t>SSC_CCU3F0302.ActualHumiditySP</t>
  </si>
  <si>
    <t>SSC_CCU3F0302.AirFlwLoss</t>
  </si>
  <si>
    <t>SSC_CCU3F0302.MainFanOvrld</t>
  </si>
  <si>
    <t>SSC_CCU3F0302.State</t>
  </si>
  <si>
    <t>SSC_CCU3F0302.RunSts</t>
  </si>
  <si>
    <t>SSC_CCU3F0302.SumAlmSts</t>
  </si>
  <si>
    <t>SSC_CCU3F0302.RtnTemp</t>
  </si>
  <si>
    <t>SSC_CCU3F0302.ActualTempSP</t>
  </si>
  <si>
    <t>entity:SSC_CCUB0001A</t>
  </si>
  <si>
    <t>entity:SSC_CCUB0001A_Humidity</t>
  </si>
  <si>
    <t>entity:SSC_CCUB0001A_Temperature</t>
  </si>
  <si>
    <t>entity:SSC_CCUB0001A_Humidity_Setpoint</t>
  </si>
  <si>
    <t>entity:SSC_CCUB0001A_Temperature_Setpoint</t>
  </si>
  <si>
    <t>entity:SSC_CCUB0001A_Communication_Alarm</t>
  </si>
  <si>
    <t>entity:SSC_CCUB0001A_Loss_of_Airflow</t>
  </si>
  <si>
    <t>entity:SSC_CCUB0001A_General_Fault</t>
  </si>
  <si>
    <t>entity:SSC_CCUB0001A_Clogged_Filter</t>
  </si>
  <si>
    <t>entity:SSC_CCUB0001A_Cool_On_Status</t>
  </si>
  <si>
    <t>entity:SSC_CCUB0001A_Dehumidifcation_On_Status</t>
  </si>
  <si>
    <t>entity:SSC_CCUB0001A_Electric_Heater_On_Status</t>
  </si>
  <si>
    <t>entity:SSC_CCUB0001A_Fan_On_Status</t>
  </si>
  <si>
    <t>entity:SSC_CCUB0001A_Humidification_On_Status</t>
  </si>
  <si>
    <t>entity:SSC_CCUB0001A_Main_Fan_Overload</t>
  </si>
  <si>
    <t>entity:SSC_CCUB0001A_Running_Status</t>
  </si>
  <si>
    <t>entity:SSC_CCUB0001A_Operating_State</t>
  </si>
  <si>
    <t>entity:SSC_CCUB0001A_Summary_Alarm_Status</t>
  </si>
  <si>
    <t>CCUB0001A</t>
  </si>
  <si>
    <t>SSC_CCUB0001A</t>
  </si>
  <si>
    <t>SSC_CCUB0001A.CloggedFilter</t>
  </si>
  <si>
    <t>SSC_CCUB0001A.CommAlm</t>
  </si>
  <si>
    <t>SSC_CCUB0001A.CoolSts</t>
  </si>
  <si>
    <t>SSC_CCUB0001A.DehumSts</t>
  </si>
  <si>
    <t>SSC_CCUB0001A.ElectHtrSts</t>
  </si>
  <si>
    <t>SSC_CCUB0001A.FanSts</t>
  </si>
  <si>
    <t>SSC_CCUB0001A.Alm</t>
  </si>
  <si>
    <t>SSC_CCUB0001A.HumSts</t>
  </si>
  <si>
    <t>SSC_CCUB0001A.RtnHumidity</t>
  </si>
  <si>
    <t>SSC_CCUB0001A.ActualHumiditySP</t>
  </si>
  <si>
    <t>SSC_CCUB0001A.AirFlwLoss</t>
  </si>
  <si>
    <t>SSC_CCUB0001A.MainFanOvrld</t>
  </si>
  <si>
    <t>SSC_CCUB0001A.State</t>
  </si>
  <si>
    <t>SSC_CCUB0001A.RunSts</t>
  </si>
  <si>
    <t>SSC_CCUB0001A.SumAlmSts</t>
  </si>
  <si>
    <t>SSC_CCUB0001A.RtnTemp</t>
  </si>
  <si>
    <t>SSC_CCUB0001A.ActualTempSP</t>
  </si>
  <si>
    <t>entity:SSC_CCUB0001B</t>
  </si>
  <si>
    <t>entity:SSC_CCUB0001B_Humidity</t>
  </si>
  <si>
    <t>entity:SSC_CCUB0001B_Temperature</t>
  </si>
  <si>
    <t>entity:SSC_CCUB0001B_Humidity_Setpoint</t>
  </si>
  <si>
    <t>entity:SSC_CCUB0001B_Temperature_Setpoint</t>
  </si>
  <si>
    <t>entity:SSC_CCUB0001B_Communication_Alarm</t>
  </si>
  <si>
    <t>entity:SSC_CCUB0001B_Loss_of_Airflow</t>
  </si>
  <si>
    <t>entity:SSC_CCUB0001B_General_Fault</t>
  </si>
  <si>
    <t>entity:SSC_CCUB0001B_Clogged_Filter</t>
  </si>
  <si>
    <t>entity:SSC_CCUB0001B_Cool_On_Status</t>
  </si>
  <si>
    <t>entity:SSC_CCUB0001B_Dehumidifcation_On_Status</t>
  </si>
  <si>
    <t>entity:SSC_CCUB0001B_Electric_Heater_On_Status</t>
  </si>
  <si>
    <t>entity:SSC_CCUB0001B_Fan_On_Status</t>
  </si>
  <si>
    <t>entity:SSC_CCUB0001B_Humidification_On_Status</t>
  </si>
  <si>
    <t>entity:SSC_CCUB0001B_Main_Fan_Overload</t>
  </si>
  <si>
    <t>entity:SSC_CCUB0001B_Running_Status</t>
  </si>
  <si>
    <t>entity:SSC_CCUB0001B_Operating_State</t>
  </si>
  <si>
    <t>entity:SSC_CCUB0001B_Summary_Alarm_Status</t>
  </si>
  <si>
    <t>CCUB0001B</t>
  </si>
  <si>
    <t>SSC_CCUB0001B</t>
  </si>
  <si>
    <t>SSC_CCUB0001B.CloggedFilter</t>
  </si>
  <si>
    <t>SSC_CCUB0001B.CommAlm</t>
  </si>
  <si>
    <t>SSC_CCUB0001B.CoolSts</t>
  </si>
  <si>
    <t>SSC_CCUB0001B.DehumSts</t>
  </si>
  <si>
    <t>SSC_CCUB0001B.ElectHtrSts</t>
  </si>
  <si>
    <t>SSC_CCUB0001B.FanSts</t>
  </si>
  <si>
    <t>SSC_CCUB0001B.Alm</t>
  </si>
  <si>
    <t>SSC_CCUB0001B.HumSts</t>
  </si>
  <si>
    <t>SSC_CCUB0001B.RtnHumidity</t>
  </si>
  <si>
    <t>SSC_CCUB0001B.ActualHumiditySP</t>
  </si>
  <si>
    <t>SSC_CCUB0001B.AirFlwLoss</t>
  </si>
  <si>
    <t>SSC_CCUB0001B.MainFanOvrld</t>
  </si>
  <si>
    <t>SSC_CCUB0001B.State</t>
  </si>
  <si>
    <t>SSC_CCUB0001B.RunSts</t>
  </si>
  <si>
    <t>SSC_CCUB0001B.SumAlmSts</t>
  </si>
  <si>
    <t>SSC_CCUB0001B.RtnTemp</t>
  </si>
  <si>
    <t>SSC_CCUB0001B.ActualTempSP</t>
  </si>
  <si>
    <t>entity:SSC_CCUB0002A</t>
  </si>
  <si>
    <t>entity:SSC_CCUB0002A_Humidity</t>
  </si>
  <si>
    <t>entity:SSC_CCUB0002A_Temperature</t>
  </si>
  <si>
    <t>entity:SSC_CCUB0002A_Humidity_Setpoint</t>
  </si>
  <si>
    <t>entity:SSC_CCUB0002A_Temperature_Setpoint</t>
  </si>
  <si>
    <t>entity:SSC_CCUB0002A_Communication_Alarm</t>
  </si>
  <si>
    <t>entity:SSC_CCUB0002A_Loss_of_Airflow</t>
  </si>
  <si>
    <t>entity:SSC_CCUB0002A_General_Fault</t>
  </si>
  <si>
    <t>entity:SSC_CCUB0002A_Clogged_Filter</t>
  </si>
  <si>
    <t>entity:SSC_CCUB0002A_Cool_On_Status</t>
  </si>
  <si>
    <t>entity:SSC_CCUB0002A_Dehumidifcation_On_Status</t>
  </si>
  <si>
    <t>entity:SSC_CCUB0002A_Electric_Heater_On_Status</t>
  </si>
  <si>
    <t>entity:SSC_CCUB0002A_Fan_On_Status</t>
  </si>
  <si>
    <t>entity:SSC_CCUB0002A_Humidification_On_Status</t>
  </si>
  <si>
    <t>entity:SSC_CCUB0002A_Main_Fan_Overload</t>
  </si>
  <si>
    <t>entity:SSC_CCUB0002A_Running_Status</t>
  </si>
  <si>
    <t>entity:SSC_CCUB0002A_Operating_State</t>
  </si>
  <si>
    <t>entity:SSC_CCUB0002A_Summary_Alarm_Status</t>
  </si>
  <si>
    <t>CCUB0002A</t>
  </si>
  <si>
    <t>SSC_CCUB0002A</t>
  </si>
  <si>
    <t>SSC_CCUB0002A.CloggedFilter</t>
  </si>
  <si>
    <t>SSC_CCUB0002A.CommAlm</t>
  </si>
  <si>
    <t>SSC_CCUB0002A.CoolSts</t>
  </si>
  <si>
    <t>SSC_CCUB0002A.DehumSts</t>
  </si>
  <si>
    <t>SSC_CCUB0002A.ElectHtrSts</t>
  </si>
  <si>
    <t>SSC_CCUB0002A.FanSts</t>
  </si>
  <si>
    <t>SSC_CCUB0002A.Alm</t>
  </si>
  <si>
    <t>SSC_CCUB0002A.HumSts</t>
  </si>
  <si>
    <t>SSC_CCUB0002A.RtnHumidity</t>
  </si>
  <si>
    <t>SSC_CCUB0002A.ActualHumiditySP</t>
  </si>
  <si>
    <t>SSC_CCUB0002A.AirFlwLoss</t>
  </si>
  <si>
    <t>SSC_CCUB0002A.MainFanOvrld</t>
  </si>
  <si>
    <t>SSC_CCUB0002A.State</t>
  </si>
  <si>
    <t>SSC_CCUB0002A.RunSts</t>
  </si>
  <si>
    <t>SSC_CCUB0002A.SumAlmSts</t>
  </si>
  <si>
    <t>SSC_CCUB0002A.RtnTemp</t>
  </si>
  <si>
    <t>SSC_CCUB0002A.ActualTempSP</t>
  </si>
  <si>
    <t>entity:SSC_CCUB0002B</t>
  </si>
  <si>
    <t>entity:SSC_CCUB0002B_Humidity</t>
  </si>
  <si>
    <t>entity:SSC_CCUB0002B_Temperature</t>
  </si>
  <si>
    <t>entity:SSC_CCUB0002B_Humidity_Setpoint</t>
  </si>
  <si>
    <t>entity:SSC_CCUB0002B_Temperature_Setpoint</t>
  </si>
  <si>
    <t>entity:SSC_CCUB0002B_Communication_Alarm</t>
  </si>
  <si>
    <t>entity:SSC_CCUB0002B_Loss_of_Airflow</t>
  </si>
  <si>
    <t>entity:SSC_CCUB0002B_General_Fault</t>
  </si>
  <si>
    <t>entity:SSC_CCUB0002B_Clogged_Filter</t>
  </si>
  <si>
    <t>entity:SSC_CCUB0002B_Cool_On_Status</t>
  </si>
  <si>
    <t>entity:SSC_CCUB0002B_Dehumidifcation_On_Status</t>
  </si>
  <si>
    <t>entity:SSC_CCUB0002B_Electric_Heater_On_Status</t>
  </si>
  <si>
    <t>entity:SSC_CCUB0002B_Fan_On_Status</t>
  </si>
  <si>
    <t>entity:SSC_CCUB0002B_Humidification_On_Status</t>
  </si>
  <si>
    <t>entity:SSC_CCUB0002B_Main_Fan_Overload</t>
  </si>
  <si>
    <t>entity:SSC_CCUB0002B_Running_Status</t>
  </si>
  <si>
    <t>entity:SSC_CCUB0002B_Operating_State</t>
  </si>
  <si>
    <t>entity:SSC_CCUB0002B_Summary_Alarm_Status</t>
  </si>
  <si>
    <t>CCUB0002B</t>
  </si>
  <si>
    <t>SSC_CCUB0002B</t>
  </si>
  <si>
    <t>SSC_CCUB0002B.CloggedFilter</t>
  </si>
  <si>
    <t>SSC_CCUB0002B.CommAlm</t>
  </si>
  <si>
    <t>SSC_CCUB0002B.CoolSts</t>
  </si>
  <si>
    <t>SSC_CCUB0002B.DehumSts</t>
  </si>
  <si>
    <t>SSC_CCUB0002B.ElectHtrSts</t>
  </si>
  <si>
    <t>SSC_CCUB0002B.FanSts</t>
  </si>
  <si>
    <t>SSC_CCUB0002B.Alm</t>
  </si>
  <si>
    <t>SSC_CCUB0002B.HumSts</t>
  </si>
  <si>
    <t>SSC_CCUB0002B.RtnHumidity</t>
  </si>
  <si>
    <t>SSC_CCUB0002B.ActualHumiditySP</t>
  </si>
  <si>
    <t>SSC_CCUB0002B.AirFlwLoss</t>
  </si>
  <si>
    <t>SSC_CCUB0002B.MainFanOvrld</t>
  </si>
  <si>
    <t>SSC_CCUB0002B.State</t>
  </si>
  <si>
    <t>SSC_CCUB0002B.RunSts</t>
  </si>
  <si>
    <t>SSC_CCUB0002B.SumAlmSts</t>
  </si>
  <si>
    <t>SSC_CCUB0002B.RtnTemp</t>
  </si>
  <si>
    <t>SSC_CCUB0002B.ActualTempSP</t>
  </si>
  <si>
    <t>entity:SSC_CCUB0003</t>
  </si>
  <si>
    <t>entity:SSC_CCUB0003_Humidity</t>
  </si>
  <si>
    <t>entity:SSC_CCUB0003_Temperature</t>
  </si>
  <si>
    <t>entity:SSC_CCUB0003_Humidity_Setpoint</t>
  </si>
  <si>
    <t>entity:SSC_CCUB0003_Temperature_Setpoint</t>
  </si>
  <si>
    <t>entity:SSC_CCUB0003_Communication_Alarm</t>
  </si>
  <si>
    <t>entity:SSC_CCUB0003_Loss_of_Airflow</t>
  </si>
  <si>
    <t>entity:SSC_CCUB0003_General_Fault</t>
  </si>
  <si>
    <t>entity:SSC_CCUB0003_Clogged_Filter</t>
  </si>
  <si>
    <t>entity:SSC_CCUB0003_Cool_On_Status</t>
  </si>
  <si>
    <t>entity:SSC_CCUB0003_Dehumidifcation_On_Status</t>
  </si>
  <si>
    <t>entity:SSC_CCUB0003_Electric_Heater_On_Status</t>
  </si>
  <si>
    <t>entity:SSC_CCUB0003_Fan_On_Status</t>
  </si>
  <si>
    <t>entity:SSC_CCUB0003_Humidification_On_Status</t>
  </si>
  <si>
    <t>entity:SSC_CCUB0003_Main_Fan_Overload</t>
  </si>
  <si>
    <t>entity:SSC_CCUB0003_Running_Status</t>
  </si>
  <si>
    <t>entity:SSC_CCUB0003_Operating_State</t>
  </si>
  <si>
    <t>entity:SSC_CCUB0003_Summary_Alarm_Status</t>
  </si>
  <si>
    <t>CCUB0003</t>
  </si>
  <si>
    <t>SSC_CCUB0003</t>
  </si>
  <si>
    <t>SSC_CCUB0003.CloggedFilter</t>
  </si>
  <si>
    <t>SSC_CCUB0003.CommAlm</t>
  </si>
  <si>
    <t>SSC_CCUB0003.CoolSts</t>
  </si>
  <si>
    <t>SSC_CCUB0003.DehumSts</t>
  </si>
  <si>
    <t>SSC_CCUB0003.ElectHtrSts</t>
  </si>
  <si>
    <t>SSC_CCUB0003.FanSts</t>
  </si>
  <si>
    <t>SSC_CCUB0003.Alm</t>
  </si>
  <si>
    <t>SSC_CCUB0003.HumSts</t>
  </si>
  <si>
    <t>SSC_CCUB0003.RtnHumidity</t>
  </si>
  <si>
    <t>SSC_CCUB0003.ActualHumiditySP</t>
  </si>
  <si>
    <t>SSC_CCUB0003.AirFlwLoss</t>
  </si>
  <si>
    <t>SSC_CCUB0003.MainFanOvrld</t>
  </si>
  <si>
    <t>SSC_CCUB0003.State</t>
  </si>
  <si>
    <t>SSC_CCUB0003.RunSts</t>
  </si>
  <si>
    <t>SSC_CCUB0003.SumAlmSts</t>
  </si>
  <si>
    <t>SSC_CCUB0003.RtnTemp</t>
  </si>
  <si>
    <t>SSC_CCUB0003.ActualTempSP</t>
  </si>
  <si>
    <t>entity:SSC_CCUB0004</t>
  </si>
  <si>
    <t>entity:SSC_CCUB0004_Humidity</t>
  </si>
  <si>
    <t>entity:SSC_CCUB0004_Temperature</t>
  </si>
  <si>
    <t>entity:SSC_CCUB0004_Humidity_Setpoint</t>
  </si>
  <si>
    <t>entity:SSC_CCUB0004_Temperature_Setpoint</t>
  </si>
  <si>
    <t>entity:SSC_CCUB0004_Communication_Alarm</t>
  </si>
  <si>
    <t>entity:SSC_CCUB0004_Loss_of_Airflow</t>
  </si>
  <si>
    <t>entity:SSC_CCUB0004_General_Fault</t>
  </si>
  <si>
    <t>entity:SSC_CCUB0004_Clogged_Filter</t>
  </si>
  <si>
    <t>entity:SSC_CCUB0004_Cool_On_Status</t>
  </si>
  <si>
    <t>entity:SSC_CCUB0004_Dehumidifcation_On_Status</t>
  </si>
  <si>
    <t>entity:SSC_CCUB0004_Electric_Heater_On_Status</t>
  </si>
  <si>
    <t>entity:SSC_CCUB0004_Fan_On_Status</t>
  </si>
  <si>
    <t>entity:SSC_CCUB0004_Humidification_On_Status</t>
  </si>
  <si>
    <t>entity:SSC_CCUB0004_Main_Fan_Overload</t>
  </si>
  <si>
    <t>entity:SSC_CCUB0004_Running_Status</t>
  </si>
  <si>
    <t>entity:SSC_CCUB0004_Operating_State</t>
  </si>
  <si>
    <t>entity:SSC_CCUB0004_Summary_Alarm_Status</t>
  </si>
  <si>
    <t>CCUB0004</t>
  </si>
  <si>
    <t>SSC_CCUB0004</t>
  </si>
  <si>
    <t>SSC_CCUB0004.CloggedFilter</t>
  </si>
  <si>
    <t>SSC_CCUB0004.CommAlm</t>
  </si>
  <si>
    <t>SSC_CCUB0004.CoolSts</t>
  </si>
  <si>
    <t>SSC_CCUB0004.DehumSts</t>
  </si>
  <si>
    <t>SSC_CCUB0004.ElectHtrSts</t>
  </si>
  <si>
    <t>SSC_CCUB0004.FanSts</t>
  </si>
  <si>
    <t>SSC_CCUB0004.Alm</t>
  </si>
  <si>
    <t>SSC_CCUB0004.HumSts</t>
  </si>
  <si>
    <t>SSC_CCUB0004.RtnHumidity</t>
  </si>
  <si>
    <t>SSC_CCUB0004.ActualHumiditySP</t>
  </si>
  <si>
    <t>SSC_CCUB0004.AirFlwLoss</t>
  </si>
  <si>
    <t>SSC_CCUB0004.MainFanOvrld</t>
  </si>
  <si>
    <t>SSC_CCUB0004.State</t>
  </si>
  <si>
    <t>SSC_CCUB0004.RunSts</t>
  </si>
  <si>
    <t>SSC_CCUB0004.SumAlmSts</t>
  </si>
  <si>
    <t>SSC_CCUB0004.RtnTemp</t>
  </si>
  <si>
    <t>SSC_CCUB0004.ActualTempSP</t>
  </si>
  <si>
    <t>entity:SSC_CCUB0005A</t>
  </si>
  <si>
    <t>entity:SSC_CCUB0005A_Humidity</t>
  </si>
  <si>
    <t>entity:SSC_CCUB0005A_Temperature</t>
  </si>
  <si>
    <t>entity:SSC_CCUB0005A_Humidity_Setpoint</t>
  </si>
  <si>
    <t>entity:SSC_CCUB0005A_Temperature_Setpoint</t>
  </si>
  <si>
    <t>entity:SSC_CCUB0005A_Communication_Alarm</t>
  </si>
  <si>
    <t>entity:SSC_CCUB0005A_Loss_of_Airflow</t>
  </si>
  <si>
    <t>entity:SSC_CCUB0005A_General_Fault</t>
  </si>
  <si>
    <t>entity:SSC_CCUB0005A_Clogged_Filter</t>
  </si>
  <si>
    <t>entity:SSC_CCUB0005A_Cool_On_Status</t>
  </si>
  <si>
    <t>entity:SSC_CCUB0005A_Dehumidifcation_On_Status</t>
  </si>
  <si>
    <t>entity:SSC_CCUB0005A_Electric_Heater_On_Status</t>
  </si>
  <si>
    <t>entity:SSC_CCUB0005A_Fan_On_Status</t>
  </si>
  <si>
    <t>entity:SSC_CCUB0005A_Humidification_On_Status</t>
  </si>
  <si>
    <t>entity:SSC_CCUB0005A_Main_Fan_Overload</t>
  </si>
  <si>
    <t>entity:SSC_CCUB0005A_Running_Status</t>
  </si>
  <si>
    <t>entity:SSC_CCUB0005A_Operating_State</t>
  </si>
  <si>
    <t>entity:SSC_CCUB0005A_Summary_Alarm_Status</t>
  </si>
  <si>
    <t>CCUB0005A</t>
  </si>
  <si>
    <t>SSC_CCUB0005A</t>
  </si>
  <si>
    <t>SSC_CCUB0005A.CloggedFilter</t>
  </si>
  <si>
    <t>SSC_CCUB0005A.CommAlm</t>
  </si>
  <si>
    <t>SSC_CCUB0005A.CoolSts</t>
  </si>
  <si>
    <t>SSC_CCUB0005A.DehumSts</t>
  </si>
  <si>
    <t>SSC_CCUB0005A.ElectHtrSts</t>
  </si>
  <si>
    <t>SSC_CCUB0005A.FanSts</t>
  </si>
  <si>
    <t>SSC_CCUB0005A.Alm</t>
  </si>
  <si>
    <t>SSC_CCUB0005A.HumSts</t>
  </si>
  <si>
    <t>SSC_CCUB0005A.RtnHumidity</t>
  </si>
  <si>
    <t>SSC_CCUB0005A.ActualHumiditySP</t>
  </si>
  <si>
    <t>SSC_CCUB0005A.AirFlwLoss</t>
  </si>
  <si>
    <t>SSC_CCUB0005A.MainFanOvrld</t>
  </si>
  <si>
    <t>SSC_CCUB0005A.State</t>
  </si>
  <si>
    <t>SSC_CCUB0005A.RunSts</t>
  </si>
  <si>
    <t>SSC_CCUB0005A.SumAlmSts</t>
  </si>
  <si>
    <t>SSC_CCUB0005A.RtnTemp</t>
  </si>
  <si>
    <t>SSC_CCUB0005A.ActualTempSP</t>
  </si>
  <si>
    <t>entity:SSC_CCUB0005B</t>
  </si>
  <si>
    <t>entity:SSC_CCUB0005B_Humidity</t>
  </si>
  <si>
    <t>entity:SSC_CCUB0005B_Temperature</t>
  </si>
  <si>
    <t>entity:SSC_CCUB0005B_Humidity_Setpoint</t>
  </si>
  <si>
    <t>entity:SSC_CCUB0005B_Temperature_Setpoint</t>
  </si>
  <si>
    <t>entity:SSC_CCUB0005B_Communication_Alarm</t>
  </si>
  <si>
    <t>entity:SSC_CCUB0005B_Loss_of_Airflow</t>
  </si>
  <si>
    <t>entity:SSC_CCUB0005B_General_Fault</t>
  </si>
  <si>
    <t>entity:SSC_CCUB0005B_Clogged_Filter</t>
  </si>
  <si>
    <t>entity:SSC_CCUB0005B_Cool_On_Status</t>
  </si>
  <si>
    <t>entity:SSC_CCUB0005B_Dehumidifcation_On_Status</t>
  </si>
  <si>
    <t>entity:SSC_CCUB0005B_Electric_Heater_On_Status</t>
  </si>
  <si>
    <t>entity:SSC_CCUB0005B_Fan_On_Status</t>
  </si>
  <si>
    <t>entity:SSC_CCUB0005B_Humidification_On_Status</t>
  </si>
  <si>
    <t>entity:SSC_CCUB0005B_Main_Fan_Overload</t>
  </si>
  <si>
    <t>entity:SSC_CCUB0005B_Running_Status</t>
  </si>
  <si>
    <t>entity:SSC_CCUB0005B_Operating_State</t>
  </si>
  <si>
    <t>entity:SSC_CCUB0005B_Summary_Alarm_Status</t>
  </si>
  <si>
    <t>CCUB0005B</t>
  </si>
  <si>
    <t>SSC_CCUB0005B</t>
  </si>
  <si>
    <t>SSC_CCUB0005B.CloggedFilter</t>
  </si>
  <si>
    <t>SSC_CCUB0005B.CommAlm</t>
  </si>
  <si>
    <t>SSC_CCUB0005B.CoolSts</t>
  </si>
  <si>
    <t>SSC_CCUB0005B.DehumSts</t>
  </si>
  <si>
    <t>SSC_CCUB0005B.ElectHtrSts</t>
  </si>
  <si>
    <t>SSC_CCUB0005B.FanSts</t>
  </si>
  <si>
    <t>SSC_CCUB0005B.Alm</t>
  </si>
  <si>
    <t>SSC_CCUB0005B.HumSts</t>
  </si>
  <si>
    <t>SSC_CCUB0005B.RtnHumidity</t>
  </si>
  <si>
    <t>SSC_CCUB0005B.ActualHumiditySP</t>
  </si>
  <si>
    <t>SSC_CCUB0005B.AirFlwLoss</t>
  </si>
  <si>
    <t>SSC_CCUB0005B.MainFanOvrld</t>
  </si>
  <si>
    <t>SSC_CCUB0005B.State</t>
  </si>
  <si>
    <t>SSC_CCUB0005B.RunSts</t>
  </si>
  <si>
    <t>SSC_CCUB0005B.SumAlmSts</t>
  </si>
  <si>
    <t>SSC_CCUB0005B.RtnTemp</t>
  </si>
  <si>
    <t>SSC_CCUB0005B.ActualTempSP</t>
  </si>
  <si>
    <t>entity:SSC_CCUB0006A</t>
  </si>
  <si>
    <t>entity:SSC_CCUB0006A_Humidity</t>
  </si>
  <si>
    <t>entity:SSC_CCUB0006A_Temperature</t>
  </si>
  <si>
    <t>entity:SSC_CCUB0006A_Humidity_Setpoint</t>
  </si>
  <si>
    <t>entity:SSC_CCUB0006A_Temperature_Setpoint</t>
  </si>
  <si>
    <t>entity:SSC_CCUB0006A_Communication_Alarm</t>
  </si>
  <si>
    <t>entity:SSC_CCUB0006A_Loss_of_Airflow</t>
  </si>
  <si>
    <t>entity:SSC_CCUB0006A_General_Fault</t>
  </si>
  <si>
    <t>entity:SSC_CCUB0006A_Clogged_Filter</t>
  </si>
  <si>
    <t>entity:SSC_CCUB0006A_Cool_On_Status</t>
  </si>
  <si>
    <t>entity:SSC_CCUB0006A_Dehumidifcation_On_Status</t>
  </si>
  <si>
    <t>entity:SSC_CCUB0006A_Electric_Heater_On_Status</t>
  </si>
  <si>
    <t>entity:SSC_CCUB0006A_Fan_On_Status</t>
  </si>
  <si>
    <t>entity:SSC_CCUB0006A_Humidification_On_Status</t>
  </si>
  <si>
    <t>entity:SSC_CCUB0006A_Main_Fan_Overload</t>
  </si>
  <si>
    <t>entity:SSC_CCUB0006A_Running_Status</t>
  </si>
  <si>
    <t>entity:SSC_CCUB0006A_Operating_State</t>
  </si>
  <si>
    <t>entity:SSC_CCUB0006A_Summary_Alarm_Status</t>
  </si>
  <si>
    <t>CCUB0006A</t>
  </si>
  <si>
    <t>SSC_CCUB0006A</t>
  </si>
  <si>
    <t>SSC_CCUB0006A.CloggedFilter</t>
  </si>
  <si>
    <t>SSC_CCUB0006A.CommAlm</t>
  </si>
  <si>
    <t>SSC_CCUB0006A.CoolSts</t>
  </si>
  <si>
    <t>SSC_CCUB0006A.DehumSts</t>
  </si>
  <si>
    <t>SSC_CCUB0006A.ElectHtrSts</t>
  </si>
  <si>
    <t>SSC_CCUB0006A.FanSts</t>
  </si>
  <si>
    <t>SSC_CCUB0006A.Alm</t>
  </si>
  <si>
    <t>SSC_CCUB0006A.HumSts</t>
  </si>
  <si>
    <t>SSC_CCUB0006A.RtnHumidity</t>
  </si>
  <si>
    <t>SSC_CCUB0006A.ActualHumiditySP</t>
  </si>
  <si>
    <t>SSC_CCUB0006A.AirFlwLoss</t>
  </si>
  <si>
    <t>SSC_CCUB0006A.MainFanOvrld</t>
  </si>
  <si>
    <t>SSC_CCUB0006A.State</t>
  </si>
  <si>
    <t>SSC_CCUB0006A.RunSts</t>
  </si>
  <si>
    <t>SSC_CCUB0006A.SumAlmSts</t>
  </si>
  <si>
    <t>SSC_CCUB0006A.RtnTemp</t>
  </si>
  <si>
    <t>SSC_CCUB0006A.ActualTempSP</t>
  </si>
  <si>
    <t>entity:SSC_CCUB0006B</t>
  </si>
  <si>
    <t>entity:SSC_CCUB0006B_Humidity</t>
  </si>
  <si>
    <t>entity:SSC_CCUB0006B_Temperature</t>
  </si>
  <si>
    <t>entity:SSC_CCUB0006B_Humidity_Setpoint</t>
  </si>
  <si>
    <t>entity:SSC_CCUB0006B_Temperature_Setpoint</t>
  </si>
  <si>
    <t>entity:SSC_CCUB0006B_Communication_Alarm</t>
  </si>
  <si>
    <t>entity:SSC_CCUB0006B_Loss_of_Airflow</t>
  </si>
  <si>
    <t>entity:SSC_CCUB0006B_General_Fault</t>
  </si>
  <si>
    <t>entity:SSC_CCUB0006B_Clogged_Filter</t>
  </si>
  <si>
    <t>entity:SSC_CCUB0006B_Cool_On_Status</t>
  </si>
  <si>
    <t>entity:SSC_CCUB0006B_Dehumidifcation_On_Status</t>
  </si>
  <si>
    <t>entity:SSC_CCUB0006B_Electric_Heater_On_Status</t>
  </si>
  <si>
    <t>entity:SSC_CCUB0006B_Fan_On_Status</t>
  </si>
  <si>
    <t>entity:SSC_CCUB0006B_Humidification_On_Status</t>
  </si>
  <si>
    <t>entity:SSC_CCUB0006B_Main_Fan_Overload</t>
  </si>
  <si>
    <t>entity:SSC_CCUB0006B_Running_Status</t>
  </si>
  <si>
    <t>entity:SSC_CCUB0006B_Operating_State</t>
  </si>
  <si>
    <t>entity:SSC_CCUB0006B_Summary_Alarm_Status</t>
  </si>
  <si>
    <t>CCUB0006B</t>
  </si>
  <si>
    <t>SSC_CCUB0006B</t>
  </si>
  <si>
    <t>SSC_CCUB0006B.CloggedFilter</t>
  </si>
  <si>
    <t>SSC_CCUB0006B.CommAlm</t>
  </si>
  <si>
    <t>SSC_CCUB0006B.CoolSts</t>
  </si>
  <si>
    <t>SSC_CCUB0006B.DehumSts</t>
  </si>
  <si>
    <t>SSC_CCUB0006B.ElectHtrSts</t>
  </si>
  <si>
    <t>SSC_CCUB0006B.FanSts</t>
  </si>
  <si>
    <t>SSC_CCUB0006B.Alm</t>
  </si>
  <si>
    <t>SSC_CCUB0006B.HumSts</t>
  </si>
  <si>
    <t>SSC_CCUB0006B.RtnHumidity</t>
  </si>
  <si>
    <t>SSC_CCUB0006B.ActualHumiditySP</t>
  </si>
  <si>
    <t>SSC_CCUB0006B.AirFlwLoss</t>
  </si>
  <si>
    <t>SSC_CCUB0006B.MainFanOvrld</t>
  </si>
  <si>
    <t>SSC_CCUB0006B.State</t>
  </si>
  <si>
    <t>SSC_CCUB0006B.RunSts</t>
  </si>
  <si>
    <t>SSC_CCUB0006B.SumAlmSts</t>
  </si>
  <si>
    <t>SSC_CCUB0006B.RtnTemp</t>
  </si>
  <si>
    <t>SSC_CCUB0006B.ActualTempSP</t>
  </si>
  <si>
    <t>entity:SSC_CCUB0007</t>
  </si>
  <si>
    <t>entity:SSC_CCUB0007_Humidity</t>
  </si>
  <si>
    <t>entity:SSC_CCUB0007_Temperature</t>
  </si>
  <si>
    <t>entity:SSC_CCUB0007_Humidity_Setpoint</t>
  </si>
  <si>
    <t>entity:SSC_CCUB0007_Temperature_Setpoint</t>
  </si>
  <si>
    <t>entity:SSC_CCUB0007_Communication_Alarm</t>
  </si>
  <si>
    <t>entity:SSC_CCUB0007_Loss_of_Airflow</t>
  </si>
  <si>
    <t>entity:SSC_CCUB0007_General_Fault</t>
  </si>
  <si>
    <t>entity:SSC_CCUB0007_Clogged_Filter</t>
  </si>
  <si>
    <t>entity:SSC_CCUB0007_Cool_On_Status</t>
  </si>
  <si>
    <t>entity:SSC_CCUB0007_Dehumidifcation_On_Status</t>
  </si>
  <si>
    <t>entity:SSC_CCUB0007_Electric_Heater_On_Status</t>
  </si>
  <si>
    <t>entity:SSC_CCUB0007_Fan_On_Status</t>
  </si>
  <si>
    <t>entity:SSC_CCUB0007_Humidification_On_Status</t>
  </si>
  <si>
    <t>entity:SSC_CCUB0007_Main_Fan_Overload</t>
  </si>
  <si>
    <t>entity:SSC_CCUB0007_Running_Status</t>
  </si>
  <si>
    <t>entity:SSC_CCUB0007_Operating_State</t>
  </si>
  <si>
    <t>entity:SSC_CCUB0007_Summary_Alarm_Status</t>
  </si>
  <si>
    <t>CCUB0007</t>
  </si>
  <si>
    <t>SSC_CCUB0007</t>
  </si>
  <si>
    <t>SSC_CCUB0007.CloggedFilter</t>
  </si>
  <si>
    <t>SSC_CCUB0007.CommAlm</t>
  </si>
  <si>
    <t>SSC_CCUB0007.CoolSts</t>
  </si>
  <si>
    <t>SSC_CCUB0007.DehumSts</t>
  </si>
  <si>
    <t>SSC_CCUB0007.ElectHtrSts</t>
  </si>
  <si>
    <t>SSC_CCUB0007.FanSts</t>
  </si>
  <si>
    <t>SSC_CCUB0007.Alm</t>
  </si>
  <si>
    <t>SSC_CCUB0007.HumSts</t>
  </si>
  <si>
    <t>SSC_CCUB0007.RtnHumidity</t>
  </si>
  <si>
    <t>SSC_CCUB0007.ActualHumiditySP</t>
  </si>
  <si>
    <t>SSC_CCUB0007.AirFlwLoss</t>
  </si>
  <si>
    <t>SSC_CCUB0007.MainFanOvrld</t>
  </si>
  <si>
    <t>SSC_CCUB0007.State</t>
  </si>
  <si>
    <t>SSC_CCUB0007.RunSts</t>
  </si>
  <si>
    <t>SSC_CCUB0007.SumAlmSts</t>
  </si>
  <si>
    <t>SSC_CCUB0007.RtnTemp</t>
  </si>
  <si>
    <t>SSC_CCUB0007.ActualTempSP</t>
  </si>
  <si>
    <t>entity:SSC_CCUB0008</t>
  </si>
  <si>
    <t>entity:SSC_CCUB0008_Humidity</t>
  </si>
  <si>
    <t>entity:SSC_CCUB0008_Temperature</t>
  </si>
  <si>
    <t>entity:SSC_CCUB0008_Humidity_Setpoint</t>
  </si>
  <si>
    <t>entity:SSC_CCUB0008_Temperature_Setpoint</t>
  </si>
  <si>
    <t>entity:SSC_CCUB0008_Communication_Alarm</t>
  </si>
  <si>
    <t>entity:SSC_CCUB0008_Loss_of_Airflow</t>
  </si>
  <si>
    <t>entity:SSC_CCUB0008_General_Fault</t>
  </si>
  <si>
    <t>entity:SSC_CCUB0008_Clogged_Filter</t>
  </si>
  <si>
    <t>entity:SSC_CCUB0008_Cool_On_Status</t>
  </si>
  <si>
    <t>entity:SSC_CCUB0008_Dehumidifcation_On_Status</t>
  </si>
  <si>
    <t>entity:SSC_CCUB0008_Electric_Heater_On_Status</t>
  </si>
  <si>
    <t>entity:SSC_CCUB0008_Fan_On_Status</t>
  </si>
  <si>
    <t>entity:SSC_CCUB0008_Humidification_On_Status</t>
  </si>
  <si>
    <t>entity:SSC_CCUB0008_Main_Fan_Overload</t>
  </si>
  <si>
    <t>entity:SSC_CCUB0008_Running_Status</t>
  </si>
  <si>
    <t>entity:SSC_CCUB0008_Operating_State</t>
  </si>
  <si>
    <t>entity:SSC_CCUB0008_Summary_Alarm_Status</t>
  </si>
  <si>
    <t>CCUB0008</t>
  </si>
  <si>
    <t>SSC_CCUB0008</t>
  </si>
  <si>
    <t>SSC_CCUB0008.CloggedFilter</t>
  </si>
  <si>
    <t>SSC_CCUB0008.CommAlm</t>
  </si>
  <si>
    <t>SSC_CCUB0008.CoolSts</t>
  </si>
  <si>
    <t>SSC_CCUB0008.DehumSts</t>
  </si>
  <si>
    <t>SSC_CCUB0008.ElectHtrSts</t>
  </si>
  <si>
    <t>SSC_CCUB0008.FanSts</t>
  </si>
  <si>
    <t>SSC_CCUB0008.Alm</t>
  </si>
  <si>
    <t>SSC_CCUB0008.HumSts</t>
  </si>
  <si>
    <t>SSC_CCUB0008.RtnHumidity</t>
  </si>
  <si>
    <t>SSC_CCUB0008.ActualHumiditySP</t>
  </si>
  <si>
    <t>SSC_CCUB0008.AirFlwLoss</t>
  </si>
  <si>
    <t>SSC_CCUB0008.MainFanOvrld</t>
  </si>
  <si>
    <t>SSC_CCUB0008.State</t>
  </si>
  <si>
    <t>SSC_CCUB0008.RunSts</t>
  </si>
  <si>
    <t>SSC_CCUB0008.SumAlmSts</t>
  </si>
  <si>
    <t>SSC_CCUB0008.RtnTemp</t>
  </si>
  <si>
    <t>SSC_CCUB0008.ActualTempSP</t>
  </si>
  <si>
    <t>entity:SSC_CHW_CHWP01</t>
  </si>
  <si>
    <t>brick:Chilled_Water_Booster_Pump</t>
  </si>
  <si>
    <t>entity:SSC_CHW_CHWP01_Motor</t>
  </si>
  <si>
    <t>SSC_CHW_CHWP01 Motor</t>
  </si>
  <si>
    <t>entity:SSC_CHW_CHWP01_Electrical_Meter</t>
  </si>
  <si>
    <t>SSC_CHW_CHWP01 Electrical Meter</t>
  </si>
  <si>
    <t>entity:SSC_CHW_CHWP01_Thermal_Meter</t>
  </si>
  <si>
    <t>SSC_CHW_CHWP01 Thermal Meter</t>
  </si>
  <si>
    <t>entity:SSC_CHW_CHWP01_Scheduled_PM_Hours</t>
  </si>
  <si>
    <t>para:Scheduled_Hrs_Duration</t>
  </si>
  <si>
    <t>ScheduledPM Hours (Manual Entry)</t>
  </si>
  <si>
    <t>unit:HR</t>
  </si>
  <si>
    <t>entity:SSC_CHW_CHWP01_UNScheduled_Outage_Hours</t>
  </si>
  <si>
    <t>para:UnScheduled_Hrs_Duration</t>
  </si>
  <si>
    <t>UnScheduled Outage Hours (Manual Entry)</t>
  </si>
  <si>
    <t>CHW Pump 01</t>
  </si>
  <si>
    <t>rec:feeds</t>
  </si>
  <si>
    <t>SSC_CHW_CHWP01</t>
  </si>
  <si>
    <t>entity:SSC_CHW_CHWP01_Power_Sensor</t>
  </si>
  <si>
    <t>brick:Power_Sensor</t>
  </si>
  <si>
    <t>Power</t>
  </si>
  <si>
    <t>entity:SSC_CHW_CHWP01_Speed_Command</t>
  </si>
  <si>
    <t>Speed Command</t>
  </si>
  <si>
    <t>entity:SSC_CHW_CHWP01_Speed_Fbk</t>
  </si>
  <si>
    <t>Speed Feedback</t>
  </si>
  <si>
    <t>SSC_CHW_CHWP01.kW</t>
  </si>
  <si>
    <t>SSC_CHW_CHWP01.CalcEntryScheduledHrs</t>
  </si>
  <si>
    <t>SSC_CHW_CHWP01.SpeedCmd</t>
  </si>
  <si>
    <t>SSC_CHW_CHWP01.SpeedFbk</t>
  </si>
  <si>
    <t>entity:SSC_CHW_CHWP01_Thermal_Power_Sensor</t>
  </si>
  <si>
    <t>Thermal Load Fan</t>
  </si>
  <si>
    <t>SSC_CHW_CHWP01.ThermLoadFan</t>
  </si>
  <si>
    <t>SSC_CHW_CHWP01.CalcEntryUnscheduledHrs</t>
  </si>
  <si>
    <t>entity:SSC_CHW_CHWP02</t>
  </si>
  <si>
    <t>entity:SSC_CHW_CHWP02_Motor</t>
  </si>
  <si>
    <t>SSC_CHW_CHWP02 Motor</t>
  </si>
  <si>
    <t>entity:SSC_CHW_CHWP02_Electrical_Meter</t>
  </si>
  <si>
    <t>SSC_CHW_CHWP02 Electrical Meter</t>
  </si>
  <si>
    <t>entity:SSC_CHW_CHWP02_Thermal_Meter</t>
  </si>
  <si>
    <t>SSC_CHW_CHWP02 Thermal Meter</t>
  </si>
  <si>
    <t>entity:SSC_CHW_CHWP02_Scheduled_PM_Hours</t>
  </si>
  <si>
    <t>entity:SSC_CHW_CHWP02_UNScheduled_Outage_Hours</t>
  </si>
  <si>
    <t>CHW Pump 02</t>
  </si>
  <si>
    <t>SSC_CHW_CHWP02</t>
  </si>
  <si>
    <t>entity:SSC_CHW_CHWP02_Power_Sensor</t>
  </si>
  <si>
    <t>entity:SSC_CHW_CHWP02_Speed_Command</t>
  </si>
  <si>
    <t>entity:SSC_CHW_CHWP02_Speed_Fbk</t>
  </si>
  <si>
    <t>SSC_CHW_CHWP02.kW</t>
  </si>
  <si>
    <t>SSC_CHW_CHWP02.CalcEntryScheduledHrs</t>
  </si>
  <si>
    <t>SSC_CHW_CHWP02.SpeedCmd</t>
  </si>
  <si>
    <t>SSC_CHW_CHWP02.SpeedFbk</t>
  </si>
  <si>
    <t>entity:SSC_CHW_CHWP02_Thermal_Power_Sensor</t>
  </si>
  <si>
    <t>SSC_CHW_CHWP02.ThermLoadFan</t>
  </si>
  <si>
    <t>SSC_CHW_CHWP02.CalcEntryUnscheduledHrs</t>
  </si>
  <si>
    <t>entity:SSC_CHW_CHWP03</t>
  </si>
  <si>
    <t>entity:SSC_CHW_CHWP03_Motor</t>
  </si>
  <si>
    <t>SSC_CHW_CHWP03 Motor</t>
  </si>
  <si>
    <t>entity:SSC_CHW_CHWP03_Electrical_Meter</t>
  </si>
  <si>
    <t>SSC_CHW_CHWP03 Electrical Meter</t>
  </si>
  <si>
    <t>entity:SSC_CHW_CHWP03_Thermal_Meter</t>
  </si>
  <si>
    <t>SSC_CHW_CHWP03 Thermal Meter</t>
  </si>
  <si>
    <t>entity:SSC_CHW_CHWP03_Scheduled_PM_Hours</t>
  </si>
  <si>
    <t>entity:SSC_CHW_CHWP03_UNScheduled_Outage_Hours</t>
  </si>
  <si>
    <t>CHW Pump 03</t>
  </si>
  <si>
    <t>SSC_CHW_CHWP03</t>
  </si>
  <si>
    <t>entity:SSC_CHW_CHWP03_Power_Sensor</t>
  </si>
  <si>
    <t>entity:SSC_CHW_CHWP03_Speed_Command</t>
  </si>
  <si>
    <t>entity:SSC_CHW_CHWP03_Speed_Fbk</t>
  </si>
  <si>
    <t>SSC_CHW_CHWP03.kW</t>
  </si>
  <si>
    <t>SSC_CHW_CHWP03.CalcEntryScheduledHrs</t>
  </si>
  <si>
    <t>SSC_CHW_CHWP03.SpeedCmd</t>
  </si>
  <si>
    <t>SSC_CHW_CHWP03.SpeedFbk</t>
  </si>
  <si>
    <t>entity:SSC_CHW_CHWP03_Thermal_Power_Sensor</t>
  </si>
  <si>
    <t>SSC_CHW_CHWP03.ThermLoadFan</t>
  </si>
  <si>
    <t>SSC_CHW_CHWP03.CalcEntryUnscheduledHrs</t>
  </si>
  <si>
    <t>entity:SSC_CHW_CHWP04</t>
  </si>
  <si>
    <t>entity:SSC_CHW_CHWP04_Motor</t>
  </si>
  <si>
    <t>SSC_CHW_CHWP04 Motor</t>
  </si>
  <si>
    <t>entity:SSC_CHW_CHWP04_Electrical_Meter</t>
  </si>
  <si>
    <t>SSC_CHW_CHWP04 Electrical Meter</t>
  </si>
  <si>
    <t>entity:SSC_CHW_CHWP04_Thermal_Meter</t>
  </si>
  <si>
    <t>SSC_CHW_CHWP04 Thermal Meter</t>
  </si>
  <si>
    <t>entity:SSC_CHW_CHWP04_Scheduled_PM_Hours</t>
  </si>
  <si>
    <t>entity:SSC_CHW_CHWP04_UNScheduled_Outage_Hours</t>
  </si>
  <si>
    <t>CHW Pump 04</t>
  </si>
  <si>
    <t>SSC_CHW_CHWP04</t>
  </si>
  <si>
    <t>entity:SSC_CHW_CHWP04_Power_Sensor</t>
  </si>
  <si>
    <t>entity:SSC_CHW_CHWP04_Speed_Command</t>
  </si>
  <si>
    <t>entity:SSC_CHW_CHWP04_Speed_Fbk</t>
  </si>
  <si>
    <t>SSC_CHW_CHWP04.kW</t>
  </si>
  <si>
    <t>SSC_CHW_CHWP04.CalcEntryScheduledHrs</t>
  </si>
  <si>
    <t>SSC_CHW_CHWP04.SpeedCmd</t>
  </si>
  <si>
    <t>SSC_CHW_CHWP04.SpeedFbk</t>
  </si>
  <si>
    <t>entity:SSC_CHW_CHWP04_Thermal_Power_Sensor</t>
  </si>
  <si>
    <t>SSC_CHW_CHWP04.ThermLoadFan</t>
  </si>
  <si>
    <t>SSC_CHW_CHWP04.CalcEntryUnscheduledHrs</t>
  </si>
  <si>
    <t>entity:SSC_CHW_HE01</t>
  </si>
  <si>
    <t>brick:Heat_Exchanger</t>
  </si>
  <si>
    <t>entity:SSC_CHW_HE01_Return_Valve</t>
  </si>
  <si>
    <t>brick:Valve</t>
  </si>
  <si>
    <t>Return Valve</t>
  </si>
  <si>
    <t>entity:SSC_CHW_HE01_Supply_Valve</t>
  </si>
  <si>
    <t>brick:Isolation_Valve</t>
  </si>
  <si>
    <t>Supply Isolation Valve</t>
  </si>
  <si>
    <t>SSC CHW HE01</t>
  </si>
  <si>
    <t>SSC_CHW_HE01</t>
  </si>
  <si>
    <t>entity:SSC_CHW_HE01_Return_Valve_Motor</t>
  </si>
  <si>
    <t>Motor</t>
  </si>
  <si>
    <t>entity:SSC_CHW_HE01_Return_Valve_Open_Close_Status</t>
  </si>
  <si>
    <t>brick:Open_Close_Status</t>
  </si>
  <si>
    <t>Open Close Status</t>
  </si>
  <si>
    <t>entity:SSC_CHW_HE01_Return_Valve_Diff_Prs</t>
  </si>
  <si>
    <t>brick:Differential_Pressure_Sensor</t>
  </si>
  <si>
    <t>Differential Pressure</t>
  </si>
  <si>
    <t>entity:SSC_CHW_HE01_Return_Valve_Position_Command</t>
  </si>
  <si>
    <t>RTN Valve Position Command</t>
  </si>
  <si>
    <t>entity:SSC_CHW_HE01_Return_Valve_Position</t>
  </si>
  <si>
    <t>RTN Valve Position</t>
  </si>
  <si>
    <t>entity:SSC_CHW_HE01_Return_Valve_Status</t>
  </si>
  <si>
    <t>RTN Valve Status</t>
  </si>
  <si>
    <t>SSC_CHW_HE01_DiffPrs.PV</t>
  </si>
  <si>
    <t>entity:SSC_CHW_HE01_Return_Valve_Motor_Auto_Manual_Command_Status</t>
  </si>
  <si>
    <t>para:Command_Status</t>
  </si>
  <si>
    <t>Auto Manual Command Status</t>
  </si>
  <si>
    <t>entity:SSC_CHW_HE01_Return_Valve_Motor_Auto_Manual_Status</t>
  </si>
  <si>
    <t>Auto Manual Status</t>
  </si>
  <si>
    <t>SSC_CHW_HE01_RtnMtrVlv.AutoManCmdSts</t>
  </si>
  <si>
    <t>SSC_CHW_HE01_RtnMtrVlv.AutoManSts</t>
  </si>
  <si>
    <t>SSC_CHW_HE01_RtnMtrVlv.OpenCloseSts</t>
  </si>
  <si>
    <t>SSC_CHW_HE01_RtnMtrVlv.PosFbk</t>
  </si>
  <si>
    <t>SSC_CHW_HE01_RtnMtrVlv.PosCmd</t>
  </si>
  <si>
    <t>SSC_CHW_HE01_RtnMtrVlv.Sts</t>
  </si>
  <si>
    <t>entity:SSC_CHW_HE01_Supply_Valve_Auto_Command</t>
  </si>
  <si>
    <t>brick:Automatic_Mode_Command</t>
  </si>
  <si>
    <t>Auto Command</t>
  </si>
  <si>
    <t>entity:SSC_CHW_HE01_Supply_Valve_Manual_Auto_Status</t>
  </si>
  <si>
    <t>Manual Auto Status</t>
  </si>
  <si>
    <t>entity:SSC_CHW_HE01_Supply_Valve_Close_Command</t>
  </si>
  <si>
    <t>para:Open_command</t>
  </si>
  <si>
    <t>Close Command</t>
  </si>
  <si>
    <t>entity:SSC_CHW_HE01_Supply_Valve_Open_Command</t>
  </si>
  <si>
    <t>para:Close_command</t>
  </si>
  <si>
    <t>Open Command</t>
  </si>
  <si>
    <t>entity:SSC_CHW_HE01_Supply_Valve_Status</t>
  </si>
  <si>
    <t>Supply Valve Status</t>
  </si>
  <si>
    <t>entity:SSC_CHW_HE01_Supply_Valve_Temperature_Sensor</t>
  </si>
  <si>
    <t>Temperature Sensor</t>
  </si>
  <si>
    <t>SSC_CHW_HE01_SupIsoVlv.AutoManCmdSts</t>
  </si>
  <si>
    <t>SSC_CHW_HE01_SupIsoVlv.CloseCmd</t>
  </si>
  <si>
    <t>SSC_CHW_HE01_SupIsoVlv.AutoManSts</t>
  </si>
  <si>
    <t>SSC_CHW_HE01_SupIsoVlv.OpenCmd</t>
  </si>
  <si>
    <t>SSC_CHW_HE01_SupIsoVlv.Sts</t>
  </si>
  <si>
    <t>SSC_CHW_HE01_SupTemp.PV</t>
  </si>
  <si>
    <t>entity:SSC_CHW_HE02</t>
  </si>
  <si>
    <t>entity:SSC_CHW_HE02_Return_Valve</t>
  </si>
  <si>
    <t>entity:SSC_CHW_HE02_Supply_Valve</t>
  </si>
  <si>
    <t>SSC CHW HE02</t>
  </si>
  <si>
    <t>SSC_CHW_HE02</t>
  </si>
  <si>
    <t>entity:SSC_CHW_HE02_Return_Valve_Motor</t>
  </si>
  <si>
    <t>entity:SSC_CHW_HE02_Return_Valve_Open_Close_Status</t>
  </si>
  <si>
    <t>entity:SSC_CHW_HE02_Return_Valve_Diff_Prs</t>
  </si>
  <si>
    <t>entity:SSC_CHW_HE02_Return_Valve_Position_Command</t>
  </si>
  <si>
    <t>entity:SSC_CHW_HE02_Return_Valve_Position</t>
  </si>
  <si>
    <t>entity:SSC_CHW_HE02_Return_Valve_Status</t>
  </si>
  <si>
    <t>SSC_CHW_HE02_DiffPrs.PV</t>
  </si>
  <si>
    <t>entity:SSC_CHW_HE02_Return_Valve_Motor_Auto_Manual_Command_Status</t>
  </si>
  <si>
    <t>entity:SSC_CHW_HE02_Return_Valve_Motor_Auto_Manual_Status</t>
  </si>
  <si>
    <t>SSC_CHW_HE02_RtnMtrVlv.AutoManCmdSts</t>
  </si>
  <si>
    <t>SSC_CHW_HE02_RtnMtrVlv.AutoManSts</t>
  </si>
  <si>
    <t>SSC_CHW_HE02_RtnMtrVlv.OpenCloseSts</t>
  </si>
  <si>
    <t>SSC_CHW_HE02_RtnMtrVlv.PosFbk</t>
  </si>
  <si>
    <t>SSC_CHW_HE02_RtnMtrVlv.PosCmd</t>
  </si>
  <si>
    <t>SSC_CHW_HE02_RtnMtrVlv.Sts</t>
  </si>
  <si>
    <t>entity:SSC_CHW_HE02_Supply_Valve_Auto_Command</t>
  </si>
  <si>
    <t>entity:SSC_CHW_HE02_Supply_Valve_Manual_Auto_Status</t>
  </si>
  <si>
    <t>entity:SSC_CHW_HE02_Supply_Valve_Close_Command</t>
  </si>
  <si>
    <t>entity:SSC_CHW_HE02_Supply_Valve_Open_Command</t>
  </si>
  <si>
    <t>entity:SSC_CHW_HE02_Supply_Valve_Status</t>
  </si>
  <si>
    <t>entity:SSC_CHW_HE02_Supply_Valve_Temperature_Sensor</t>
  </si>
  <si>
    <t>SSC_CHW_HE02_SupIsoVlv.AutoManCmdSts</t>
  </si>
  <si>
    <t>SSC_CHW_HE02_SupIsoVlv.CloseCmd</t>
  </si>
  <si>
    <t>SSC_CHW_HE02_SupIsoVlv.AutoManSts</t>
  </si>
  <si>
    <t>SSC_CHW_HE02_SupIsoVlv.OpenCmd</t>
  </si>
  <si>
    <t>SSC_CHW_HE02_SupIsoVlv.Sts</t>
  </si>
  <si>
    <t>SSC_CHW_HE02_SupTemp.PV</t>
  </si>
  <si>
    <t>entity:SSC_CHW_HE03</t>
  </si>
  <si>
    <t>entity:SSC_CHW_HE03_Return_Valve</t>
  </si>
  <si>
    <t>entity:SSC_CHW_HE03_Supply_Valve</t>
  </si>
  <si>
    <t>SSC CHW HE03</t>
  </si>
  <si>
    <t>SSC_CHW_HE03</t>
  </si>
  <si>
    <t>entity:SSC_CHW_HE03_Return_Valve_Motor</t>
  </si>
  <si>
    <t>entity:SSC_CHW_HE03_Return_Valve_Open_Close_Status</t>
  </si>
  <si>
    <t>entity:SSC_CHW_HE03_Return_Valve_Diff_Prs</t>
  </si>
  <si>
    <t>entity:SSC_CHW_HE03_Return_Valve_Position_Command</t>
  </si>
  <si>
    <t>entity:SSC_CHW_HE03_Return_Valve_Position</t>
  </si>
  <si>
    <t>entity:SSC_CHW_HE03_Return_Valve_Status</t>
  </si>
  <si>
    <t>SSC_CHW_HE03_DiffPrs.PV</t>
  </si>
  <si>
    <t>entity:SSC_CHW_HE03_Return_Valve_Motor_Auto_Manual_Command_Status</t>
  </si>
  <si>
    <t>entity:SSC_CHW_HE03_Return_Valve_Motor_Auto_Manual_Status</t>
  </si>
  <si>
    <t>SSC_CHW_HE03_RtnMtrVlv.AutoManCmdSts</t>
  </si>
  <si>
    <t>SSC_CHW_HE03_RtnMtrVlv.AutoManSts</t>
  </si>
  <si>
    <t>SSC_CHW_HE03_RtnMtrVlv.OpenCloseSts</t>
  </si>
  <si>
    <t>SSC_CHW_HE03_RtnMtrVlv.PosFbk</t>
  </si>
  <si>
    <t>SSC_CHW_HE03_RtnMtrVlv.PosCmd</t>
  </si>
  <si>
    <t>SSC_CHW_HE03_RtnMtrVlv.Sts</t>
  </si>
  <si>
    <t>entity:SSC_CHW_HE03_Supply_Valve_Auto_Command</t>
  </si>
  <si>
    <t>entity:SSC_CHW_HE03_Supply_Valve_Manual_Auto_Status</t>
  </si>
  <si>
    <t>entity:SSC_CHW_HE03_Supply_Valve_Close_Command</t>
  </si>
  <si>
    <t>entity:SSC_CHW_HE03_Supply_Valve_Open_Command</t>
  </si>
  <si>
    <t>entity:SSC_CHW_HE03_Supply_Valve_Status</t>
  </si>
  <si>
    <t>entity:SSC_CHW_HE03_Supply_Valve_Temperature_Sensor</t>
  </si>
  <si>
    <t>SSC_CHW_HE03_SupIsoVlv.AutoManCmdSts</t>
  </si>
  <si>
    <t>SSC_CHW_HE03_SupIsoVlv.CloseCmd</t>
  </si>
  <si>
    <t>SSC_CHW_HE03_SupIsoVlv.AutoManSts</t>
  </si>
  <si>
    <t>SSC_CHW_HE03_SupIsoVlv.OpenCmd</t>
  </si>
  <si>
    <t>SSC_CHW_HE03_SupIsoVlv.Sts</t>
  </si>
  <si>
    <t>SSC_CHW_HE03_SupTemp.PV</t>
  </si>
  <si>
    <t>entity:SSC_CHW_HE04</t>
  </si>
  <si>
    <t>entity:SSC_CHW_HE04_Return_Valve</t>
  </si>
  <si>
    <t>entity:SSC_CHW_HE04_Supply_Valve</t>
  </si>
  <si>
    <t>SSC CHW HE04</t>
  </si>
  <si>
    <t>SSC_CHW_HE04</t>
  </si>
  <si>
    <t>entity:SSC_CHW_HE04_Return_Valve_Motor</t>
  </si>
  <si>
    <t>entity:SSC_CHW_HE04_Return_Valve_Open_Close_Status</t>
  </si>
  <si>
    <t>entity:SSC_CHW_HE04_Return_Valve_Diff_Prs</t>
  </si>
  <si>
    <t>entity:SSC_CHW_HE04_Return_Valve_Position_Command</t>
  </si>
  <si>
    <t>entity:SSC_CHW_HE04_Return_Valve_Position</t>
  </si>
  <si>
    <t>entity:SSC_CHW_HE04_Return_Valve_Status</t>
  </si>
  <si>
    <t>SSC_CHW_HE04_DiffPrs.PV</t>
  </si>
  <si>
    <t>entity:SSC_CHW_HE04_Return_Valve_Motor_Auto_Manual_Command_Status</t>
  </si>
  <si>
    <t>entity:SSC_CHW_HE04_Return_Valve_Motor_Auto_Manual_Status</t>
  </si>
  <si>
    <t>SSC_CHW_HE04_RtnMtrVlv.AutoManCmdSts</t>
  </si>
  <si>
    <t>SSC_CHW_HE04_RtnMtrVlv.AutoManSts</t>
  </si>
  <si>
    <t>SSC_CHW_HE04_RtnMtrVlv.OpenCloseSts</t>
  </si>
  <si>
    <t>SSC_CHW_HE04_RtnMtrVlv.PosFbk</t>
  </si>
  <si>
    <t>SSC_CHW_HE04_RtnMtrVlv.PosCmd</t>
  </si>
  <si>
    <t>SSC_CHW_HE04_RtnMtrVlv.Sts</t>
  </si>
  <si>
    <t>entity:SSC_CHW_HE04_Supply_Valve_Auto_Command</t>
  </si>
  <si>
    <t>entity:SSC_CHW_HE04_Supply_Valve_Manual_Auto_Status</t>
  </si>
  <si>
    <t>entity:SSC_CHW_HE04_Supply_Valve_Close_Command</t>
  </si>
  <si>
    <t>entity:SSC_CHW_HE04_Supply_Valve_Open_Command</t>
  </si>
  <si>
    <t>entity:SSC_CHW_HE04_Supply_Valve_Status</t>
  </si>
  <si>
    <t>entity:SSC_CHW_HE04_Supply_Valve_Temperature_Sensor</t>
  </si>
  <si>
    <t>SSC_CHW_HE04_SupIsoVlv.AutoManCmdSts</t>
  </si>
  <si>
    <t>SSC_CHW_HE04_SupIsoVlv.CloseCmd</t>
  </si>
  <si>
    <t>SSC_CHW_HE04_SupIsoVlv.AutoManSts</t>
  </si>
  <si>
    <t>SSC_CHW_HE04_SupIsoVlv.OpenCmd</t>
  </si>
  <si>
    <t>SSC_CHW_HE04_SupIsoVlv.Sts</t>
  </si>
  <si>
    <t>SSC_CHW_HE04_SupTemp.PV</t>
  </si>
  <si>
    <t>entity:SSC_CHW_HE05</t>
  </si>
  <si>
    <t>entity:SSC_CHW_HE05_Return_Valve</t>
  </si>
  <si>
    <t>entity:SSC_CHW_HE05_Supply_Valve</t>
  </si>
  <si>
    <t>SSC CHW HE05</t>
  </si>
  <si>
    <t>SSC_CHW_HE05</t>
  </si>
  <si>
    <t>entity:SSC_CHW_HE05_Return_Valve_Motor</t>
  </si>
  <si>
    <t>entity:SSC_CHW_HE05_Return_Valve_Open_Close_Status</t>
  </si>
  <si>
    <t>entity:SSC_CHW_HE05_Return_Valve_Diff_Prs</t>
  </si>
  <si>
    <t>entity:SSC_CHW_HE05_Return_Valve_Position_Command</t>
  </si>
  <si>
    <t>entity:SSC_CHW_HE05_Return_Valve_Position</t>
  </si>
  <si>
    <t>entity:SSC_CHW_HE05_Return_Valve_Status</t>
  </si>
  <si>
    <t>SSC_CHW_HE05_DiffPrs.PV</t>
  </si>
  <si>
    <t>entity:SSC_CHW_HE05_Return_Valve_Motor_Auto_Manual_Command_Status</t>
  </si>
  <si>
    <t>entity:SSC_CHW_HE05_Return_Valve_Motor_Auto_Manual_Status</t>
  </si>
  <si>
    <t>SSC_CHW_HE05_RtnMtrVlv.AutoManCmdSts</t>
  </si>
  <si>
    <t>SSC_CHW_HE05_RtnMtrVlv.AutoManSts</t>
  </si>
  <si>
    <t>SSC_CHW_HE05_RtnMtrVlv.OpenCloseSts</t>
  </si>
  <si>
    <t>SSC_CHW_HE05_RtnMtrVlv.PosFbk</t>
  </si>
  <si>
    <t>SSC_CHW_HE05_RtnMtrVlv.PosCmd</t>
  </si>
  <si>
    <t>SSC_CHW_HE05_RtnMtrVlv.Sts</t>
  </si>
  <si>
    <t>entity:SSC_CHW_HE05_Supply_Valve_Temperature_Sensor</t>
  </si>
  <si>
    <t>SSC_CHW_HE05_SupTemp.PV</t>
  </si>
  <si>
    <t>entity:SSC_DXB0001</t>
  </si>
  <si>
    <t>para:DXUnit</t>
  </si>
  <si>
    <t>entity:SSC_DXB0001_Temperature_Sensor</t>
  </si>
  <si>
    <t>Temperature</t>
  </si>
  <si>
    <t>entity:SSC_DXB0001_Alarm</t>
  </si>
  <si>
    <t>General Alarm</t>
  </si>
  <si>
    <t>entity:SSC_DXB0001_Running_Status</t>
  </si>
  <si>
    <t>Running Status</t>
  </si>
  <si>
    <t>SSC DXB0001</t>
  </si>
  <si>
    <t>COMMENTS</t>
  </si>
  <si>
    <t>SSC_DXB0001</t>
  </si>
  <si>
    <t>SSC_DXB0001.Alm</t>
  </si>
  <si>
    <t>SSC_DXB0001.RunSts</t>
  </si>
  <si>
    <t>SSC_DXB0001.SpcTemp</t>
  </si>
  <si>
    <t>entity:SSC_DXB0002</t>
  </si>
  <si>
    <t>entity:SSC_DXB0002_Temperature_Sensor</t>
  </si>
  <si>
    <t>entity:SSC_DXB0002_Alarm</t>
  </si>
  <si>
    <t>entity:SSC_DXB0002_Running_Status</t>
  </si>
  <si>
    <t>SSC DXB0002</t>
  </si>
  <si>
    <t>SSC_DXB0002</t>
  </si>
  <si>
    <t>SSC_DXB0002.Alm</t>
  </si>
  <si>
    <t>SSC_DXB0002.RunSts</t>
  </si>
  <si>
    <t>SSC_DXB0002.SpcTemp</t>
  </si>
  <si>
    <t>entity:SSC_DXB0003</t>
  </si>
  <si>
    <t>entity:SSC_DXB0003_Temperature_Sensor</t>
  </si>
  <si>
    <t>entity:SSC_DXB0003_Alarm</t>
  </si>
  <si>
    <t>entity:SSC_DXB0003_Running_Status</t>
  </si>
  <si>
    <t>SSC DXB0003</t>
  </si>
  <si>
    <t>SSC_DXB0003</t>
  </si>
  <si>
    <t>SSC_DXB0003.Alm</t>
  </si>
  <si>
    <t>SSC_DXB0003.RunSts</t>
  </si>
  <si>
    <t>SSC_DXB0003.SpcTemp</t>
  </si>
  <si>
    <t>entity:SSC_DXB0004</t>
  </si>
  <si>
    <t>entity:SSC_DXB0004_Temperature_Sensor</t>
  </si>
  <si>
    <t>entity:SSC_DXB0004_Alarm</t>
  </si>
  <si>
    <t>entity:SSC_DXB0004_Running_Status</t>
  </si>
  <si>
    <t>SSC DXB0004</t>
  </si>
  <si>
    <t>SSC_DXB0004</t>
  </si>
  <si>
    <t>SSC_DXB0004.Alm</t>
  </si>
  <si>
    <t>SSC_DXB0004.RunSts</t>
  </si>
  <si>
    <t>SSC_DXB0004.SpcTemp</t>
  </si>
  <si>
    <t>entity:SSC_DXB0005</t>
  </si>
  <si>
    <t>entity:SSC_DXB0005_Temperature_Sensor</t>
  </si>
  <si>
    <t>entity:SSC_DXB0005_Alarm</t>
  </si>
  <si>
    <t>entity:SSC_DXB0005_Running_Status</t>
  </si>
  <si>
    <t>SSC DXB0005</t>
  </si>
  <si>
    <t>SSC_DXB0005</t>
  </si>
  <si>
    <t>SSC_DXB0005.Alm</t>
  </si>
  <si>
    <t>SSC_DXB0005.RunSts</t>
  </si>
  <si>
    <t>SSC_DXB0005.SpcTemp</t>
  </si>
  <si>
    <t>entity:SSC_DXB0006</t>
  </si>
  <si>
    <t>entity:SSC_DXB0006_Temperature_Sensor</t>
  </si>
  <si>
    <t>entity:SSC_DXB0006_Alarm</t>
  </si>
  <si>
    <t>entity:SSC_DXB0006_Running_Status</t>
  </si>
  <si>
    <t>SSC DXB0006</t>
  </si>
  <si>
    <t>SSC_DXB0006</t>
  </si>
  <si>
    <t>SSC_DXB0006.Alm</t>
  </si>
  <si>
    <t>SSC_DXB0006.RunSts</t>
  </si>
  <si>
    <t>SSC_DXB0006.SpcTemp</t>
  </si>
  <si>
    <t>entity:SSC_DXB0007</t>
  </si>
  <si>
    <t>entity:SSC_DXB0007_Humidity_Sensor</t>
  </si>
  <si>
    <t>Humidity</t>
  </si>
  <si>
    <t>entity:SSC_DXB0007_Temperature_Sensor</t>
  </si>
  <si>
    <t>entity:SSC_DXB0007_Alarm</t>
  </si>
  <si>
    <t>entity:SSC_DXB0007_Running_Status</t>
  </si>
  <si>
    <t>SSC DXB0007</t>
  </si>
  <si>
    <t>SSC_DXB0007</t>
  </si>
  <si>
    <t>SSC_DXB0007.Alm</t>
  </si>
  <si>
    <t>SSC_DXB0007.Humidity</t>
  </si>
  <si>
    <t>SSC_DXB0007.RunSts</t>
  </si>
  <si>
    <t>SSC_DXB0007.SpcTemp</t>
  </si>
  <si>
    <t>entity:SSC_DXB0008</t>
  </si>
  <si>
    <t>entity:SSC_DXB0008_Humidity_Sensor</t>
  </si>
  <si>
    <t>entity:SSC_DXB0008_Temperature_Sensor</t>
  </si>
  <si>
    <t>entity:SSC_DXB0008_Alarm</t>
  </si>
  <si>
    <t>entity:SSC_DXB0008_Running_Status</t>
  </si>
  <si>
    <t>SSC DXB0008</t>
  </si>
  <si>
    <t>SSC_DXB0008</t>
  </si>
  <si>
    <t>SSC_DXB0008.Alm</t>
  </si>
  <si>
    <t>SSC_DXB0008.Humidity</t>
  </si>
  <si>
    <t>SSC_DXB0008.RunSts</t>
  </si>
  <si>
    <t>SSC_DXB0008.SpcTemp</t>
  </si>
  <si>
    <t>entity:SSC_DXB0009</t>
  </si>
  <si>
    <t>entity:SSC_DXB0009_Humidity_Sensor</t>
  </si>
  <si>
    <t>entity:SSC_DXB0009_Temperature_Sensor</t>
  </si>
  <si>
    <t>entity:SSC_DXB0009_Alarm</t>
  </si>
  <si>
    <t>entity:SSC_DXB0009_Running_Status</t>
  </si>
  <si>
    <t>SSC DXB0009</t>
  </si>
  <si>
    <t>SSC_DXB0009</t>
  </si>
  <si>
    <t>SSC_DXB0009.Alm</t>
  </si>
  <si>
    <t>SSC_DXB0009.Humidity</t>
  </si>
  <si>
    <t>SSC_DXB0009.RunSts</t>
  </si>
  <si>
    <t>SSC_DXB0009.SpcTemp</t>
  </si>
  <si>
    <t>entity:SSC_DXB0010</t>
  </si>
  <si>
    <t>entity:SSC_DXB0010_Humidity_Sensor</t>
  </si>
  <si>
    <t>entity:SSC_DXB0010_Temperature_Sensor</t>
  </si>
  <si>
    <t>entity:SSC_DXB0010_Alarm</t>
  </si>
  <si>
    <t>entity:SSC_DXB0010_Running_Status</t>
  </si>
  <si>
    <t>SSC DXB0010</t>
  </si>
  <si>
    <t>SSC_DXB0010</t>
  </si>
  <si>
    <t>SSC_DXB0010.Alm</t>
  </si>
  <si>
    <t>SSC_DXB0010.Humidity</t>
  </si>
  <si>
    <t>SSC_DXB0010.RunSts</t>
  </si>
  <si>
    <t>SSC_DXB0010.SpcTemp</t>
  </si>
  <si>
    <t>entity:SSC_FCU0001</t>
  </si>
  <si>
    <t>brick:Fan_Coil_Unit</t>
  </si>
  <si>
    <t>entity:SSC_FCU0001_CHW-Coil</t>
  </si>
  <si>
    <t>entity:SSC_FCU0001_Cooling-Thermal-Virtual-Meter</t>
  </si>
  <si>
    <t>FCU Chilled Water Thermal Power Virtual Meter</t>
  </si>
  <si>
    <t>entity:SSC_FCU0001_ElectricalVirtualMeter</t>
  </si>
  <si>
    <t>FCU Electrical Virtual Meter</t>
  </si>
  <si>
    <t>entity:SSC_FCU0001_SF</t>
  </si>
  <si>
    <t>entity:SSC_FCU0001_Schedule_Hrs</t>
  </si>
  <si>
    <t>brick:Duration_Sensor</t>
  </si>
  <si>
    <t>Scheduled Hours  Mannual</t>
  </si>
  <si>
    <t>entity:SSC_FCU0001_UnScheduled_Hrs</t>
  </si>
  <si>
    <t>Unscheduled Hours  Mannual</t>
  </si>
  <si>
    <t>entity:SSC_FCU0001_Temp_Setpoint</t>
  </si>
  <si>
    <t>Effective temperature Setpoint</t>
  </si>
  <si>
    <t>entity:SSC_FCU0001_Occupied_Temp_Setpoint</t>
  </si>
  <si>
    <t>entity:SSC_FCU0001_Room_Temperature</t>
  </si>
  <si>
    <t>brick:Room_Air_Temperature_Sensor</t>
  </si>
  <si>
    <t>Room Temperature</t>
  </si>
  <si>
    <t>entity:SSC_FCU0001_CoolingMode_OperationDuration</t>
  </si>
  <si>
    <t>para:Cooling_Mode_Operation_Hours</t>
  </si>
  <si>
    <t>Cooling Mode Operating Duration CALC</t>
  </si>
  <si>
    <t>entity:SSC_FCU0001_FanMode_OperationDuration</t>
  </si>
  <si>
    <t>para:Fan_Mode_Operation_Hours</t>
  </si>
  <si>
    <t>Fan Mode Operating Duration CALC</t>
  </si>
  <si>
    <t>entity:SSC_FCU0001_TotalOperationDuration</t>
  </si>
  <si>
    <t>para:Operation_Hours</t>
  </si>
  <si>
    <t>Operating Duration CALC</t>
  </si>
  <si>
    <t>entity:SSC_FCU0001_Starttime</t>
  </si>
  <si>
    <t>para:Start_Time</t>
  </si>
  <si>
    <t>Start Time</t>
  </si>
  <si>
    <t>unit:EPOCH</t>
  </si>
  <si>
    <t>para:format</t>
  </si>
  <si>
    <t>hh:mma</t>
  </si>
  <si>
    <t>entity:SSC_FCU0001_Stoptime</t>
  </si>
  <si>
    <t>para:Stop_Time</t>
  </si>
  <si>
    <t>Stop Time</t>
  </si>
  <si>
    <t>SSC FCU0001</t>
  </si>
  <si>
    <t>rec:modelNumber</t>
  </si>
  <si>
    <t>CPR173R4</t>
  </si>
  <si>
    <t>SSC_FCU0001</t>
  </si>
  <si>
    <t>entity:SSC_FCU0001_Occupancy_Status</t>
  </si>
  <si>
    <t>Occupied Status</t>
  </si>
  <si>
    <t>entity:SSC_FCU0001_Temp_Cntrl_SCADA_or_Thermostat</t>
  </si>
  <si>
    <t>brick:Mode_Command</t>
  </si>
  <si>
    <t>Temp Ctrl - SCADA / Thermostat</t>
  </si>
  <si>
    <t>entity:SSC_FCU0001_CHW-Coil_Valve</t>
  </si>
  <si>
    <t>entity:SSC_FCU0001_Cooling-Load-Consumption</t>
  </si>
  <si>
    <t>entity:SSC_FCU0001_Cooling-Load-Demand</t>
  </si>
  <si>
    <t>OPDURATIONCOOL_HRS_CALC</t>
  </si>
  <si>
    <t>Cooling Thermal Power Consumption CALC</t>
  </si>
  <si>
    <t>Cooling Thermal Power Demand CALC</t>
  </si>
  <si>
    <t>entity:SSC_FCU0001_ElectricalConsumption</t>
  </si>
  <si>
    <t>ELECTRICITYPOWERCONSUMP_KWH_CALC</t>
  </si>
  <si>
    <t>entity:SSC_FCU0001_ElectricalDemand</t>
  </si>
  <si>
    <t>ELECTRICITYPOWERDEMAND_KW_CALC</t>
  </si>
  <si>
    <t>Electricity Power Consumption CALC</t>
  </si>
  <si>
    <t>unit:KiloWHR</t>
  </si>
  <si>
    <t>Electricity Power Demand CALC</t>
  </si>
  <si>
    <t>OPDURATIONFAN_HRS_CALC</t>
  </si>
  <si>
    <t>SSC_FCU0001.OccSts</t>
  </si>
  <si>
    <t>SSC_FCU0001.OccCoolSP</t>
  </si>
  <si>
    <t>SSC_FCU0001.RmTemp</t>
  </si>
  <si>
    <t>SSC_FCU0001.CalcEntryScheduledHrs</t>
  </si>
  <si>
    <t>entity:SSC_FCU0001_SF_Motor</t>
  </si>
  <si>
    <t>entity:SSC_FCU0001_Start_Command</t>
  </si>
  <si>
    <t>para:Start_Command</t>
  </si>
  <si>
    <t>Start Command</t>
  </si>
  <si>
    <t>entity:SSC_FCU0001_Stop_Command</t>
  </si>
  <si>
    <t>para:Stop_Command</t>
  </si>
  <si>
    <t>Stop Command</t>
  </si>
  <si>
    <t>SSC_FCU0001.StopCmd</t>
  </si>
  <si>
    <t>START_TSMS_CALC</t>
  </si>
  <si>
    <t>SSC_FCU0001.TempCtrl</t>
  </si>
  <si>
    <t>STOP_TSMS_CALC</t>
  </si>
  <si>
    <t>SSC_FCU0001.StartCmd</t>
  </si>
  <si>
    <t>SSC_FCU0001.EffectiveSP</t>
  </si>
  <si>
    <t>OPDURATIONTOTAL_HRS_CALC</t>
  </si>
  <si>
    <t>SSC_FCU0001.CalcEntryUnscheduledHrs</t>
  </si>
  <si>
    <t>entity:SSC_FCU0002</t>
  </si>
  <si>
    <t>entity:SSC_FCU0002_CHW-Coil</t>
  </si>
  <si>
    <t>entity:SSC_FCU0002_Cooling-Thermal-Virtual-Meter</t>
  </si>
  <si>
    <t>entity:SSC_FCU0002_ElectricalVirtualMeter</t>
  </si>
  <si>
    <t>entity:SSC_FCU0002_SF</t>
  </si>
  <si>
    <t>entity:SSC_FCU0002_Schedule_Hrs</t>
  </si>
  <si>
    <t>entity:SSC_FCU0002_UnScheduled_Hrs</t>
  </si>
  <si>
    <t>entity:SSC_FCU0002_Temp_Setpoint</t>
  </si>
  <si>
    <t>entity:SSC_FCU0002_Occupied_Temp_Setpoint</t>
  </si>
  <si>
    <t>entity:SSC_FCU0002_Room_Temperature</t>
  </si>
  <si>
    <t>entity:SSC_FCU0002_CoolingMode_OperationDuration</t>
  </si>
  <si>
    <t>entity:SSC_FCU0002_FanMode_OperationDuration</t>
  </si>
  <si>
    <t>entity:SSC_FCU0002_TotalOperationDuration</t>
  </si>
  <si>
    <t>entity:SSC_FCU0002_Starttime</t>
  </si>
  <si>
    <t>entity:SSC_FCU0002_Stoptime</t>
  </si>
  <si>
    <t>SSC FCU0002</t>
  </si>
  <si>
    <t>SSC_FCU0002</t>
  </si>
  <si>
    <t>entity:SSC_FCU0002_Occupancy_Status</t>
  </si>
  <si>
    <t>entity:SSC_FCU0002_Temp_Cntrl_SCADA_or_Thermostat</t>
  </si>
  <si>
    <t>entity:SSC_FCU0002_CHW-Coil_Valve</t>
  </si>
  <si>
    <t>entity:SSC_FCU0002_Cooling-Load-Consumption</t>
  </si>
  <si>
    <t>entity:SSC_FCU0002_Cooling-Load-Demand</t>
  </si>
  <si>
    <t>entity:SSC_FCU0002_ElectricalConsumption</t>
  </si>
  <si>
    <t>entity:SSC_FCU0002_ElectricalDemand</t>
  </si>
  <si>
    <t>SSC_FCU0002.OccSts</t>
  </si>
  <si>
    <t>SSC_FCU0002.OccCoolSP</t>
  </si>
  <si>
    <t>SSC_FCU0002.RmTemp</t>
  </si>
  <si>
    <t>SSC_FCU0002.CalcEntryScheduledHrs</t>
  </si>
  <si>
    <t>entity:SSC_FCU0002_SF_Motor</t>
  </si>
  <si>
    <t>entity:SSC_FCU0002_Start_Command</t>
  </si>
  <si>
    <t>entity:SSC_FCU0002_Stop_Command</t>
  </si>
  <si>
    <t>SSC_FCU0002.StopCmd</t>
  </si>
  <si>
    <t>SSC_FCU0002.TempCtrl</t>
  </si>
  <si>
    <t>SSC_FCU0002.StartCmd</t>
  </si>
  <si>
    <t>SSC_FCU0002.EffectiveSP</t>
  </si>
  <si>
    <t>SSC_FCU0002.CalcEntryUnscheduledHrs</t>
  </si>
  <si>
    <t>entity:SSC_FCU0003</t>
  </si>
  <si>
    <t>entity:SSC_FCU0003_CHW-Coil</t>
  </si>
  <si>
    <t>entity:SSC_FCU0003_Cooling-Thermal-Virtual-Meter</t>
  </si>
  <si>
    <t>entity:SSC_FCU0003_ElectricalVirtualMeter</t>
  </si>
  <si>
    <t>entity:SSC_FCU0003_SF</t>
  </si>
  <si>
    <t>entity:SSC_FCU0003_Schedule_Hrs</t>
  </si>
  <si>
    <t>entity:SSC_FCU0003_UnScheduled_Hrs</t>
  </si>
  <si>
    <t>entity:SSC_FCU0003_Temp_Setpoint</t>
  </si>
  <si>
    <t>entity:SSC_FCU0003_Occupied_Temp_Setpoint</t>
  </si>
  <si>
    <t>entity:SSC_FCU0003_Room_Temperature</t>
  </si>
  <si>
    <t>entity:SSC_FCU0003_CoolingMode_OperationDuration</t>
  </si>
  <si>
    <t>entity:SSC_FCU0003_FanMode_OperationDuration</t>
  </si>
  <si>
    <t>entity:SSC_FCU0003_TotalOperationDuration</t>
  </si>
  <si>
    <t>entity:SSC_FCU0003_Starttime</t>
  </si>
  <si>
    <t>entity:SSC_FCU0003_Stoptime</t>
  </si>
  <si>
    <t>SSC FCU0003</t>
  </si>
  <si>
    <t>SSC_FCU0003</t>
  </si>
  <si>
    <t>entity:SSC_FCU0003_Occupancy_Status</t>
  </si>
  <si>
    <t>entity:SSC_FCU0003_Temp_Cntrl_SCADA_or_Thermostat</t>
  </si>
  <si>
    <t>entity:SSC_FCU0003_CHW-Coil_Valve</t>
  </si>
  <si>
    <t>entity:SSC_FCU0003_Cooling-Load-Consumption</t>
  </si>
  <si>
    <t>entity:SSC_FCU0003_Cooling-Load-Demand</t>
  </si>
  <si>
    <t>entity:SSC_FCU0003_ElectricalConsumption</t>
  </si>
  <si>
    <t>entity:SSC_FCU0003_ElectricalDemand</t>
  </si>
  <si>
    <t>SSC_FCU0003.OccSts</t>
  </si>
  <si>
    <t>SSC_FCU0003.OccCoolSP</t>
  </si>
  <si>
    <t>SSC_FCU0003.RmTemp</t>
  </si>
  <si>
    <t>SSC_FCU0003.CalcEntryScheduledHrs</t>
  </si>
  <si>
    <t>entity:SSC_FCU0003_SF_Motor</t>
  </si>
  <si>
    <t>entity:SSC_FCU0003_Start_Command</t>
  </si>
  <si>
    <t>entity:SSC_FCU0003_Stop_Command</t>
  </si>
  <si>
    <t>SSC_FCU0003.StopCmd</t>
  </si>
  <si>
    <t>SSC_FCU0003.TempCtrl</t>
  </si>
  <si>
    <t>SSC_FCU0003.StartCmd</t>
  </si>
  <si>
    <t>SSC_FCU0003.EffectiveSP</t>
  </si>
  <si>
    <t>SSC_FCU0003.CalcEntryUnscheduledHrs</t>
  </si>
  <si>
    <t>entity:SSC_FCU0004</t>
  </si>
  <si>
    <t>entity:SSC_FCU0004_CHW-Coil</t>
  </si>
  <si>
    <t>entity:SSC_FCU0004_Cooling-Thermal-Virtual-Meter</t>
  </si>
  <si>
    <t>entity:SSC_FCU0004_ElectricalVirtualMeter</t>
  </si>
  <si>
    <t>entity:SSC_FCU0004_SF</t>
  </si>
  <si>
    <t>entity:SSC_FCU0004_Schedule_Hrs</t>
  </si>
  <si>
    <t>entity:SSC_FCU0004_UnScheduled_Hrs</t>
  </si>
  <si>
    <t>entity:SSC_FCU0004_Temp_Setpoint</t>
  </si>
  <si>
    <t>entity:SSC_FCU0004_Occupied_Temp_Setpoint</t>
  </si>
  <si>
    <t>entity:SSC_FCU0004_Room_Temperature</t>
  </si>
  <si>
    <t>entity:SSC_FCU0004_CoolingMode_OperationDuration</t>
  </si>
  <si>
    <t>entity:SSC_FCU0004_FanMode_OperationDuration</t>
  </si>
  <si>
    <t>entity:SSC_FCU0004_TotalOperationDuration</t>
  </si>
  <si>
    <t>entity:SSC_FCU0004_Starttime</t>
  </si>
  <si>
    <t>entity:SSC_FCU0004_Stoptime</t>
  </si>
  <si>
    <t>SSC FCU0004</t>
  </si>
  <si>
    <t>SSC_FCU0004</t>
  </si>
  <si>
    <t>entity:SSC_FCU0004_Occupancy_Status</t>
  </si>
  <si>
    <t>entity:SSC_FCU0004_Temp_Cntrl_SCADA_or_Thermostat</t>
  </si>
  <si>
    <t>entity:SSC_FCU0004_CHW-Coil_Valve</t>
  </si>
  <si>
    <t>entity:SSC_FCU0004_Cooling-Load-Consumption</t>
  </si>
  <si>
    <t>entity:SSC_FCU0004_Cooling-Load-Demand</t>
  </si>
  <si>
    <t>entity:SSC_FCU0004_ElectricalConsumption</t>
  </si>
  <si>
    <t>entity:SSC_FCU0004_ElectricalDemand</t>
  </si>
  <si>
    <t>SSC_FCU0004.OccSts</t>
  </si>
  <si>
    <t>SSC_FCU0004.OccCoolSP</t>
  </si>
  <si>
    <t>SSC_FCU0004.RmTemp</t>
  </si>
  <si>
    <t>SSC_FCU0004.CalcEntryScheduledHrs</t>
  </si>
  <si>
    <t>entity:SSC_FCU0004_SF_Motor</t>
  </si>
  <si>
    <t>entity:SSC_FCU0004_Start_Command</t>
  </si>
  <si>
    <t>entity:SSC_FCU0004_Stop_Command</t>
  </si>
  <si>
    <t>SSC_FCU0004.StopCmd</t>
  </si>
  <si>
    <t>SSC_FCU0004.TempCtrl</t>
  </si>
  <si>
    <t>SSC_FCU0004.StartCmd</t>
  </si>
  <si>
    <t>SSC_FCU0004.EffectiveSP</t>
  </si>
  <si>
    <t>SSC_FCU0004.CalcEntryUnscheduledHrs</t>
  </si>
  <si>
    <t>entity:SSC_FCU0005</t>
  </si>
  <si>
    <t>entity:SSC_FCU0005_CHW-Coil</t>
  </si>
  <si>
    <t>entity:SSC_FCU0005_Cooling-Thermal-Virtual-Meter</t>
  </si>
  <si>
    <t>entity:SSC_FCU0005_ElectricalVirtualMeter</t>
  </si>
  <si>
    <t>entity:SSC_FCU0005_SF</t>
  </si>
  <si>
    <t>entity:SSC_FCU0005_Schedule_Hrs</t>
  </si>
  <si>
    <t>entity:SSC_FCU0005_UnScheduled_Hrs</t>
  </si>
  <si>
    <t>entity:SSC_FCU0005_Temp_Setpoint</t>
  </si>
  <si>
    <t>entity:SSC_FCU0005_Occupied_Temp_Setpoint</t>
  </si>
  <si>
    <t>entity:SSC_FCU0005_Room_Temperature</t>
  </si>
  <si>
    <t>entity:SSC_FCU0005_CoolingMode_OperationDuration</t>
  </si>
  <si>
    <t>entity:SSC_FCU0005_FanMode_OperationDuration</t>
  </si>
  <si>
    <t>entity:SSC_FCU0005_TotalOperationDuration</t>
  </si>
  <si>
    <t>entity:SSC_FCU0005_Starttime</t>
  </si>
  <si>
    <t>entity:SSC_FCU0005_Stoptime</t>
  </si>
  <si>
    <t>SSC FCU0005</t>
  </si>
  <si>
    <t>SSC_FCU0005</t>
  </si>
  <si>
    <t>entity:SSC_FCU0005_Occupancy_Status</t>
  </si>
  <si>
    <t>entity:SSC_FCU0005_Temp_Cntrl_SCADA_or_Thermostat</t>
  </si>
  <si>
    <t>entity:SSC_FCU0005_CHW-Coil_Valve</t>
  </si>
  <si>
    <t>entity:SSC_FCU0005_Cooling-Load-Consumption</t>
  </si>
  <si>
    <t>entity:SSC_FCU0005_Cooling-Load-Demand</t>
  </si>
  <si>
    <t>entity:SSC_FCU0005_ElectricalConsumption</t>
  </si>
  <si>
    <t>entity:SSC_FCU0005_ElectricalDemand</t>
  </si>
  <si>
    <t>SSC_FCU0005.OccSts</t>
  </si>
  <si>
    <t>SSC_FCU0005.OccCoolSP</t>
  </si>
  <si>
    <t>SSC_FCU0005.RmTemp</t>
  </si>
  <si>
    <t>SSC_FCU0005.CalcEntryScheduledHrs</t>
  </si>
  <si>
    <t>entity:SSC_FCU0005_SF_Motor</t>
  </si>
  <si>
    <t>entity:SSC_FCU0005_Start_Command</t>
  </si>
  <si>
    <t>entity:SSC_FCU0005_Stop_Command</t>
  </si>
  <si>
    <t>SSC_FCU0005.StopCmd</t>
  </si>
  <si>
    <t>SSC_FCU0005.TempCtrl</t>
  </si>
  <si>
    <t>SSC_FCU0005.StartCmd</t>
  </si>
  <si>
    <t>SSC_FCU0005.EffectiveSP</t>
  </si>
  <si>
    <t>SSC_FCU0005.CalcEntryUnscheduledHrs</t>
  </si>
  <si>
    <t>entity:SSC_FCU0006</t>
  </si>
  <si>
    <t>entity:SSC_FCU0006_CHW-Coil</t>
  </si>
  <si>
    <t>entity:SSC_FCU0006_Cooling-Thermal-Virtual-Meter</t>
  </si>
  <si>
    <t>entity:SSC_FCU0006_ElectricalVirtualMeter</t>
  </si>
  <si>
    <t>entity:SSC_FCU0006_SF</t>
  </si>
  <si>
    <t>entity:SSC_FCU0006_Schedule_Hrs</t>
  </si>
  <si>
    <t>entity:SSC_FCU0006_UnScheduled_Hrs</t>
  </si>
  <si>
    <t>entity:SSC_FCU0006_Temp_Setpoint</t>
  </si>
  <si>
    <t>entity:SSC_FCU0006_Occupied_Temp_Setpoint</t>
  </si>
  <si>
    <t>entity:SSC_FCU0006_Room_Temperature</t>
  </si>
  <si>
    <t>entity:SSC_FCU0006_CoolingMode_OperationDuration</t>
  </si>
  <si>
    <t>entity:SSC_FCU0006_FanMode_OperationDuration</t>
  </si>
  <si>
    <t>entity:SSC_FCU0006_TotalOperationDuration</t>
  </si>
  <si>
    <t>entity:SSC_FCU0006_Starttime</t>
  </si>
  <si>
    <t>entity:SSC_FCU0006_Stoptime</t>
  </si>
  <si>
    <t>SSC FCU0006</t>
  </si>
  <si>
    <t>SSC_FCU0006</t>
  </si>
  <si>
    <t>entity:SSC_FCU0006_Occupancy_Status</t>
  </si>
  <si>
    <t>entity:SSC_FCU0006_Temp_Cntrl_SCADA_or_Thermostat</t>
  </si>
  <si>
    <t>entity:SSC_FCU0006_CHW-Coil_Valve</t>
  </si>
  <si>
    <t>entity:SSC_FCU0006_Cooling-Load-Consumption</t>
  </si>
  <si>
    <t>entity:SSC_FCU0006_Cooling-Load-Demand</t>
  </si>
  <si>
    <t>entity:SSC_FCU0006_ElectricalConsumption</t>
  </si>
  <si>
    <t>entity:SSC_FCU0006_ElectricalDemand</t>
  </si>
  <si>
    <t>SSC_FCU0006.OccSts</t>
  </si>
  <si>
    <t>SSC_FCU0006.OccCoolSP</t>
  </si>
  <si>
    <t>SSC_FCU0006.RmTemp</t>
  </si>
  <si>
    <t>SSC_FCU0006.CalcEntryScheduledHrs</t>
  </si>
  <si>
    <t>entity:SSC_FCU0006_SF_Motor</t>
  </si>
  <si>
    <t>entity:SSC_FCU0006_Start_Command</t>
  </si>
  <si>
    <t>entity:SSC_FCU0006_Stop_Command</t>
  </si>
  <si>
    <t>SSC_FCU0006.StopCmd</t>
  </si>
  <si>
    <t>SSC_FCU0006.TempCtrl</t>
  </si>
  <si>
    <t>SSC_FCU0006.StartCmd</t>
  </si>
  <si>
    <t>SSC_FCU0006.EffectiveSP</t>
  </si>
  <si>
    <t>SSC_FCU0006.CalcEntryUnscheduledHrs</t>
  </si>
  <si>
    <t>entity:SSC_FCU0007</t>
  </si>
  <si>
    <t>entity:SSC_FCU0007_CHW-Coil</t>
  </si>
  <si>
    <t>entity:SSC_FCU0007_Cooling-Thermal-Virtual-Meter</t>
  </si>
  <si>
    <t>entity:SSC_FCU0007_ElectricalVirtualMeter</t>
  </si>
  <si>
    <t>entity:SSC_FCU0007_SF</t>
  </si>
  <si>
    <t>entity:SSC_FCU0007_Schedule_Hrs</t>
  </si>
  <si>
    <t>entity:SSC_FCU0007_UnScheduled_Hrs</t>
  </si>
  <si>
    <t>entity:SSC_FCU0007_Temp_Setpoint</t>
  </si>
  <si>
    <t>entity:SSC_FCU0007_Occupied_Temp_Setpoint</t>
  </si>
  <si>
    <t>entity:SSC_FCU0007_Room_Temperature</t>
  </si>
  <si>
    <t>entity:SSC_FCU0007_CoolingMode_OperationDuration</t>
  </si>
  <si>
    <t>entity:SSC_FCU0007_FanMode_OperationDuration</t>
  </si>
  <si>
    <t>entity:SSC_FCU0007_TotalOperationDuration</t>
  </si>
  <si>
    <t>entity:SSC_FCU0007_Starttime</t>
  </si>
  <si>
    <t>entity:SSC_FCU0007_Stoptime</t>
  </si>
  <si>
    <t>SSC FCU0007</t>
  </si>
  <si>
    <t>SSC_FCU0007</t>
  </si>
  <si>
    <t>entity:SSC_FCU0007_Occupancy_Status</t>
  </si>
  <si>
    <t>entity:SSC_FCU0007_Temp_Cntrl_SCADA_or_Thermostat</t>
  </si>
  <si>
    <t>entity:SSC_FCU0007_CHW-Coil_Valve</t>
  </si>
  <si>
    <t>entity:SSC_FCU0007_Cooling-Load-Consumption</t>
  </si>
  <si>
    <t>entity:SSC_FCU0007_Cooling-Load-Demand</t>
  </si>
  <si>
    <t>entity:SSC_FCU0007_ElectricalConsumption</t>
  </si>
  <si>
    <t>entity:SSC_FCU0007_ElectricalDemand</t>
  </si>
  <si>
    <t>SSC_FCU0007.OccSts</t>
  </si>
  <si>
    <t>SSC_FCU0007.OccCoolSP</t>
  </si>
  <si>
    <t>SSC_FCU0007.RmTemp</t>
  </si>
  <si>
    <t>SSC_FCU0007.CalcEntryScheduledHrs</t>
  </si>
  <si>
    <t>entity:SSC_FCU0007_SF_Motor</t>
  </si>
  <si>
    <t>entity:SSC_FCU0007_Start_Command</t>
  </si>
  <si>
    <t>entity:SSC_FCU0007_Stop_Command</t>
  </si>
  <si>
    <t>SSC_FCU0007.StopCmd</t>
  </si>
  <si>
    <t>SSC_FCU0007.TempCtrl</t>
  </si>
  <si>
    <t>SSC_FCU0007.StartCmd</t>
  </si>
  <si>
    <t>SSC_FCU0007.EffectiveSP</t>
  </si>
  <si>
    <t>SSC_FCU0007.CalcEntryUnscheduledHrs</t>
  </si>
  <si>
    <t>entity:SSC_FCU0008</t>
  </si>
  <si>
    <t>entity:SSC_FCU0008_CHW-Coil</t>
  </si>
  <si>
    <t>entity:SSC_FCU0008_Cooling-Thermal-Virtual-Meter</t>
  </si>
  <si>
    <t>entity:SSC_FCU0008_ElectricalVirtualMeter</t>
  </si>
  <si>
    <t>entity:SSC_FCU0008_SF</t>
  </si>
  <si>
    <t>entity:SSC_FCU0008_Schedule_Hrs</t>
  </si>
  <si>
    <t>entity:SSC_FCU0008_UnScheduled_Hrs</t>
  </si>
  <si>
    <t>entity:SSC_FCU0008_Temp_Setpoint</t>
  </si>
  <si>
    <t>entity:SSC_FCU0008_Occupied_Temp_Setpoint</t>
  </si>
  <si>
    <t>entity:SSC_FCU0008_Room_Temperature</t>
  </si>
  <si>
    <t>entity:SSC_FCU0008_CoolingMode_OperationDuration</t>
  </si>
  <si>
    <t>entity:SSC_FCU0008_FanMode_OperationDuration</t>
  </si>
  <si>
    <t>entity:SSC_FCU0008_TotalOperationDuration</t>
  </si>
  <si>
    <t>entity:SSC_FCU0008_Starttime</t>
  </si>
  <si>
    <t>entity:SSC_FCU0008_Stoptime</t>
  </si>
  <si>
    <t>SSC FCU0008</t>
  </si>
  <si>
    <t>SSC_FCU0008</t>
  </si>
  <si>
    <t>entity:SSC_FCU0008_Occupancy_Status</t>
  </si>
  <si>
    <t>entity:SSC_FCU0008_Temp_Cntrl_SCADA_or_Thermostat</t>
  </si>
  <si>
    <t>entity:SSC_FCU0008_CHW-Coil_Valve</t>
  </si>
  <si>
    <t>entity:SSC_FCU0008_Cooling-Load-Consumption</t>
  </si>
  <si>
    <t>entity:SSC_FCU0008_Cooling-Load-Demand</t>
  </si>
  <si>
    <t>entity:SSC_FCU0008_ElectricalConsumption</t>
  </si>
  <si>
    <t>entity:SSC_FCU0008_ElectricalDemand</t>
  </si>
  <si>
    <t>SSC_FCU0008.OccSts</t>
  </si>
  <si>
    <t>SSC_FCU0008.OccCoolSP</t>
  </si>
  <si>
    <t>SSC_FCU0008.RmTemp</t>
  </si>
  <si>
    <t>SSC_FCU0008.CalcEntryScheduledHrs</t>
  </si>
  <si>
    <t>entity:SSC_FCU0008_SF_Motor</t>
  </si>
  <si>
    <t>entity:SSC_FCU0008_Start_Command</t>
  </si>
  <si>
    <t>entity:SSC_FCU0008_Stop_Command</t>
  </si>
  <si>
    <t>SSC_FCU0008.StopCmd</t>
  </si>
  <si>
    <t>SSC_FCU0008.TempCtrl</t>
  </si>
  <si>
    <t>SSC_FCU0008.StartCmd</t>
  </si>
  <si>
    <t>SSC_FCU0008.EffectiveSP</t>
  </si>
  <si>
    <t>SSC_FCU0008.CalcEntryUnscheduledHrs</t>
  </si>
  <si>
    <t>entity:SSC_FCU0009</t>
  </si>
  <si>
    <t>entity:SSC_FCU0009_CHW-Coil</t>
  </si>
  <si>
    <t>entity:SSC_FCU0009_Cooling-Thermal-Virtual-Meter</t>
  </si>
  <si>
    <t>entity:SSC_FCU0009_ElectricalVirtualMeter</t>
  </si>
  <si>
    <t>entity:SSC_FCU0009_SF</t>
  </si>
  <si>
    <t>entity:SSC_FCU0009_Schedule_Hrs</t>
  </si>
  <si>
    <t>entity:SSC_FCU0009_UnScheduled_Hrs</t>
  </si>
  <si>
    <t>entity:SSC_FCU0009_Temp_Setpoint</t>
  </si>
  <si>
    <t>entity:SSC_FCU0009_Occupied_Temp_Setpoint</t>
  </si>
  <si>
    <t>entity:SSC_FCU0009_Room_Temperature</t>
  </si>
  <si>
    <t>entity:SSC_FCU0009_CoolingMode_OperationDuration</t>
  </si>
  <si>
    <t>entity:SSC_FCU0009_FanMode_OperationDuration</t>
  </si>
  <si>
    <t>entity:SSC_FCU0009_TotalOperationDuration</t>
  </si>
  <si>
    <t>entity:SSC_FCU0009_Starttime</t>
  </si>
  <si>
    <t>entity:SSC_FCU0009_Stoptime</t>
  </si>
  <si>
    <t>SSC FCU0009</t>
  </si>
  <si>
    <t>SSC_FCU0009</t>
  </si>
  <si>
    <t>entity:SSC_FCU0009_Occupancy_Status</t>
  </si>
  <si>
    <t>entity:SSC_FCU0009_Temp_Cntrl_SCADA_or_Thermostat</t>
  </si>
  <si>
    <t>entity:SSC_FCU0009_CHW-Coil_Valve</t>
  </si>
  <si>
    <t>entity:SSC_FCU0009_Cooling-Load-Consumption</t>
  </si>
  <si>
    <t>entity:SSC_FCU0009_Cooling-Load-Demand</t>
  </si>
  <si>
    <t>entity:SSC_FCU0009_ElectricalConsumption</t>
  </si>
  <si>
    <t>entity:SSC_FCU0009_ElectricalDemand</t>
  </si>
  <si>
    <t>SSC_FCU0009.OccSts</t>
  </si>
  <si>
    <t>SSC_FCU0009.OccCoolSP</t>
  </si>
  <si>
    <t>SSC_FCU0009.RmTemp</t>
  </si>
  <si>
    <t>SSC_FCU0009.CalcEntryScheduledHrs</t>
  </si>
  <si>
    <t>entity:SSC_FCU0009_SF_Motor</t>
  </si>
  <si>
    <t>entity:SSC_FCU0009_Start_Command</t>
  </si>
  <si>
    <t>entity:SSC_FCU0009_Stop_Command</t>
  </si>
  <si>
    <t>SSC_FCU0009.StopCmd</t>
  </si>
  <si>
    <t>SSC_FCU0009.TempCtrl</t>
  </si>
  <si>
    <t>SSC_FCU0009.StartCmd</t>
  </si>
  <si>
    <t>SSC_FCU0009.EffectiveSP</t>
  </si>
  <si>
    <t>SSC_FCU0009.CalcEntryUnscheduledHrs</t>
  </si>
  <si>
    <t>entity:SSC_FCU0010</t>
  </si>
  <si>
    <t>entity:SSC_FCU0010_CHW-Coil</t>
  </si>
  <si>
    <t>entity:SSC_FCU0010_Cooling-Thermal-Virtual-Meter</t>
  </si>
  <si>
    <t>entity:SSC_FCU0010_ElectricalVirtualMeter</t>
  </si>
  <si>
    <t>entity:SSC_FCU0010_SF</t>
  </si>
  <si>
    <t>entity:SSC_FCU0010_Schedule_Hrs</t>
  </si>
  <si>
    <t>entity:SSC_FCU0010_UnScheduled_Hrs</t>
  </si>
  <si>
    <t>entity:SSC_FCU0010_Temp_Setpoint</t>
  </si>
  <si>
    <t>entity:SSC_FCU0010_Occupied_Temp_Setpoint</t>
  </si>
  <si>
    <t>entity:SSC_FCU0010_Room_Temperature</t>
  </si>
  <si>
    <t>entity:SSC_FCU0010_CoolingMode_OperationDuration</t>
  </si>
  <si>
    <t>entity:SSC_FCU0010_FanMode_OperationDuration</t>
  </si>
  <si>
    <t>entity:SSC_FCU0010_TotalOperationDuration</t>
  </si>
  <si>
    <t>entity:SSC_FCU0010_Starttime</t>
  </si>
  <si>
    <t>entity:SSC_FCU0010_Stoptime</t>
  </si>
  <si>
    <t>SSC FCU0010</t>
  </si>
  <si>
    <t>SSC_FCU0010</t>
  </si>
  <si>
    <t>entity:SSC_FCU0010_Occupancy_Status</t>
  </si>
  <si>
    <t>entity:SSC_FCU0010_Temp_Cntrl_SCADA_or_Thermostat</t>
  </si>
  <si>
    <t>entity:SSC_FCU0010_CHW-Coil_Valve</t>
  </si>
  <si>
    <t>entity:SSC_FCU0010_Cooling-Load-Consumption</t>
  </si>
  <si>
    <t>entity:SSC_FCU0010_Cooling-Load-Demand</t>
  </si>
  <si>
    <t>entity:SSC_FCU0010_ElectricalConsumption</t>
  </si>
  <si>
    <t>entity:SSC_FCU0010_ElectricalDemand</t>
  </si>
  <si>
    <t>SSC_FCU0010.OccSts</t>
  </si>
  <si>
    <t>SSC_FCU0010.OccCoolSP</t>
  </si>
  <si>
    <t>SSC_FCU0010.RmTemp</t>
  </si>
  <si>
    <t>SSC_FCU0010.CalcEntryScheduledHrs</t>
  </si>
  <si>
    <t>entity:SSC_FCU0010_SF_Motor</t>
  </si>
  <si>
    <t>entity:SSC_FCU0010_Start_Command</t>
  </si>
  <si>
    <t>entity:SSC_FCU0010_Stop_Command</t>
  </si>
  <si>
    <t>SSC_FCU0010.StopCmd</t>
  </si>
  <si>
    <t>SSC_FCU0010.TempCtrl</t>
  </si>
  <si>
    <t>SSC_FCU0010.StartCmd</t>
  </si>
  <si>
    <t>SSC_FCU0010.EffectiveSP</t>
  </si>
  <si>
    <t>SSC_FCU0010.CalcEntryUnscheduledHrs</t>
  </si>
  <si>
    <t>entity:SSC_FCU0011</t>
  </si>
  <si>
    <t>entity:SSC_FCU0011_CHW-Coil</t>
  </si>
  <si>
    <t>entity:SSC_FCU0011_Cooling-Thermal-Virtual-Meter</t>
  </si>
  <si>
    <t>entity:SSC_FCU0011_ElectricalVirtualMeter</t>
  </si>
  <si>
    <t>entity:SSC_FCU0011_SF</t>
  </si>
  <si>
    <t>entity:SSC_FCU0011_Schedule_Hrs</t>
  </si>
  <si>
    <t>entity:SSC_FCU0011_UnScheduled_Hrs</t>
  </si>
  <si>
    <t>entity:SSC_FCU0011_Temp_Setpoint</t>
  </si>
  <si>
    <t>entity:SSC_FCU0011_Occupied_Temp_Setpoint</t>
  </si>
  <si>
    <t>entity:SSC_FCU0011_Room_Temperature</t>
  </si>
  <si>
    <t>entity:SSC_FCU0011_CoolingMode_OperationDuration</t>
  </si>
  <si>
    <t>entity:SSC_FCU0011_FanMode_OperationDuration</t>
  </si>
  <si>
    <t>entity:SSC_FCU0011_TotalOperationDuration</t>
  </si>
  <si>
    <t>entity:SSC_FCU0011_Starttime</t>
  </si>
  <si>
    <t>entity:SSC_FCU0011_Stoptime</t>
  </si>
  <si>
    <t>SSC FCU0011</t>
  </si>
  <si>
    <t>SSC_FCU0011</t>
  </si>
  <si>
    <t>entity:SSC_FCU0011_Occupancy_Status</t>
  </si>
  <si>
    <t>entity:SSC_FCU0011_Temp_Cntrl_SCADA_or_Thermostat</t>
  </si>
  <si>
    <t>entity:SSC_FCU0011_CHW-Coil_Valve</t>
  </si>
  <si>
    <t>entity:SSC_FCU0011_Cooling-Load-Consumption</t>
  </si>
  <si>
    <t>entity:SSC_FCU0011_Cooling-Load-Demand</t>
  </si>
  <si>
    <t>entity:SSC_FCU0011_ElectricalConsumption</t>
  </si>
  <si>
    <t>entity:SSC_FCU0011_ElectricalDemand</t>
  </si>
  <si>
    <t>SSC_FCU0011.OccSts</t>
  </si>
  <si>
    <t>SSC_FCU0011.OccCoolSP</t>
  </si>
  <si>
    <t>SSC_FCU0011.RmTemp</t>
  </si>
  <si>
    <t>SSC_FCU0011.CalcEntryScheduledHrs</t>
  </si>
  <si>
    <t>entity:SSC_FCU0011_SF_Motor</t>
  </si>
  <si>
    <t>entity:SSC_FCU0011_Start_Command</t>
  </si>
  <si>
    <t>entity:SSC_FCU0011_Stop_Command</t>
  </si>
  <si>
    <t>SSC_FCU0011.StopCmd</t>
  </si>
  <si>
    <t>SSC_FCU0011.TempCtrl</t>
  </si>
  <si>
    <t>SSC_FCU0011.StartCmd</t>
  </si>
  <si>
    <t>SSC_FCU0011.EffectiveSP</t>
  </si>
  <si>
    <t>SSC_FCU0011.CalcEntryUnscheduledHrs</t>
  </si>
  <si>
    <t>entity:SSC_GEFB0001</t>
  </si>
  <si>
    <t>brick:Exhaust_Fan</t>
  </si>
  <si>
    <t>entity:SSC_GEFB0001_Motor</t>
  </si>
  <si>
    <t>Garauge Exhaust Fan Motor</t>
  </si>
  <si>
    <t>entity:SSC_GEFB0001_Starttime</t>
  </si>
  <si>
    <t>entity:SSC_GEFB0001_Stoptime</t>
  </si>
  <si>
    <t>SSC GEFB0001</t>
  </si>
  <si>
    <t>&lt;AliasOf&gt;</t>
  </si>
  <si>
    <t>brick:ratedPowerInput</t>
  </si>
  <si>
    <t>entity:Level7_Office0367</t>
  </si>
  <si>
    <t>AVT8X</t>
  </si>
  <si>
    <t>rec:manufacturedBy</t>
  </si>
  <si>
    <t>NuAire</t>
  </si>
  <si>
    <t>SSC_GEFB0001</t>
  </si>
  <si>
    <t>entity:SSC_GEFB0001_Motor_Auto_Command</t>
  </si>
  <si>
    <t>entity:SSC_GEFB0001_Motor_Auto_Command_Status</t>
  </si>
  <si>
    <t>entity:SSC_GEFB0001_Motor_Auto_Manual_Status</t>
  </si>
  <si>
    <t>entity:SSC_GEFB0001_Motor_Exhaust_Fan_in_Auto_Mode</t>
  </si>
  <si>
    <t>Exhaust Fan in Auto Mode</t>
  </si>
  <si>
    <t>entity:SSC_GEFB0001_Motor_Exhaust_Fan_Healthy</t>
  </si>
  <si>
    <t>brick:Status</t>
  </si>
  <si>
    <t>Exhaust Fan Healthy (For Internal Use Only)</t>
  </si>
  <si>
    <t>entity:SSC_GEFB0001_Motor_Manual_Command</t>
  </si>
  <si>
    <t>brick:Fan_Command</t>
  </si>
  <si>
    <t>Manual Command</t>
  </si>
  <si>
    <t>entity:SSC_GEFB0001_Motor_Running_Status</t>
  </si>
  <si>
    <t>entity:SSC_GEFB0001_Motor_Start_Command</t>
  </si>
  <si>
    <t>brick:Start_Stop_Command</t>
  </si>
  <si>
    <t>entity:SSC_GEFB0001_Motor_Stop_Command</t>
  </si>
  <si>
    <t>entity:SSC_GEFB0001_Motor_Trip_Alarm</t>
  </si>
  <si>
    <t>Trip Alarm</t>
  </si>
  <si>
    <t>SSC_GEFB0001.AutoCmd</t>
  </si>
  <si>
    <t>SSC_GEFB0001.AutoManCmdSts</t>
  </si>
  <si>
    <t>SSC_GEFB0001.AutoManSts</t>
  </si>
  <si>
    <t>SSC_GEFB0001.iEFSts</t>
  </si>
  <si>
    <t>SSC_GEFB0001.EFAutoMode</t>
  </si>
  <si>
    <t>SSC_GEFB0001.ManCmd</t>
  </si>
  <si>
    <t>SSC_GEFB0001.RunSts</t>
  </si>
  <si>
    <t>SSC_GEFB0001.StartCmd</t>
  </si>
  <si>
    <t>SSC_GEFB0001.StopCmd</t>
  </si>
  <si>
    <t>SSC_GEFB0001.TripAlm</t>
  </si>
  <si>
    <t>entity:SSC_KEF0103</t>
  </si>
  <si>
    <t>entity:SSC_KEF0103_Motor</t>
  </si>
  <si>
    <t>entity:SSC_KEF0103_Starttime</t>
  </si>
  <si>
    <t>entity:SSC_KEF0103_Stoptime</t>
  </si>
  <si>
    <t>SSC KEF0103</t>
  </si>
  <si>
    <t>SSC_KEF0103</t>
  </si>
  <si>
    <t>entity:SSC_KEF0103_Motor_Auto_Command</t>
  </si>
  <si>
    <t>entity:SSC_KEF0103_Motor_Auto_Manual_Status</t>
  </si>
  <si>
    <t>entity:SSC_KEF0103_Motor_LOC_On_Off_Status</t>
  </si>
  <si>
    <t>brick:Fan_On_Off_Status</t>
  </si>
  <si>
    <t>Local On Off Status</t>
  </si>
  <si>
    <t>entity:SSC_KEF0103_Motor_Manual_Command</t>
  </si>
  <si>
    <t>entity:SSC_KEF0103_Motor_Running_Status</t>
  </si>
  <si>
    <t>entity:SSC_KEF0103_Motor_Start_Command</t>
  </si>
  <si>
    <t>entity:SSC_KEF0103_Motor_Stop_Command</t>
  </si>
  <si>
    <t>entity:SSC_KEF0103_Motor_Trip_Alarm</t>
  </si>
  <si>
    <t>SSC_KEF0103.AutoCmd</t>
  </si>
  <si>
    <t>SSC_KEF0103.AutoManSts</t>
  </si>
  <si>
    <t>SSC_KEF0103.LocSts</t>
  </si>
  <si>
    <t>SSC_KEF0103.ManCmd</t>
  </si>
  <si>
    <t>SSC_KEF0103.RunSts</t>
  </si>
  <si>
    <t>SSC_KEF0103.StartCmd</t>
  </si>
  <si>
    <t>SSC_KEF0103.StopCmd</t>
  </si>
  <si>
    <t>SSC_KEF0103.TripAlm</t>
  </si>
  <si>
    <t>entity:SSC_KEF0303</t>
  </si>
  <si>
    <t>entity:SSC_KEF0303_Motor</t>
  </si>
  <si>
    <t>entity:SSC_KEF0303_Starttime</t>
  </si>
  <si>
    <t>entity:SSC_KEF0303_Stoptime</t>
  </si>
  <si>
    <t>SSC KEF0303</t>
  </si>
  <si>
    <t>SSC_KEF0303</t>
  </si>
  <si>
    <t>entity:SSC_KEF0303_Motor_Auto_Command</t>
  </si>
  <si>
    <t>entity:SSC_KEF0303_Motor_Auto_Manual_Status</t>
  </si>
  <si>
    <t>entity:SSC_KEF0303_Motor_LOC_On_Off_Status</t>
  </si>
  <si>
    <t>entity:SSC_KEF0303_Motor_Manual_Command</t>
  </si>
  <si>
    <t>entity:SSC_KEF0303_Motor_Running_Status</t>
  </si>
  <si>
    <t>entity:SSC_KEF0303_Motor_Start_Command</t>
  </si>
  <si>
    <t>entity:SSC_KEF0303_Motor_Stop_Command</t>
  </si>
  <si>
    <t>entity:SSC_KEF0303_Motor_Trip_Alarm</t>
  </si>
  <si>
    <t>SSC_KEF0303.AutoCmd</t>
  </si>
  <si>
    <t>SSC_KEF0303.AutoManSts</t>
  </si>
  <si>
    <t>SSC_KEF0303.LocSts</t>
  </si>
  <si>
    <t>SSC_KEF0303.ManCmd</t>
  </si>
  <si>
    <t>SSC_KEF0303.RunSts</t>
  </si>
  <si>
    <t>SSC_KEF0303.StartCmd</t>
  </si>
  <si>
    <t>SSC_KEF0303.StopCmd</t>
  </si>
  <si>
    <t>SSC_KEF0303.TripAlm</t>
  </si>
  <si>
    <t>Level 01</t>
  </si>
  <si>
    <t>Level 02</t>
  </si>
  <si>
    <t>Level 03</t>
  </si>
  <si>
    <t>Basement 01</t>
  </si>
  <si>
    <t>entity:SSC_MV_Generator</t>
  </si>
  <si>
    <t>para:Generator</t>
  </si>
  <si>
    <t>entity:SSC_MV_Generator_Battery_Voltage</t>
  </si>
  <si>
    <t>brick:Battery_Voltage_Sensor</t>
  </si>
  <si>
    <t>Battery Voltage</t>
  </si>
  <si>
    <t>entity:SSC_MV_Generator_Current_Reading</t>
  </si>
  <si>
    <t>brick:Current_Sensor</t>
  </si>
  <si>
    <t>Current Reading</t>
  </si>
  <si>
    <t>unit:A</t>
  </si>
  <si>
    <t>entity:SSC_MV_Generator_Engine_Oil_Pressure_Reading</t>
  </si>
  <si>
    <t>brick:Pressure_Sensor</t>
  </si>
  <si>
    <t>Engine Oil Pressure Reading</t>
  </si>
  <si>
    <t>entity:SSC_MV_Generator_Frequency_Reading</t>
  </si>
  <si>
    <t>brick:Frequency_Sensor</t>
  </si>
  <si>
    <t>Frequency Reading</t>
  </si>
  <si>
    <t>entity:SSC_MV_Generator_Apparent_Power</t>
  </si>
  <si>
    <t>brick:Apparent_Power_Sensor</t>
  </si>
  <si>
    <t>Apparent Power</t>
  </si>
  <si>
    <t>unit:KVA</t>
  </si>
  <si>
    <t>entity:SSC_MV_Generator_Active_Power</t>
  </si>
  <si>
    <t>brick:Active_Power_Sensor</t>
  </si>
  <si>
    <t>Active Power</t>
  </si>
  <si>
    <t>entity:SSC_MV_Generator_Energy</t>
  </si>
  <si>
    <t>brick:Energy_Sensor</t>
  </si>
  <si>
    <t>Energy</t>
  </si>
  <si>
    <t>entity:SSC_MV_Generator_Generator_Running_Status</t>
  </si>
  <si>
    <t>Generator Running Status</t>
  </si>
  <si>
    <t>entity:SSC_MV_Generator_Runtime_Meter</t>
  </si>
  <si>
    <t>Runtime Meter</t>
  </si>
  <si>
    <t>entity:SSC_MV_Generator_Voltage</t>
  </si>
  <si>
    <t>brick:Voltage_Sensor</t>
  </si>
  <si>
    <t>Voltage</t>
  </si>
  <si>
    <t>SSC_MV_Generator</t>
  </si>
  <si>
    <t>SSC_MV_Generator.kW</t>
  </si>
  <si>
    <t>SSC_MV_Generator.kVA</t>
  </si>
  <si>
    <t>SSC_MV_Generator.BattVoltage</t>
  </si>
  <si>
    <t>SSC_MV_Generator.Current</t>
  </si>
  <si>
    <t>SSC_MV_Generator.kWh</t>
  </si>
  <si>
    <t>SSC_MV_Generator.EngOilPrs</t>
  </si>
  <si>
    <t>SSC_MV_Generator.Frequency</t>
  </si>
  <si>
    <t>SSC_MV_Generator.RunSts</t>
  </si>
  <si>
    <t>SSC_MV_Generator.RuntimeMtr</t>
  </si>
  <si>
    <t>SSC_MV_Generator.Voltage</t>
  </si>
  <si>
    <t>entity:SSC_ST-10_STAIR-10</t>
  </si>
  <si>
    <t>ST-10 STAIR-10</t>
  </si>
  <si>
    <t>entity:SSC_TEF0101</t>
  </si>
  <si>
    <t>entity:SSC_TEF0101_Motor</t>
  </si>
  <si>
    <t>entity:SSC_TEF0101_Starttime</t>
  </si>
  <si>
    <t>entity:SSC_TEF0101_Stoptime</t>
  </si>
  <si>
    <t>SSC TEF0101</t>
  </si>
  <si>
    <t>SSC_TEF0101</t>
  </si>
  <si>
    <t>entity:SSC_TEF0101_Motor_Auto_Command</t>
  </si>
  <si>
    <t>entity:SSC_TEF0101_Motor_Auto_Manual_Status</t>
  </si>
  <si>
    <t>entity:SSC_TEF0101_Motor_LOC_On_Off_Status</t>
  </si>
  <si>
    <t>entity:SSC_TEF0101_Motor_PDSL_OnOff_Status</t>
  </si>
  <si>
    <t>PDSL On Off Status</t>
  </si>
  <si>
    <t>entity:SSC_TEF0101_Motor_Manual_Command</t>
  </si>
  <si>
    <t>entity:SSC_TEF0101_Motor_Running_Status</t>
  </si>
  <si>
    <t>entity:SSC_TEF0101_Motor_Start_Command</t>
  </si>
  <si>
    <t>entity:SSC_TEF0101_Motor_Stop_Command</t>
  </si>
  <si>
    <t>entity:SSC_TEF0101_Motor_Trip_Alarm</t>
  </si>
  <si>
    <t>entity:SSC_TEF0101_Motor_Rtn_Air_Prs_Sw_Alarm</t>
  </si>
  <si>
    <t>brick:Air_Flow_Alarm</t>
  </si>
  <si>
    <t>SSC_TEF0101.AutoCmd</t>
  </si>
  <si>
    <t>SSC_TEF0101.AutoManSts</t>
  </si>
  <si>
    <t>SSC_TEF0101.LocSts</t>
  </si>
  <si>
    <t>SSC_TEF0101.ManCmd</t>
  </si>
  <si>
    <t>SSC_TEF0101_PDSL.OnOffSts</t>
  </si>
  <si>
    <t>SSC_TEF0101_RtnAirPrsSW.Alm</t>
  </si>
  <si>
    <t>SSC_TEF0101.RunSts</t>
  </si>
  <si>
    <t>SSC_TEF0101.StartCmd</t>
  </si>
  <si>
    <t>SSC_TEF0101.StopCmd</t>
  </si>
  <si>
    <t>SSC_TEF0101.TripAlm</t>
  </si>
  <si>
    <t>entity:SSC_TEF0102</t>
  </si>
  <si>
    <t>entity:SSC_TEF0102_Motor</t>
  </si>
  <si>
    <t>entity:SSC_TEF0102_Starttime</t>
  </si>
  <si>
    <t>entity:SSC_TEF0102_Stoptime</t>
  </si>
  <si>
    <t>SSC TEF0102</t>
  </si>
  <si>
    <t>SSC_TEF0102</t>
  </si>
  <si>
    <t>entity:SSC_TEF0102_Motor_Auto_Command</t>
  </si>
  <si>
    <t>entity:SSC_TEF0102_Motor_Auto_Manual_Status</t>
  </si>
  <si>
    <t>entity:SSC_TEF0102_Motor_LOC_On_Off_Status</t>
  </si>
  <si>
    <t>entity:SSC_TEF0102_Motor_PDSL_OnOff_Status</t>
  </si>
  <si>
    <t>entity:SSC_TEF0102_Motor_Manual_Command</t>
  </si>
  <si>
    <t>entity:SSC_TEF0102_Motor_Running_Status</t>
  </si>
  <si>
    <t>entity:SSC_TEF0102_Motor_Start_Command</t>
  </si>
  <si>
    <t>entity:SSC_TEF0102_Motor_Stop_Command</t>
  </si>
  <si>
    <t>entity:SSC_TEF0102_Motor_Trip_Alarm</t>
  </si>
  <si>
    <t>entity:SSC_TEF0102_Motor_Rtn_Air_Prs_Sw_Alarm</t>
  </si>
  <si>
    <t>SSC_TEF0102.AutoCmd</t>
  </si>
  <si>
    <t>SSC_TEF0102.AutoManSts</t>
  </si>
  <si>
    <t>SSC_TEF0102.LocSts</t>
  </si>
  <si>
    <t>SSC_TEF0102.ManCmd</t>
  </si>
  <si>
    <t>SSC_TEF0102_PDSL.OnOffSts</t>
  </si>
  <si>
    <t>SSC_TEF0102_RtnAirPrsSW.Alm</t>
  </si>
  <si>
    <t>SSC_TEF0102.RunSts</t>
  </si>
  <si>
    <t>SSC_TEF0102.StartCmd</t>
  </si>
  <si>
    <t>SSC_TEF0102.StopCmd</t>
  </si>
  <si>
    <t>SSC_TEF0102.TripAlm</t>
  </si>
  <si>
    <t>entity:SSC_TEF0301</t>
  </si>
  <si>
    <t>entity:SSC_TEF0301_Motor</t>
  </si>
  <si>
    <t>entity:SSC_TEF0301_Starttime</t>
  </si>
  <si>
    <t>entity:SSC_TEF0301_Stoptime</t>
  </si>
  <si>
    <t>SSC TEF0301</t>
  </si>
  <si>
    <t>SSC_TEF0301</t>
  </si>
  <si>
    <t>entity:SSC_TEF0301_Motor_Auto_Command</t>
  </si>
  <si>
    <t>entity:SSC_TEF0301_Motor_Auto_Manual_Status</t>
  </si>
  <si>
    <t>entity:SSC_TEF0301_Motor_LOC_On_Off_Status</t>
  </si>
  <si>
    <t>entity:SSC_TEF0301_Motor_PDSL_OnOff_Status</t>
  </si>
  <si>
    <t>entity:SSC_TEF0301_Motor_Manual_Command</t>
  </si>
  <si>
    <t>entity:SSC_TEF0301_Motor_Running_Status</t>
  </si>
  <si>
    <t>entity:SSC_TEF0301_Motor_Start_Command</t>
  </si>
  <si>
    <t>entity:SSC_TEF0301_Motor_Stop_Command</t>
  </si>
  <si>
    <t>entity:SSC_TEF0301_Motor_Trip_Alarm</t>
  </si>
  <si>
    <t>entity:SSC_TEF0301_Motor_Rtn_Air_Prs_Sw_Alarm</t>
  </si>
  <si>
    <t>SSC_TEF0301.AutoCmd</t>
  </si>
  <si>
    <t>SSC_TEF0301.AutoManSts</t>
  </si>
  <si>
    <t>SSC_TEF0301.LocSts</t>
  </si>
  <si>
    <t>SSC_TEF0301.ManCmd</t>
  </si>
  <si>
    <t>SSC_TEF0301_PDSL.OnOffSts</t>
  </si>
  <si>
    <t>SSC_TEF0301_RtnAirPrsSW.Alm</t>
  </si>
  <si>
    <t>SSC_TEF0301.RunSts</t>
  </si>
  <si>
    <t>SSC_TEF0301.StartCmd</t>
  </si>
  <si>
    <t>SSC_TEF0301.StopCmd</t>
  </si>
  <si>
    <t>SSC_TEF0301.TripAlm</t>
  </si>
  <si>
    <t>entity:SSC_TEF0302</t>
  </si>
  <si>
    <t>entity:SSC_TEF0302_Motor</t>
  </si>
  <si>
    <t>entity:SSC_TEF0302_Starttime</t>
  </si>
  <si>
    <t>entity:SSC_TEF0302_Stoptime</t>
  </si>
  <si>
    <t>SSC TEF0302</t>
  </si>
  <si>
    <t>SSC_TEF0302</t>
  </si>
  <si>
    <t>entity:SSC_TEF0302_Motor_Auto_Command</t>
  </si>
  <si>
    <t>entity:SSC_TEF0302_Motor_Auto_Manual_Status</t>
  </si>
  <si>
    <t>entity:SSC_TEF0302_Motor_LOC_On_Off_Status</t>
  </si>
  <si>
    <t>entity:SSC_TEF0302_Motor_PDSL_OnOff_Status</t>
  </si>
  <si>
    <t>entity:SSC_TEF0302_Motor_Manual_Command</t>
  </si>
  <si>
    <t>entity:SSC_TEF0302_Motor_Running_Status</t>
  </si>
  <si>
    <t>entity:SSC_TEF0302_Motor_Start_Command</t>
  </si>
  <si>
    <t>entity:SSC_TEF0302_Motor_Stop_Command</t>
  </si>
  <si>
    <t>entity:SSC_TEF0302_Motor_Trip_Alarm</t>
  </si>
  <si>
    <t>entity:SSC_TEF0302_Motor_Rtn_Air_Prs_Sw_Alarm</t>
  </si>
  <si>
    <t>SSC_TEF0302.AutoCmd</t>
  </si>
  <si>
    <t>SSC_TEF0302.AutoManSts</t>
  </si>
  <si>
    <t>SSC_TEF0302.LocSts</t>
  </si>
  <si>
    <t>SSC_TEF0302.ManCmd</t>
  </si>
  <si>
    <t>SSC_TEF0302_PDSL.OnOffSts</t>
  </si>
  <si>
    <t>SSC_TEF0302_RtnAirPrsSW.Alm</t>
  </si>
  <si>
    <t>SSC_TEF0302.RunSts</t>
  </si>
  <si>
    <t>SSC_TEF0302.StartCmd</t>
  </si>
  <si>
    <t>SSC_TEF0302.StopCmd</t>
  </si>
  <si>
    <t>SSC_TEF0302.TripAlm</t>
  </si>
  <si>
    <t>entity:SSC_VAV0001</t>
  </si>
  <si>
    <t>brick:Variable_Air_Volume_Box</t>
  </si>
  <si>
    <t>entity:SSC_VAV0001_Damper_Controller</t>
  </si>
  <si>
    <t>brick:Controller</t>
  </si>
  <si>
    <t>Damper Controller</t>
  </si>
  <si>
    <t>entity:SSC_VAV0001_Air_Flow_Sensor</t>
  </si>
  <si>
    <t>brick:Supply_Air_Flow</t>
  </si>
  <si>
    <t>Air Flow Sensor</t>
  </si>
  <si>
    <t>entity:SSC_VAV0001_ActiveState_CALC</t>
  </si>
  <si>
    <t>Active State CALC</t>
  </si>
  <si>
    <t>entity:SSC_VAV0001_TotalOperationDuration</t>
  </si>
  <si>
    <t>entity:SSC_VAV0001_Effective_Temp_Setpoint</t>
  </si>
  <si>
    <t>entity:SSC_VAV0001_Room_Temperature</t>
  </si>
  <si>
    <t>entity:SSC_VAV0001_Temperature_Setpoint</t>
  </si>
  <si>
    <t>Temperature Setpoint</t>
  </si>
  <si>
    <t>entity:SSC_VAV0001_Occupancy_Status</t>
  </si>
  <si>
    <t>para:ratedReheatCapacity</t>
  </si>
  <si>
    <t>SSC VAV0001</t>
  </si>
  <si>
    <t>NBONEOB</t>
  </si>
  <si>
    <t>para:vavBoxType</t>
  </si>
  <si>
    <t>para:inletSize</t>
  </si>
  <si>
    <t>para:outletSize</t>
  </si>
  <si>
    <t>350x175</t>
  </si>
  <si>
    <t>para:plenumBoxSize</t>
  </si>
  <si>
    <t>Nil</t>
  </si>
  <si>
    <t>SSC_VAV0001</t>
  </si>
  <si>
    <t>ACTIVESTATE_NA_CALC</t>
  </si>
  <si>
    <t>SSC_VAV0001.AirFlow</t>
  </si>
  <si>
    <t>entity:SSC_VAV0001_Damper_Position</t>
  </si>
  <si>
    <t>Damper Position</t>
  </si>
  <si>
    <t>SSC_VAV0001.DmprPos</t>
  </si>
  <si>
    <t>SSC_VAV0001.EffectiveSP</t>
  </si>
  <si>
    <t>SSC_VAV0001.OccSts</t>
  </si>
  <si>
    <t>SSC_VAV0001.RmTemp</t>
  </si>
  <si>
    <t>SSC_VAV0001.SP</t>
  </si>
  <si>
    <t>entity:SSC_VAV0002</t>
  </si>
  <si>
    <t>entity:SSC_VAV0002_Damper_Controller</t>
  </si>
  <si>
    <t>entity:SSC_VAV0002_Air_Flow_Sensor</t>
  </si>
  <si>
    <t>entity:SSC_VAV0002_ActiveState_CALC</t>
  </si>
  <si>
    <t>entity:SSC_VAV0002_TotalOperationDuration</t>
  </si>
  <si>
    <t>entity:SSC_VAV0002_Effective_Temp_Setpoint</t>
  </si>
  <si>
    <t>entity:SSC_VAV0002_Room_Temperature</t>
  </si>
  <si>
    <t>entity:SSC_VAV0002_Temperature_Setpoint</t>
  </si>
  <si>
    <t>entity:SSC_VAV0002_Occupancy_Status</t>
  </si>
  <si>
    <t>SSC VAV0002</t>
  </si>
  <si>
    <t>SSC_VAV0002</t>
  </si>
  <si>
    <t>SSC_VAV0002.AirFlow</t>
  </si>
  <si>
    <t>entity:SSC_VAV0002_Damper_Position</t>
  </si>
  <si>
    <t>SSC_VAV0002.DmprPos</t>
  </si>
  <si>
    <t>SSC_VAV0002.EffectiveSP</t>
  </si>
  <si>
    <t>SSC_VAV0002.OccSts</t>
  </si>
  <si>
    <t>SSC_VAV0002.RmTemp</t>
  </si>
  <si>
    <t>SSC_VAV0002.SP</t>
  </si>
  <si>
    <t>entity:SSC_VAV0003</t>
  </si>
  <si>
    <t>entity:SSC_VAV0003_Damper_Controller</t>
  </si>
  <si>
    <t>entity:SSC_VAV0003_Air_Flow_Sensor</t>
  </si>
  <si>
    <t>entity:SSC_VAV0003_ActiveState_CALC</t>
  </si>
  <si>
    <t>entity:SSC_VAV0003_TotalOperationDuration</t>
  </si>
  <si>
    <t>entity:SSC_VAV0003_Effective_Temp_Setpoint</t>
  </si>
  <si>
    <t>entity:SSC_VAV0003_Room_Temperature</t>
  </si>
  <si>
    <t>entity:SSC_VAV0003_Temperature_Setpoint</t>
  </si>
  <si>
    <t>entity:SSC_VAV0003_Occupancy_Status</t>
  </si>
  <si>
    <t>SSC VAV0003</t>
  </si>
  <si>
    <t>SSC_VAV0003</t>
  </si>
  <si>
    <t>SSC_VAV0003.AirFlow</t>
  </si>
  <si>
    <t>entity:SSC_VAV0003_Damper_Position</t>
  </si>
  <si>
    <t>SSC_VAV0003.DmprPos</t>
  </si>
  <si>
    <t>SSC_VAV0003.EffectiveSP</t>
  </si>
  <si>
    <t>SSC_VAV0003.OccSts</t>
  </si>
  <si>
    <t>SSC_VAV0003.RmTemp</t>
  </si>
  <si>
    <t>SSC_VAV0003.SP</t>
  </si>
  <si>
    <t>entity:SSC_VAV0004</t>
  </si>
  <si>
    <t>entity:SSC_VAV0004_Damper_Controller</t>
  </si>
  <si>
    <t>entity:SSC_VAV0004_Air_Flow_Sensor</t>
  </si>
  <si>
    <t>entity:SSC_VAV0004_ActiveState_CALC</t>
  </si>
  <si>
    <t>entity:SSC_VAV0004_TotalOperationDuration</t>
  </si>
  <si>
    <t>entity:SSC_VAV0004_Effective_Temp_Setpoint</t>
  </si>
  <si>
    <t>entity:SSC_VAV0004_Room_Temperature</t>
  </si>
  <si>
    <t>entity:SSC_VAV0004_Temperature_Setpoint</t>
  </si>
  <si>
    <t>entity:SSC_VAV0004_Occupancy_Status</t>
  </si>
  <si>
    <t>SSC VAV0004</t>
  </si>
  <si>
    <t>SSC_VAV0004</t>
  </si>
  <si>
    <t>SSC_VAV0004.AirFlow</t>
  </si>
  <si>
    <t>entity:SSC_VAV0004_Damper_Position</t>
  </si>
  <si>
    <t>SSC_VAV0004.DmprPos</t>
  </si>
  <si>
    <t>SSC_VAV0004.EffectiveSP</t>
  </si>
  <si>
    <t>SSC_VAV0004.OccSts</t>
  </si>
  <si>
    <t>SSC_VAV0004.RmTemp</t>
  </si>
  <si>
    <t>SSC_VAV0004.SP</t>
  </si>
  <si>
    <t>entity:SSC_VAV0005</t>
  </si>
  <si>
    <t>entity:SSC_VAV0005_Damper_Controller</t>
  </si>
  <si>
    <t>entity:SSC_VAV0005_Air_Flow_Sensor</t>
  </si>
  <si>
    <t>entity:SSC_VAV0005_ActiveState_CALC</t>
  </si>
  <si>
    <t>entity:SSC_VAV0005_TotalOperationDuration</t>
  </si>
  <si>
    <t>entity:SSC_VAV0005_Effective_Temp_Setpoint</t>
  </si>
  <si>
    <t>entity:SSC_VAV0005_Room_Temperature</t>
  </si>
  <si>
    <t>entity:SSC_VAV0005_Temperature_Setpoint</t>
  </si>
  <si>
    <t>entity:SSC_VAV0005_Occupancy_Status</t>
  </si>
  <si>
    <t>SSC VAV0005</t>
  </si>
  <si>
    <t>SSC_VAV0005</t>
  </si>
  <si>
    <t>SSC_VAV0005.AirFlow</t>
  </si>
  <si>
    <t>entity:SSC_VAV0005_Damper_Position</t>
  </si>
  <si>
    <t>SSC_VAV0005.DmprPos</t>
  </si>
  <si>
    <t>SSC_VAV0005.EffectiveSP</t>
  </si>
  <si>
    <t>SSC_VAV0005.OccSts</t>
  </si>
  <si>
    <t>SSC_VAV0005.RmTemp</t>
  </si>
  <si>
    <t>SSC_VAV0005.SP</t>
  </si>
  <si>
    <t>entity:SSC_VAV0006</t>
  </si>
  <si>
    <t>entity:SSC_VAV0006_Damper_Controller</t>
  </si>
  <si>
    <t>entity:SSC_VAV0006_Air_Flow_Sensor</t>
  </si>
  <si>
    <t>entity:SSC_VAV0006_ActiveState_CALC</t>
  </si>
  <si>
    <t>entity:SSC_VAV0006_TotalOperationDuration</t>
  </si>
  <si>
    <t>entity:SSC_VAV0006_Effective_Temp_Setpoint</t>
  </si>
  <si>
    <t>entity:SSC_VAV0006_Room_Temperature</t>
  </si>
  <si>
    <t>entity:SSC_VAV0006_Temperature_Setpoint</t>
  </si>
  <si>
    <t>entity:SSC_VAV0006_Occupancy_Status</t>
  </si>
  <si>
    <t>SSC VAV0006</t>
  </si>
  <si>
    <t>SSC_VAV0006</t>
  </si>
  <si>
    <t>SSC_VAV0006.AirFlow</t>
  </si>
  <si>
    <t>entity:SSC_VAV0006_Damper_Position</t>
  </si>
  <si>
    <t>SSC_VAV0006.DmprPos</t>
  </si>
  <si>
    <t>SSC_VAV0006.EffectiveSP</t>
  </si>
  <si>
    <t>SSC_VAV0006.OccSts</t>
  </si>
  <si>
    <t>SSC_VAV0006.RmTemp</t>
  </si>
  <si>
    <t>SSC_VAV0006.SP</t>
  </si>
  <si>
    <t>entity:SSC_VAV0007</t>
  </si>
  <si>
    <t>entity:SSC_VAV0007_Damper_Controller</t>
  </si>
  <si>
    <t>entity:SSC_VAV0007_Air_Flow_Sensor</t>
  </si>
  <si>
    <t>entity:SSC_VAV0007_ActiveState_CALC</t>
  </si>
  <si>
    <t>entity:SSC_VAV0007_TotalOperationDuration</t>
  </si>
  <si>
    <t>entity:SSC_VAV0007_Effective_Temp_Setpoint</t>
  </si>
  <si>
    <t>entity:SSC_VAV0007_Room_Temperature</t>
  </si>
  <si>
    <t>entity:SSC_VAV0007_Temperature_Setpoint</t>
  </si>
  <si>
    <t>entity:SSC_VAV0007_Occupancy_Status</t>
  </si>
  <si>
    <t>SSC VAV0007</t>
  </si>
  <si>
    <t>SSC_VAV0007</t>
  </si>
  <si>
    <t>SSC_VAV0007.AirFlow</t>
  </si>
  <si>
    <t>entity:SSC_VAV0007_Damper_Position</t>
  </si>
  <si>
    <t>SSC_VAV0007.DmprPos</t>
  </si>
  <si>
    <t>SSC_VAV0007.EffectiveSP</t>
  </si>
  <si>
    <t>SSC_VAV0007.OccSts</t>
  </si>
  <si>
    <t>SSC_VAV0007.RmTemp</t>
  </si>
  <si>
    <t>SSC_VAV0007.SP</t>
  </si>
  <si>
    <t>entity:SSC_VAV0008</t>
  </si>
  <si>
    <t>entity:SSC_VAV0008_Damper_Controller</t>
  </si>
  <si>
    <t>entity:SSC_VAV0008_Air_Flow_Sensor</t>
  </si>
  <si>
    <t>entity:SSC_VAV0008_ActiveState_CALC</t>
  </si>
  <si>
    <t>entity:SSC_VAV0008_TotalOperationDuration</t>
  </si>
  <si>
    <t>entity:SSC_VAV0008_Effective_Temp_Setpoint</t>
  </si>
  <si>
    <t>entity:SSC_VAV0008_Room_Temperature</t>
  </si>
  <si>
    <t>entity:SSC_VAV0008_Temperature_Setpoint</t>
  </si>
  <si>
    <t>entity:SSC_VAV0008_Occupancy_Status</t>
  </si>
  <si>
    <t>SSC VAV0008</t>
  </si>
  <si>
    <t>SSC_VAV0008</t>
  </si>
  <si>
    <t>SSC_VAV0008.AirFlow</t>
  </si>
  <si>
    <t>entity:SSC_VAV0008_Damper_Position</t>
  </si>
  <si>
    <t>SSC_VAV0008.DmprPos</t>
  </si>
  <si>
    <t>SSC_VAV0008.EffectiveSP</t>
  </si>
  <si>
    <t>SSC_VAV0008.OccSts</t>
  </si>
  <si>
    <t>SSC_VAV0008.RmTemp</t>
  </si>
  <si>
    <t>SSC_VAV0008.SP</t>
  </si>
  <si>
    <t>entity:SSC_VAV0009</t>
  </si>
  <si>
    <t>entity:SSC_VAV0009_Damper_Controller</t>
  </si>
  <si>
    <t>entity:SSC_VAV0009_Air_Flow_Sensor</t>
  </si>
  <si>
    <t>entity:SSC_VAV0009_ActiveState_CALC</t>
  </si>
  <si>
    <t>entity:SSC_VAV0009_TotalOperationDuration</t>
  </si>
  <si>
    <t>entity:SSC_VAV0009_Effective_Temp_Setpoint</t>
  </si>
  <si>
    <t>entity:SSC_VAV0009_Room_Temperature</t>
  </si>
  <si>
    <t>entity:SSC_VAV0009_Temperature_Setpoint</t>
  </si>
  <si>
    <t>entity:SSC_VAV0009_Occupancy_Status</t>
  </si>
  <si>
    <t>SSC VAV0009</t>
  </si>
  <si>
    <t>SSC_VAV0009</t>
  </si>
  <si>
    <t>SSC_VAV0009.AirFlow</t>
  </si>
  <si>
    <t>entity:SSC_VAV0009_Damper_Position</t>
  </si>
  <si>
    <t>SSC_VAV0009.DmprPos</t>
  </si>
  <si>
    <t>SSC_VAV0009.EffectiveSP</t>
  </si>
  <si>
    <t>SSC_VAV0009.OccSts</t>
  </si>
  <si>
    <t>SSC_VAV0009.RmTemp</t>
  </si>
  <si>
    <t>SSC_VAV0009.SP</t>
  </si>
  <si>
    <t>entity:SSC_VAV0010</t>
  </si>
  <si>
    <t>entity:SSC_VAV0010_Damper_Controller</t>
  </si>
  <si>
    <t>entity:SSC_VAV0010_Air_Flow_Sensor</t>
  </si>
  <si>
    <t>entity:SSC_VAV0010_ActiveState_CALC</t>
  </si>
  <si>
    <t>entity:SSC_VAV0010_TotalOperationDuration</t>
  </si>
  <si>
    <t>entity:SSC_VAV0010_Effective_Temp_Setpoint</t>
  </si>
  <si>
    <t>entity:SSC_VAV0010_Room_Temperature</t>
  </si>
  <si>
    <t>entity:SSC_VAV0010_Temperature_Setpoint</t>
  </si>
  <si>
    <t>entity:SSC_VAV0010_Occupancy_Status</t>
  </si>
  <si>
    <t>SSC VAV0010</t>
  </si>
  <si>
    <t>SSC_VAV0010</t>
  </si>
  <si>
    <t>SSC_VAV0010.AirFlow</t>
  </si>
  <si>
    <t>entity:SSC_VAV0010_Damper_Position</t>
  </si>
  <si>
    <t>SSC_VAV0010.DmprPos</t>
  </si>
  <si>
    <t>SSC_VAV0010.EffectiveSP</t>
  </si>
  <si>
    <t>SSC_VAV0010.OccSts</t>
  </si>
  <si>
    <t>SSC_VAV0010.RmTemp</t>
  </si>
  <si>
    <t>SSC_VAV0010.SP</t>
  </si>
  <si>
    <t>entity:SSC_VAV0011</t>
  </si>
  <si>
    <t>entity:SSC_VAV0011_Damper_Controller</t>
  </si>
  <si>
    <t>entity:SSC_VAV0011_Air_Flow_Sensor</t>
  </si>
  <si>
    <t>entity:SSC_VAV0011_ActiveState_CALC</t>
  </si>
  <si>
    <t>entity:SSC_VAV0011_TotalOperationDuration</t>
  </si>
  <si>
    <t>entity:SSC_VAV0011_Effective_Temp_Setpoint</t>
  </si>
  <si>
    <t>entity:SSC_VAV0011_Room_Temperature</t>
  </si>
  <si>
    <t>entity:SSC_VAV0011_Temperature_Setpoint</t>
  </si>
  <si>
    <t>entity:SSC_VAV0011_Occupancy_Status</t>
  </si>
  <si>
    <t>SSC VAV0011</t>
  </si>
  <si>
    <t>SSC_VAV0011</t>
  </si>
  <si>
    <t>SSC_VAV0011.AirFlow</t>
  </si>
  <si>
    <t>entity:SSC_VAV0011_Damper_Position</t>
  </si>
  <si>
    <t>SSC_VAV0011.DmprPos</t>
  </si>
  <si>
    <t>SSC_VAV0011.EffectiveSP</t>
  </si>
  <si>
    <t>SSC_VAV0011.OccSts</t>
  </si>
  <si>
    <t>SSC_VAV0011.RmTemp</t>
  </si>
  <si>
    <t>SSC_VAV0011.SP</t>
  </si>
  <si>
    <t>entity:SSC_VAV0012</t>
  </si>
  <si>
    <t>entity:SSC_VAV0012_Damper_Controller</t>
  </si>
  <si>
    <t>entity:SSC_VAV0012_Air_Flow_Sensor</t>
  </si>
  <si>
    <t>entity:SSC_VAV0012_ActiveState_CALC</t>
  </si>
  <si>
    <t>entity:SSC_VAV0012_TotalOperationDuration</t>
  </si>
  <si>
    <t>entity:SSC_VAV0012_Effective_Temp_Setpoint</t>
  </si>
  <si>
    <t>entity:SSC_VAV0012_Room_Temperature</t>
  </si>
  <si>
    <t>entity:SSC_VAV0012_Temperature_Setpoint</t>
  </si>
  <si>
    <t>entity:SSC_VAV0012_Occupancy_Status</t>
  </si>
  <si>
    <t>SSC VAV0012</t>
  </si>
  <si>
    <t>SSC_VAV0012</t>
  </si>
  <si>
    <t>SSC_VAV0012.AirFlow</t>
  </si>
  <si>
    <t>entity:SSC_VAV0012_Damper_Position</t>
  </si>
  <si>
    <t>SSC_VAV0012.DmprPos</t>
  </si>
  <si>
    <t>SSC_VAV0012.EffectiveSP</t>
  </si>
  <si>
    <t>SSC_VAV0012.OccSts</t>
  </si>
  <si>
    <t>SSC_VAV0012.RmTemp</t>
  </si>
  <si>
    <t>SSC_VAV0012.SP</t>
  </si>
  <si>
    <t>entity:SSC_VAV0013</t>
  </si>
  <si>
    <t>entity:SSC_VAV0013_Damper_Controller</t>
  </si>
  <si>
    <t>entity:SSC_VAV0013_Air_Flow_Sensor</t>
  </si>
  <si>
    <t>entity:SSC_VAV0013_ActiveState_CALC</t>
  </si>
  <si>
    <t>entity:SSC_VAV0013_TotalOperationDuration</t>
  </si>
  <si>
    <t>entity:SSC_VAV0013_Effective_Temp_Setpoint</t>
  </si>
  <si>
    <t>entity:SSC_VAV0013_Room_Temperature</t>
  </si>
  <si>
    <t>entity:SSC_VAV0013_Temperature_Setpoint</t>
  </si>
  <si>
    <t>entity:SSC_VAV0013_Occupancy_Status</t>
  </si>
  <si>
    <t>SSC VAV0013</t>
  </si>
  <si>
    <t>SSC_VAV0013</t>
  </si>
  <si>
    <t>SSC_VAV0013.AirFlow</t>
  </si>
  <si>
    <t>entity:SSC_VAV0013_Damper_Position</t>
  </si>
  <si>
    <t>SSC_VAV0013.DmprPos</t>
  </si>
  <si>
    <t>SSC_VAV0013.EffectiveSP</t>
  </si>
  <si>
    <t>SSC_VAV0013.OccSts</t>
  </si>
  <si>
    <t>SSC_VAV0013.RmTemp</t>
  </si>
  <si>
    <t>SSC_VAV0013.SP</t>
  </si>
  <si>
    <t>entity:SSC_VAV0014</t>
  </si>
  <si>
    <t>entity:SSC_VAV0014_Damper_Controller</t>
  </si>
  <si>
    <t>entity:SSC_VAV0014_Air_Flow_Sensor</t>
  </si>
  <si>
    <t>entity:SSC_VAV0014_ActiveState_CALC</t>
  </si>
  <si>
    <t>entity:SSC_VAV0014_TotalOperationDuration</t>
  </si>
  <si>
    <t>entity:SSC_VAV0014_Effective_Temp_Setpoint</t>
  </si>
  <si>
    <t>entity:SSC_VAV0014_Room_Temperature</t>
  </si>
  <si>
    <t>entity:SSC_VAV0014_Temperature_Setpoint</t>
  </si>
  <si>
    <t>entity:SSC_VAV0014_Occupancy_Status</t>
  </si>
  <si>
    <t>SSC VAV0014</t>
  </si>
  <si>
    <t>SSC_VAV0014</t>
  </si>
  <si>
    <t>SSC_VAV0014.AirFlow</t>
  </si>
  <si>
    <t>entity:SSC_VAV0014_Damper_Position</t>
  </si>
  <si>
    <t>SSC_VAV0014.DmprPos</t>
  </si>
  <si>
    <t>SSC_VAV0014.EffectiveSP</t>
  </si>
  <si>
    <t>SSC_VAV0014.OccSts</t>
  </si>
  <si>
    <t>SSC_VAV0014.RmTemp</t>
  </si>
  <si>
    <t>SSC_VAV0014.SP</t>
  </si>
  <si>
    <t>entity:SSC_VAV0015</t>
  </si>
  <si>
    <t>entity:SSC_VAV0015_Damper_Controller</t>
  </si>
  <si>
    <t>entity:SSC_VAV0015_Air_Flow_Sensor</t>
  </si>
  <si>
    <t>entity:SSC_VAV0015_ActiveState_CALC</t>
  </si>
  <si>
    <t>entity:SSC_VAV0015_TotalOperationDuration</t>
  </si>
  <si>
    <t>entity:SSC_VAV0015_Effective_Temp_Setpoint</t>
  </si>
  <si>
    <t>entity:SSC_VAV0015_Room_Temperature</t>
  </si>
  <si>
    <t>entity:SSC_VAV0015_Temperature_Setpoint</t>
  </si>
  <si>
    <t>entity:SSC_VAV0015_Occupancy_Status</t>
  </si>
  <si>
    <t>SSC VAV0015</t>
  </si>
  <si>
    <t>SSC_VAV0015</t>
  </si>
  <si>
    <t>SSC_VAV0015.AirFlow</t>
  </si>
  <si>
    <t>entity:SSC_VAV0015_Damper_Position</t>
  </si>
  <si>
    <t>SSC_VAV0015.DmprPos</t>
  </si>
  <si>
    <t>SSC_VAV0015.EffectiveSP</t>
  </si>
  <si>
    <t>SSC_VAV0015.OccSts</t>
  </si>
  <si>
    <t>SSC_VAV0015.RmTemp</t>
  </si>
  <si>
    <t>SSC_VAV0015.SP</t>
  </si>
  <si>
    <t>entity:SSC_VAV0016</t>
  </si>
  <si>
    <t>entity:SSC_VAV0016_Damper_Controller</t>
  </si>
  <si>
    <t>entity:SSC_VAV0016_Air_Flow_Sensor</t>
  </si>
  <si>
    <t>entity:SSC_VAV0016_ActiveState_CALC</t>
  </si>
  <si>
    <t>entity:SSC_VAV0016_TotalOperationDuration</t>
  </si>
  <si>
    <t>entity:SSC_VAV0016_Effective_Temp_Setpoint</t>
  </si>
  <si>
    <t>entity:SSC_VAV0016_Room_Temperature</t>
  </si>
  <si>
    <t>entity:SSC_VAV0016_Temperature_Setpoint</t>
  </si>
  <si>
    <t>entity:SSC_VAV0016_Occupancy_Status</t>
  </si>
  <si>
    <t>SSC VAV0016</t>
  </si>
  <si>
    <t>SSC_VAV0016</t>
  </si>
  <si>
    <t>SSC_VAV0016.AirFlow</t>
  </si>
  <si>
    <t>entity:SSC_VAV0016_Damper_Position</t>
  </si>
  <si>
    <t>SSC_VAV0016.DmprPos</t>
  </si>
  <si>
    <t>SSC_VAV0016.EffectiveSP</t>
  </si>
  <si>
    <t>SSC_VAV0016.OccSts</t>
  </si>
  <si>
    <t>SSC_VAV0016.RmTemp</t>
  </si>
  <si>
    <t>SSC_VAV0016.SP</t>
  </si>
  <si>
    <t>entity:SSC_VAV0017</t>
  </si>
  <si>
    <t>entity:SSC_VAV0017_Damper_Controller</t>
  </si>
  <si>
    <t>entity:SSC_VAV0017_Air_Flow_Sensor</t>
  </si>
  <si>
    <t>entity:SSC_VAV0017_ActiveState_CALC</t>
  </si>
  <si>
    <t>entity:SSC_VAV0017_TotalOperationDuration</t>
  </si>
  <si>
    <t>entity:SSC_VAV0017_Effective_Temp_Setpoint</t>
  </si>
  <si>
    <t>entity:SSC_VAV0017_Room_Temperature</t>
  </si>
  <si>
    <t>entity:SSC_VAV0017_Temperature_Setpoint</t>
  </si>
  <si>
    <t>entity:SSC_VAV0017_Occupancy_Status</t>
  </si>
  <si>
    <t>SSC VAV0017</t>
  </si>
  <si>
    <t>SSC_VAV0017</t>
  </si>
  <si>
    <t>SSC_VAV0017.AirFlow</t>
  </si>
  <si>
    <t>entity:SSC_VAV0017_Damper_Position</t>
  </si>
  <si>
    <t>SSC_VAV0017.DmprPos</t>
  </si>
  <si>
    <t>SSC_VAV0017.EffectiveSP</t>
  </si>
  <si>
    <t>SSC_VAV0017.OccSts</t>
  </si>
  <si>
    <t>SSC_VAV0017.RmTemp</t>
  </si>
  <si>
    <t>SSC_VAV0017.SP</t>
  </si>
  <si>
    <t>entity:SSC_VAV0018</t>
  </si>
  <si>
    <t>entity:SSC_VAV0018_Damper_Controller</t>
  </si>
  <si>
    <t>entity:SSC_VAV0018_Air_Flow_Sensor</t>
  </si>
  <si>
    <t>entity:SSC_VAV0018_ActiveState_CALC</t>
  </si>
  <si>
    <t>entity:SSC_VAV0018_TotalOperationDuration</t>
  </si>
  <si>
    <t>entity:SSC_VAV0018_Effective_Temp_Setpoint</t>
  </si>
  <si>
    <t>entity:SSC_VAV0018_Room_Temperature</t>
  </si>
  <si>
    <t>entity:SSC_VAV0018_Temperature_Setpoint</t>
  </si>
  <si>
    <t>entity:SSC_VAV0018_Occupancy_Status</t>
  </si>
  <si>
    <t>SSC VAV0018</t>
  </si>
  <si>
    <t>SSC_VAV0018</t>
  </si>
  <si>
    <t>SSC_VAV0018.AirFlow</t>
  </si>
  <si>
    <t>entity:SSC_VAV0018_Damper_Position</t>
  </si>
  <si>
    <t>SSC_VAV0018.DmprPos</t>
  </si>
  <si>
    <t>SSC_VAV0018.EffectiveSP</t>
  </si>
  <si>
    <t>SSC_VAV0018.OccSts</t>
  </si>
  <si>
    <t>SSC_VAV0018.RmTemp</t>
  </si>
  <si>
    <t>SSC_VAV0018.SP</t>
  </si>
  <si>
    <t>entity:SSC_VAV0019</t>
  </si>
  <si>
    <t>entity:SSC_VAV0019_Damper_Controller</t>
  </si>
  <si>
    <t>entity:SSC_VAV0019_Air_Flow_Sensor</t>
  </si>
  <si>
    <t>entity:SSC_VAV0019_ActiveState_CALC</t>
  </si>
  <si>
    <t>entity:SSC_VAV0019_TotalOperationDuration</t>
  </si>
  <si>
    <t>entity:SSC_VAV0019_Effective_Temp_Setpoint</t>
  </si>
  <si>
    <t>entity:SSC_VAV0019_Room_Temperature</t>
  </si>
  <si>
    <t>entity:SSC_VAV0019_Temperature_Setpoint</t>
  </si>
  <si>
    <t>entity:SSC_VAV0019_Occupancy_Status</t>
  </si>
  <si>
    <t>SSC VAV0019</t>
  </si>
  <si>
    <t>SSC_VAV0019</t>
  </si>
  <si>
    <t>SSC_VAV0019.AirFlow</t>
  </si>
  <si>
    <t>entity:SSC_VAV0019_Damper_Position</t>
  </si>
  <si>
    <t>SSC_VAV0019.DmprPos</t>
  </si>
  <si>
    <t>SSC_VAV0019.EffectiveSP</t>
  </si>
  <si>
    <t>SSC_VAV0019.OccSts</t>
  </si>
  <si>
    <t>SSC_VAV0019.RmTemp</t>
  </si>
  <si>
    <t>SSC_VAV0019.SP</t>
  </si>
  <si>
    <t>entity:SSC_VAV0020</t>
  </si>
  <si>
    <t>entity:SSC_VAV0020_Damper_Controller</t>
  </si>
  <si>
    <t>entity:SSC_VAV0020_Air_Flow_Sensor</t>
  </si>
  <si>
    <t>entity:SSC_VAV0020_ActiveState_CALC</t>
  </si>
  <si>
    <t>entity:SSC_VAV0020_TotalOperationDuration</t>
  </si>
  <si>
    <t>entity:SSC_VAV0020_Effective_Temp_Setpoint</t>
  </si>
  <si>
    <t>entity:SSC_VAV0020_Room_Temperature</t>
  </si>
  <si>
    <t>entity:SSC_VAV0020_Temperature_Setpoint</t>
  </si>
  <si>
    <t>entity:SSC_VAV0020_Occupancy_Status</t>
  </si>
  <si>
    <t>SSC VAV0020</t>
  </si>
  <si>
    <t>SSC_VAV0020</t>
  </si>
  <si>
    <t>SSC_VAV0020.AirFlow</t>
  </si>
  <si>
    <t>entity:SSC_VAV0020_Damper_Position</t>
  </si>
  <si>
    <t>SSC_VAV0020.DmprPos</t>
  </si>
  <si>
    <t>SSC_VAV0020.EffectiveSP</t>
  </si>
  <si>
    <t>SSC_VAV0020.OccSts</t>
  </si>
  <si>
    <t>SSC_VAV0020.RmTemp</t>
  </si>
  <si>
    <t>SSC_VAV0020.SP</t>
  </si>
  <si>
    <t>entity:SSC_VAV0021</t>
  </si>
  <si>
    <t>entity:SSC_VAV0021_Damper_Controller</t>
  </si>
  <si>
    <t>entity:SSC_VAV0021_Air_Flow_Sensor</t>
  </si>
  <si>
    <t>entity:SSC_VAV0021_ActiveState_CALC</t>
  </si>
  <si>
    <t>entity:SSC_VAV0021_TotalOperationDuration</t>
  </si>
  <si>
    <t>entity:SSC_VAV0021_Effective_Temp_Setpoint</t>
  </si>
  <si>
    <t>entity:SSC_VAV0021_Room_Temperature</t>
  </si>
  <si>
    <t>entity:SSC_VAV0021_Temperature_Setpoint</t>
  </si>
  <si>
    <t>entity:SSC_VAV0021_Occupancy_Status</t>
  </si>
  <si>
    <t>SSC VAV0021</t>
  </si>
  <si>
    <t>SSC_VAV0021</t>
  </si>
  <si>
    <t>SSC_VAV0021.AirFlow</t>
  </si>
  <si>
    <t>entity:SSC_VAV0021_Damper_Position</t>
  </si>
  <si>
    <t>SSC_VAV0021.DmprPos</t>
  </si>
  <si>
    <t>SSC_VAV0021.EffectiveSP</t>
  </si>
  <si>
    <t>SSC_VAV0021.OccSts</t>
  </si>
  <si>
    <t>SSC_VAV0021.RmTemp</t>
  </si>
  <si>
    <t>SSC_VAV0021.SP</t>
  </si>
  <si>
    <t>entity:SSC_VAV0022</t>
  </si>
  <si>
    <t>entity:SSC_VAV0022_Damper_Controller</t>
  </si>
  <si>
    <t>entity:SSC_VAV0022_Air_Flow_Sensor</t>
  </si>
  <si>
    <t>entity:SSC_VAV0022_ActiveState_CALC</t>
  </si>
  <si>
    <t>entity:SSC_VAV0022_TotalOperationDuration</t>
  </si>
  <si>
    <t>entity:SSC_VAV0022_Effective_Temp_Setpoint</t>
  </si>
  <si>
    <t>entity:SSC_VAV0022_Room_Temperature</t>
  </si>
  <si>
    <t>entity:SSC_VAV0022_Temperature_Setpoint</t>
  </si>
  <si>
    <t>entity:SSC_VAV0022_Occupancy_Status</t>
  </si>
  <si>
    <t>SSC VAV0022</t>
  </si>
  <si>
    <t>SSC_VAV0022</t>
  </si>
  <si>
    <t>SSC_VAV0022.AirFlow</t>
  </si>
  <si>
    <t>entity:SSC_VAV0022_Damper_Position</t>
  </si>
  <si>
    <t>SSC_VAV0022.DmprPos</t>
  </si>
  <si>
    <t>SSC_VAV0022.EffectiveSP</t>
  </si>
  <si>
    <t>SSC_VAV0022.OccSts</t>
  </si>
  <si>
    <t>SSC_VAV0022.RmTemp</t>
  </si>
  <si>
    <t>SSC_VAV0022.SP</t>
  </si>
  <si>
    <t>entity:SSC_VAV0023</t>
  </si>
  <si>
    <t>entity:SSC_VAV0023_Damper_Controller</t>
  </si>
  <si>
    <t>entity:SSC_VAV0023_Air_Flow_Sensor</t>
  </si>
  <si>
    <t>entity:SSC_VAV0023_ActiveState_CALC</t>
  </si>
  <si>
    <t>entity:SSC_VAV0023_TotalOperationDuration</t>
  </si>
  <si>
    <t>entity:SSC_VAV0023_Effective_Temp_Setpoint</t>
  </si>
  <si>
    <t>entity:SSC_VAV0023_Room_Temperature</t>
  </si>
  <si>
    <t>entity:SSC_VAV0023_Temperature_Setpoint</t>
  </si>
  <si>
    <t>entity:SSC_VAV0023_Occupancy_Status</t>
  </si>
  <si>
    <t>SSC VAV0023</t>
  </si>
  <si>
    <t>SSC_VAV0023</t>
  </si>
  <si>
    <t>SSC_VAV0023.AirFlow</t>
  </si>
  <si>
    <t>entity:SSC_VAV0023_Damper_Position</t>
  </si>
  <si>
    <t>SSC_VAV0023.DmprPos</t>
  </si>
  <si>
    <t>SSC_VAV0023.EffectiveSP</t>
  </si>
  <si>
    <t>SSC_VAV0023.OccSts</t>
  </si>
  <si>
    <t>SSC_VAV0023.RmTemp</t>
  </si>
  <si>
    <t>SSC_VAV0023.SP</t>
  </si>
  <si>
    <t>entity:SSC_VAV0024</t>
  </si>
  <si>
    <t>entity:SSC_VAV0024_Damper_Controller</t>
  </si>
  <si>
    <t>entity:SSC_VAV0024_Air_Flow_Sensor</t>
  </si>
  <si>
    <t>entity:SSC_VAV0024_ActiveState_CALC</t>
  </si>
  <si>
    <t>entity:SSC_VAV0024_TotalOperationDuration</t>
  </si>
  <si>
    <t>entity:SSC_VAV0024_Effective_Temp_Setpoint</t>
  </si>
  <si>
    <t>entity:SSC_VAV0024_Room_Temperature</t>
  </si>
  <si>
    <t>entity:SSC_VAV0024_Temperature_Setpoint</t>
  </si>
  <si>
    <t>entity:SSC_VAV0024_Occupancy_Status</t>
  </si>
  <si>
    <t>SSC VAV0024</t>
  </si>
  <si>
    <t>SSC_VAV0024</t>
  </si>
  <si>
    <t>SSC_VAV0024.AirFlow</t>
  </si>
  <si>
    <t>entity:SSC_VAV0024_Damper_Position</t>
  </si>
  <si>
    <t>SSC_VAV0024.DmprPos</t>
  </si>
  <si>
    <t>SSC_VAV0024.EffectiveSP</t>
  </si>
  <si>
    <t>SSC_VAV0024.OccSts</t>
  </si>
  <si>
    <t>SSC_VAV0024.RmTemp</t>
  </si>
  <si>
    <t>SSC_VAV0024.SP</t>
  </si>
  <si>
    <t>entity:SSC_VAV0025</t>
  </si>
  <si>
    <t>entity:SSC_VAV0025_Damper_Controller</t>
  </si>
  <si>
    <t>entity:SSC_VAV0025_Air_Flow_Sensor</t>
  </si>
  <si>
    <t>entity:SSC_VAV0025_ActiveState_CALC</t>
  </si>
  <si>
    <t>entity:SSC_VAV0025_TotalOperationDuration</t>
  </si>
  <si>
    <t>entity:SSC_VAV0025_Effective_Temp_Setpoint</t>
  </si>
  <si>
    <t>entity:SSC_VAV0025_Room_Temperature</t>
  </si>
  <si>
    <t>entity:SSC_VAV0025_Temperature_Setpoint</t>
  </si>
  <si>
    <t>entity:SSC_VAV0025_Occupancy_Status</t>
  </si>
  <si>
    <t>SSC VAV0025</t>
  </si>
  <si>
    <t>SSC_VAV0025</t>
  </si>
  <si>
    <t>SSC_VAV0025.AirFlow</t>
  </si>
  <si>
    <t>entity:SSC_VAV0025_Damper_Position</t>
  </si>
  <si>
    <t>SSC_VAV0025.DmprPos</t>
  </si>
  <si>
    <t>SSC_VAV0025.EffectiveSP</t>
  </si>
  <si>
    <t>SSC_VAV0025.OccSts</t>
  </si>
  <si>
    <t>SSC_VAV0025.RmTemp</t>
  </si>
  <si>
    <t>SSC_VAV0025.SP</t>
  </si>
  <si>
    <t>entity:SSC_VAV0026</t>
  </si>
  <si>
    <t>entity:SSC_VAV0026_Damper_Controller</t>
  </si>
  <si>
    <t>entity:SSC_VAV0026_Air_Flow_Sensor</t>
  </si>
  <si>
    <t>entity:SSC_VAV0026_ActiveState_CALC</t>
  </si>
  <si>
    <t>entity:SSC_VAV0026_TotalOperationDuration</t>
  </si>
  <si>
    <t>entity:SSC_VAV0026_Effective_Temp_Setpoint</t>
  </si>
  <si>
    <t>entity:SSC_VAV0026_Room_Temperature</t>
  </si>
  <si>
    <t>entity:SSC_VAV0026_Temperature_Setpoint</t>
  </si>
  <si>
    <t>entity:SSC_VAV0026_Occupancy_Status</t>
  </si>
  <si>
    <t>SSC VAV0026</t>
  </si>
  <si>
    <t>SSC_VAV0026</t>
  </si>
  <si>
    <t>SSC_VAV0026.AirFlow</t>
  </si>
  <si>
    <t>entity:SSC_VAV0026_Damper_Position</t>
  </si>
  <si>
    <t>SSC_VAV0026.DmprPos</t>
  </si>
  <si>
    <t>SSC_VAV0026.EffectiveSP</t>
  </si>
  <si>
    <t>SSC_VAV0026.OccSts</t>
  </si>
  <si>
    <t>SSC_VAV0026.RmTemp</t>
  </si>
  <si>
    <t>SSC_VAV0026.SP</t>
  </si>
  <si>
    <t>entity:SSC_VAV0027</t>
  </si>
  <si>
    <t>entity:SSC_VAV0027_Damper_Controller</t>
  </si>
  <si>
    <t>entity:SSC_VAV0027_Air_Flow_Sensor</t>
  </si>
  <si>
    <t>entity:SSC_VAV0027_ActiveState_CALC</t>
  </si>
  <si>
    <t>entity:SSC_VAV0027_TotalOperationDuration</t>
  </si>
  <si>
    <t>entity:SSC_VAV0027_Effective_Temp_Setpoint</t>
  </si>
  <si>
    <t>entity:SSC_VAV0027_Room_Temperature</t>
  </si>
  <si>
    <t>entity:SSC_VAV0027_Temperature_Setpoint</t>
  </si>
  <si>
    <t>entity:SSC_VAV0027_Occupancy_Status</t>
  </si>
  <si>
    <t>SSC VAV0027</t>
  </si>
  <si>
    <t>SSC_VAV0027</t>
  </si>
  <si>
    <t>SSC_VAV0027.AirFlow</t>
  </si>
  <si>
    <t>entity:SSC_VAV0027_Damper_Position</t>
  </si>
  <si>
    <t>SSC_VAV0027.DmprPos</t>
  </si>
  <si>
    <t>SSC_VAV0027.EffectiveSP</t>
  </si>
  <si>
    <t>SSC_VAV0027.OccSts</t>
  </si>
  <si>
    <t>SSC_VAV0027.RmTemp</t>
  </si>
  <si>
    <t>SSC_VAV0027.SP</t>
  </si>
  <si>
    <t>entity:SSC_VAV0028</t>
  </si>
  <si>
    <t>entity:SSC_VAV0028_Damper_Controller</t>
  </si>
  <si>
    <t>entity:SSC_VAV0028_Air_Flow_Sensor</t>
  </si>
  <si>
    <t>entity:SSC_VAV0028_ActiveState_CALC</t>
  </si>
  <si>
    <t>entity:SSC_VAV0028_TotalOperationDuration</t>
  </si>
  <si>
    <t>entity:SSC_VAV0028_Effective_Temp_Setpoint</t>
  </si>
  <si>
    <t>entity:SSC_VAV0028_Room_Temperature</t>
  </si>
  <si>
    <t>entity:SSC_VAV0028_Temperature_Setpoint</t>
  </si>
  <si>
    <t>entity:SSC_VAV0028_Occupancy_Status</t>
  </si>
  <si>
    <t>SSC VAV0028</t>
  </si>
  <si>
    <t>SSC_VAV0028</t>
  </si>
  <si>
    <t>SSC_VAV0028.AirFlow</t>
  </si>
  <si>
    <t>entity:SSC_VAV0028_Damper_Position</t>
  </si>
  <si>
    <t>SSC_VAV0028.DmprPos</t>
  </si>
  <si>
    <t>SSC_VAV0028.EffectiveSP</t>
  </si>
  <si>
    <t>SSC_VAV0028.OccSts</t>
  </si>
  <si>
    <t>SSC_VAV0028.RmTemp</t>
  </si>
  <si>
    <t>SSC_VAV0028.SP</t>
  </si>
  <si>
    <t>entity:SSC_VAV0029</t>
  </si>
  <si>
    <t>entity:SSC_VAV0029_Damper_Controller</t>
  </si>
  <si>
    <t>entity:SSC_VAV0029_Air_Flow_Sensor</t>
  </si>
  <si>
    <t>entity:SSC_VAV0029_ActiveState_CALC</t>
  </si>
  <si>
    <t>entity:SSC_VAV0029_TotalOperationDuration</t>
  </si>
  <si>
    <t>entity:SSC_VAV0029_Effective_Temp_Setpoint</t>
  </si>
  <si>
    <t>entity:SSC_VAV0029_Room_Temperature</t>
  </si>
  <si>
    <t>entity:SSC_VAV0029_Temperature_Setpoint</t>
  </si>
  <si>
    <t>entity:SSC_VAV0029_Occupancy_Status</t>
  </si>
  <si>
    <t>SSC VAV0029</t>
  </si>
  <si>
    <t>SSC_VAV0029</t>
  </si>
  <si>
    <t>SSC_VAV0029.AirFlow</t>
  </si>
  <si>
    <t>entity:SSC_VAV0029_Damper_Position</t>
  </si>
  <si>
    <t>SSC_VAV0029.DmprPos</t>
  </si>
  <si>
    <t>SSC_VAV0029.EffectiveSP</t>
  </si>
  <si>
    <t>SSC_VAV0029.OccSts</t>
  </si>
  <si>
    <t>SSC_VAV0029.RmTemp</t>
  </si>
  <si>
    <t>SSC_VAV0029.SP</t>
  </si>
  <si>
    <t>entity:SSC_VAV0030</t>
  </si>
  <si>
    <t>entity:SSC_VAV0030_Damper_Controller</t>
  </si>
  <si>
    <t>entity:SSC_VAV0030_Air_Flow_Sensor</t>
  </si>
  <si>
    <t>entity:SSC_VAV0030_ActiveState_CALC</t>
  </si>
  <si>
    <t>entity:SSC_VAV0030_TotalOperationDuration</t>
  </si>
  <si>
    <t>entity:SSC_VAV0030_Effective_Temp_Setpoint</t>
  </si>
  <si>
    <t>entity:SSC_VAV0030_Room_Temperature</t>
  </si>
  <si>
    <t>entity:SSC_VAV0030_Temperature_Setpoint</t>
  </si>
  <si>
    <t>entity:SSC_VAV0030_Occupancy_Status</t>
  </si>
  <si>
    <t>SSC VAV0030</t>
  </si>
  <si>
    <t>SSC_VAV0030</t>
  </si>
  <si>
    <t>SSC_VAV0030.AirFlow</t>
  </si>
  <si>
    <t>entity:SSC_VAV0030_Damper_Position</t>
  </si>
  <si>
    <t>SSC_VAV0030.DmprPos</t>
  </si>
  <si>
    <t>SSC_VAV0030.EffectiveSP</t>
  </si>
  <si>
    <t>SSC_VAV0030.OccSts</t>
  </si>
  <si>
    <t>SSC_VAV0030.RmTemp</t>
  </si>
  <si>
    <t>SSC_VAV0030.SP</t>
  </si>
  <si>
    <t>entity:SSC_VAV0031</t>
  </si>
  <si>
    <t>entity:SSC_VAV0031_Damper_Controller</t>
  </si>
  <si>
    <t>entity:SSC_VAV0031_Air_Flow_Sensor</t>
  </si>
  <si>
    <t>entity:SSC_VAV0031_ActiveState_CALC</t>
  </si>
  <si>
    <t>entity:SSC_VAV0031_TotalOperationDuration</t>
  </si>
  <si>
    <t>entity:SSC_VAV0031_Effective_Temp_Setpoint</t>
  </si>
  <si>
    <t>entity:SSC_VAV0031_Room_Temperature</t>
  </si>
  <si>
    <t>entity:SSC_VAV0031_Temperature_Setpoint</t>
  </si>
  <si>
    <t>entity:SSC_VAV0031_Occupancy_Status</t>
  </si>
  <si>
    <t>SSC VAV0031</t>
  </si>
  <si>
    <t>SSC_VAV0031</t>
  </si>
  <si>
    <t>SSC_VAV0031.AirFlow</t>
  </si>
  <si>
    <t>entity:SSC_VAV0031_Damper_Position</t>
  </si>
  <si>
    <t>SSC_VAV0031.DmprPos</t>
  </si>
  <si>
    <t>SSC_VAV0031.EffectiveSP</t>
  </si>
  <si>
    <t>SSC_VAV0031.OccSts</t>
  </si>
  <si>
    <t>SSC_VAV0031.RmTemp</t>
  </si>
  <si>
    <t>SSC_VAV0031.SP</t>
  </si>
  <si>
    <t>entity:SSC_VAV0032</t>
  </si>
  <si>
    <t>entity:SSC_VAV0032_Damper_Controller</t>
  </si>
  <si>
    <t>entity:SSC_VAV0032_Air_Flow_Sensor</t>
  </si>
  <si>
    <t>entity:SSC_VAV0032_ActiveState_CALC</t>
  </si>
  <si>
    <t>entity:SSC_VAV0032_TotalOperationDuration</t>
  </si>
  <si>
    <t>entity:SSC_VAV0032_Effective_Temp_Setpoint</t>
  </si>
  <si>
    <t>entity:SSC_VAV0032_Room_Temperature</t>
  </si>
  <si>
    <t>entity:SSC_VAV0032_Temperature_Setpoint</t>
  </si>
  <si>
    <t>entity:SSC_VAV0032_Occupancy_Status</t>
  </si>
  <si>
    <t>SSC VAV0032</t>
  </si>
  <si>
    <t>SSC_VAV0032</t>
  </si>
  <si>
    <t>SSC_VAV0032.AirFlow</t>
  </si>
  <si>
    <t>entity:SSC_VAV0032_Damper_Position</t>
  </si>
  <si>
    <t>SSC_VAV0032.DmprPos</t>
  </si>
  <si>
    <t>SSC_VAV0032.EffectiveSP</t>
  </si>
  <si>
    <t>SSC_VAV0032.OccSts</t>
  </si>
  <si>
    <t>SSC_VAV0032.RmTemp</t>
  </si>
  <si>
    <t>SSC_VAV0032.SP</t>
  </si>
  <si>
    <t>entity:SSC_VAV0033</t>
  </si>
  <si>
    <t>entity:SSC_VAV0033_Damper_Controller</t>
  </si>
  <si>
    <t>entity:SSC_VAV0033_Air_Flow_Sensor</t>
  </si>
  <si>
    <t>entity:SSC_VAV0033_ActiveState_CALC</t>
  </si>
  <si>
    <t>entity:SSC_VAV0033_TotalOperationDuration</t>
  </si>
  <si>
    <t>entity:SSC_VAV0033_Effective_Temp_Setpoint</t>
  </si>
  <si>
    <t>entity:SSC_VAV0033_Room_Temperature</t>
  </si>
  <si>
    <t>entity:SSC_VAV0033_Temperature_Setpoint</t>
  </si>
  <si>
    <t>entity:SSC_VAV0033_Occupancy_Status</t>
  </si>
  <si>
    <t>SSC VAV0033</t>
  </si>
  <si>
    <t>SSC_VAV0033</t>
  </si>
  <si>
    <t>SSC_VAV0033.AirFlow</t>
  </si>
  <si>
    <t>entity:SSC_VAV0033_Damper_Position</t>
  </si>
  <si>
    <t>SSC_VAV0033.DmprPos</t>
  </si>
  <si>
    <t>SSC_VAV0033.EffectiveSP</t>
  </si>
  <si>
    <t>SSC_VAV0033.OccSts</t>
  </si>
  <si>
    <t>SSC_VAV0033.RmTemp</t>
  </si>
  <si>
    <t>SSC_VAV0033.SP</t>
  </si>
  <si>
    <t>entity:SSC_VAV0034</t>
  </si>
  <si>
    <t>entity:SSC_VAV0034_Damper_Controller</t>
  </si>
  <si>
    <t>entity:SSC_VAV0034_Air_Flow_Sensor</t>
  </si>
  <si>
    <t>entity:SSC_VAV0034_ActiveState_CALC</t>
  </si>
  <si>
    <t>entity:SSC_VAV0034_TotalOperationDuration</t>
  </si>
  <si>
    <t>entity:SSC_VAV0034_Effective_Temp_Setpoint</t>
  </si>
  <si>
    <t>entity:SSC_VAV0034_Room_Temperature</t>
  </si>
  <si>
    <t>entity:SSC_VAV0034_Temperature_Setpoint</t>
  </si>
  <si>
    <t>entity:SSC_VAV0034_Occupancy_Status</t>
  </si>
  <si>
    <t>SSC VAV0034</t>
  </si>
  <si>
    <t>SSC_VAV0034</t>
  </si>
  <si>
    <t>SSC_VAV0034.AirFlow</t>
  </si>
  <si>
    <t>entity:SSC_VAV0034_Damper_Position</t>
  </si>
  <si>
    <t>SSC_VAV0034.DmprPos</t>
  </si>
  <si>
    <t>SSC_VAV0034.EffectiveSP</t>
  </si>
  <si>
    <t>SSC_VAV0034.OccSts</t>
  </si>
  <si>
    <t>SSC_VAV0034.RmTemp</t>
  </si>
  <si>
    <t>SSC_VAV0034.SP</t>
  </si>
  <si>
    <t>entity:SSC_VAV0035</t>
  </si>
  <si>
    <t>entity:SSC_VAV0035_Damper_Controller</t>
  </si>
  <si>
    <t>entity:SSC_VAV0035_Air_Flow_Sensor</t>
  </si>
  <si>
    <t>entity:SSC_VAV0035_ActiveState_CALC</t>
  </si>
  <si>
    <t>entity:SSC_VAV0035_TotalOperationDuration</t>
  </si>
  <si>
    <t>entity:SSC_VAV0035_Effective_Temp_Setpoint</t>
  </si>
  <si>
    <t>entity:SSC_VAV0035_Room_Temperature</t>
  </si>
  <si>
    <t>entity:SSC_VAV0035_Temperature_Setpoint</t>
  </si>
  <si>
    <t>entity:SSC_VAV0035_Occupancy_Status</t>
  </si>
  <si>
    <t>SSC VAV0035</t>
  </si>
  <si>
    <t>SSC_VAV0035</t>
  </si>
  <si>
    <t>SSC_VAV0035.AirFlow</t>
  </si>
  <si>
    <t>entity:SSC_VAV0035_Damper_Position</t>
  </si>
  <si>
    <t>SSC_VAV0035.DmprPos</t>
  </si>
  <si>
    <t>SSC_VAV0035.EffectiveSP</t>
  </si>
  <si>
    <t>SSC_VAV0035.OccSts</t>
  </si>
  <si>
    <t>SSC_VAV0035.RmTemp</t>
  </si>
  <si>
    <t>SSC_VAV0035.SP</t>
  </si>
  <si>
    <t>entity:SSC_VAV0036</t>
  </si>
  <si>
    <t>entity:SSC_VAV0036_Damper_Controller</t>
  </si>
  <si>
    <t>entity:SSC_VAV0036_Air_Flow_Sensor</t>
  </si>
  <si>
    <t>entity:SSC_VAV0036_ActiveState_CALC</t>
  </si>
  <si>
    <t>entity:SSC_VAV0036_TotalOperationDuration</t>
  </si>
  <si>
    <t>entity:SSC_VAV0036_Effective_Temp_Setpoint</t>
  </si>
  <si>
    <t>entity:SSC_VAV0036_Room_Temperature</t>
  </si>
  <si>
    <t>entity:SSC_VAV0036_Temperature_Setpoint</t>
  </si>
  <si>
    <t>entity:SSC_VAV0036_Occupancy_Status</t>
  </si>
  <si>
    <t>SSC VAV0036</t>
  </si>
  <si>
    <t>SSC_VAV0036</t>
  </si>
  <si>
    <t>SSC_VAV0036.AirFlow</t>
  </si>
  <si>
    <t>entity:SSC_VAV0036_Damper_Position</t>
  </si>
  <si>
    <t>SSC_VAV0036.DmprPos</t>
  </si>
  <si>
    <t>SSC_VAV0036.EffectiveSP</t>
  </si>
  <si>
    <t>SSC_VAV0036.OccSts</t>
  </si>
  <si>
    <t>SSC_VAV0036.RmTemp</t>
  </si>
  <si>
    <t>SSC_VAV0036.SP</t>
  </si>
  <si>
    <t>entity:SSC_VAV0037</t>
  </si>
  <si>
    <t>entity:SSC_VAV0037_Damper_Controller</t>
  </si>
  <si>
    <t>entity:SSC_VAV0037_Air_Flow_Sensor</t>
  </si>
  <si>
    <t>entity:SSC_VAV0037_ActiveState_CALC</t>
  </si>
  <si>
    <t>entity:SSC_VAV0037_TotalOperationDuration</t>
  </si>
  <si>
    <t>entity:SSC_VAV0037_Effective_Temp_Setpoint</t>
  </si>
  <si>
    <t>entity:SSC_VAV0037_Room_Temperature</t>
  </si>
  <si>
    <t>entity:SSC_VAV0037_Temperature_Setpoint</t>
  </si>
  <si>
    <t>entity:SSC_VAV0037_Occupancy_Status</t>
  </si>
  <si>
    <t>SSC VAV0037</t>
  </si>
  <si>
    <t>SSC_VAV0037</t>
  </si>
  <si>
    <t>SSC_VAV0037.AirFlow</t>
  </si>
  <si>
    <t>entity:SSC_VAV0037_Damper_Position</t>
  </si>
  <si>
    <t>SSC_VAV0037.DmprPos</t>
  </si>
  <si>
    <t>SSC_VAV0037.EffectiveSP</t>
  </si>
  <si>
    <t>SSC_VAV0037.OccSts</t>
  </si>
  <si>
    <t>SSC_VAV0037.RmTemp</t>
  </si>
  <si>
    <t>SSC_VAV0037.SP</t>
  </si>
  <si>
    <t>entity:SSC_VAV0038</t>
  </si>
  <si>
    <t>entity:SSC_VAV0038_Damper_Controller</t>
  </si>
  <si>
    <t>entity:SSC_VAV0038_Air_Flow_Sensor</t>
  </si>
  <si>
    <t>entity:SSC_VAV0038_ActiveState_CALC</t>
  </si>
  <si>
    <t>entity:SSC_VAV0038_TotalOperationDuration</t>
  </si>
  <si>
    <t>entity:SSC_VAV0038_Effective_Temp_Setpoint</t>
  </si>
  <si>
    <t>entity:SSC_VAV0038_Room_Temperature</t>
  </si>
  <si>
    <t>entity:SSC_VAV0038_Temperature_Setpoint</t>
  </si>
  <si>
    <t>entity:SSC_VAV0038_Occupancy_Status</t>
  </si>
  <si>
    <t>SSC VAV0038</t>
  </si>
  <si>
    <t>SSC_VAV0038</t>
  </si>
  <si>
    <t>SSC_VAV0038.AirFlow</t>
  </si>
  <si>
    <t>entity:SSC_VAV0038_Damper_Position</t>
  </si>
  <si>
    <t>SSC_VAV0038.DmprPos</t>
  </si>
  <si>
    <t>SSC_VAV0038.EffectiveSP</t>
  </si>
  <si>
    <t>SSC_VAV0038.OccSts</t>
  </si>
  <si>
    <t>SSC_VAV0038.RmTemp</t>
  </si>
  <si>
    <t>SSC_VAV0038.SP</t>
  </si>
  <si>
    <t>entity:SSC_VAV0039</t>
  </si>
  <si>
    <t>entity:SSC_VAV0039_Damper_Controller</t>
  </si>
  <si>
    <t>entity:SSC_VAV0039_Air_Flow_Sensor</t>
  </si>
  <si>
    <t>entity:SSC_VAV0039_ActiveState_CALC</t>
  </si>
  <si>
    <t>entity:SSC_VAV0039_TotalOperationDuration</t>
  </si>
  <si>
    <t>entity:SSC_VAV0039_Effective_Temp_Setpoint</t>
  </si>
  <si>
    <t>entity:SSC_VAV0039_Room_Temperature</t>
  </si>
  <si>
    <t>entity:SSC_VAV0039_Temperature_Setpoint</t>
  </si>
  <si>
    <t>entity:SSC_VAV0039_Occupancy_Status</t>
  </si>
  <si>
    <t>SSC VAV0039</t>
  </si>
  <si>
    <t>SSC_VAV0039</t>
  </si>
  <si>
    <t>SSC_VAV0039.AirFlow</t>
  </si>
  <si>
    <t>entity:SSC_VAV0039_Damper_Position</t>
  </si>
  <si>
    <t>SSC_VAV0039.DmprPos</t>
  </si>
  <si>
    <t>SSC_VAV0039.EffectiveSP</t>
  </si>
  <si>
    <t>SSC_VAV0039.OccSts</t>
  </si>
  <si>
    <t>SSC_VAV0039.RmTemp</t>
  </si>
  <si>
    <t>SSC_VAV0039.SP</t>
  </si>
  <si>
    <t>entity:SSC_VAV0040</t>
  </si>
  <si>
    <t>entity:SSC_VAV0040_Damper_Controller</t>
  </si>
  <si>
    <t>entity:SSC_VAV0040_Air_Flow_Sensor</t>
  </si>
  <si>
    <t>entity:SSC_VAV0040_ActiveState_CALC</t>
  </si>
  <si>
    <t>entity:SSC_VAV0040_TotalOperationDuration</t>
  </si>
  <si>
    <t>entity:SSC_VAV0040_Effective_Temp_Setpoint</t>
  </si>
  <si>
    <t>entity:SSC_VAV0040_Room_Temperature</t>
  </si>
  <si>
    <t>entity:SSC_VAV0040_Temperature_Setpoint</t>
  </si>
  <si>
    <t>entity:SSC_VAV0040_Occupancy_Status</t>
  </si>
  <si>
    <t>SSC VAV0040</t>
  </si>
  <si>
    <t>SSC_VAV0040</t>
  </si>
  <si>
    <t>SSC_VAV0040.AirFlow</t>
  </si>
  <si>
    <t>entity:SSC_VAV0040_Damper_Position</t>
  </si>
  <si>
    <t>SSC_VAV0040.DmprPos</t>
  </si>
  <si>
    <t>SSC_VAV0040.EffectiveSP</t>
  </si>
  <si>
    <t>SSC_VAV0040.OccSts</t>
  </si>
  <si>
    <t>SSC_VAV0040.RmTemp</t>
  </si>
  <si>
    <t>SSC_VAV0040.SP</t>
  </si>
  <si>
    <t>entity:SSC_VAV0041</t>
  </si>
  <si>
    <t>entity:SSC_VAV0041_Damper_Controller</t>
  </si>
  <si>
    <t>entity:SSC_VAV0041_Air_Flow_Sensor</t>
  </si>
  <si>
    <t>entity:SSC_VAV0041_ActiveState_CALC</t>
  </si>
  <si>
    <t>entity:SSC_VAV0041_TotalOperationDuration</t>
  </si>
  <si>
    <t>entity:SSC_VAV0041_Effective_Temp_Setpoint</t>
  </si>
  <si>
    <t>entity:SSC_VAV0041_Room_Temperature</t>
  </si>
  <si>
    <t>entity:SSC_VAV0041_Temperature_Setpoint</t>
  </si>
  <si>
    <t>entity:SSC_VAV0041_Occupancy_Status</t>
  </si>
  <si>
    <t>SSC VAV0041</t>
  </si>
  <si>
    <t>SSC_VAV0041</t>
  </si>
  <si>
    <t>SSC_VAV0041.AirFlow</t>
  </si>
  <si>
    <t>entity:SSC_VAV0041_Damper_Position</t>
  </si>
  <si>
    <t>SSC_VAV0041.DmprPos</t>
  </si>
  <si>
    <t>SSC_VAV0041.EffectiveSP</t>
  </si>
  <si>
    <t>SSC_VAV0041.OccSts</t>
  </si>
  <si>
    <t>SSC_VAV0041.RmTemp</t>
  </si>
  <si>
    <t>SSC_VAV0041.SP</t>
  </si>
  <si>
    <t>entity:SSC_VAV0042</t>
  </si>
  <si>
    <t>entity:SSC_VAV0042_Damper_Controller</t>
  </si>
  <si>
    <t>entity:SSC_VAV0042_Air_Flow_Sensor</t>
  </si>
  <si>
    <t>entity:SSC_VAV0042_ActiveState_CALC</t>
  </si>
  <si>
    <t>entity:SSC_VAV0042_TotalOperationDuration</t>
  </si>
  <si>
    <t>entity:SSC_VAV0042_Effective_Temp_Setpoint</t>
  </si>
  <si>
    <t>entity:SSC_VAV0042_Room_Temperature</t>
  </si>
  <si>
    <t>entity:SSC_VAV0042_Temperature_Setpoint</t>
  </si>
  <si>
    <t>entity:SSC_VAV0042_Occupancy_Status</t>
  </si>
  <si>
    <t>SSC VAV0042</t>
  </si>
  <si>
    <t>SSC_VAV0042</t>
  </si>
  <si>
    <t>SSC_VAV0042.AirFlow</t>
  </si>
  <si>
    <t>entity:SSC_VAV0042_Damper_Position</t>
  </si>
  <si>
    <t>SSC_VAV0042.DmprPos</t>
  </si>
  <si>
    <t>SSC_VAV0042.EffectiveSP</t>
  </si>
  <si>
    <t>SSC_VAV0042.OccSts</t>
  </si>
  <si>
    <t>SSC_VAV0042.RmTemp</t>
  </si>
  <si>
    <t>SSC_VAV0042.SP</t>
  </si>
  <si>
    <t>entity:SSC_VAV0043</t>
  </si>
  <si>
    <t>entity:SSC_VAV0043_Damper_Controller</t>
  </si>
  <si>
    <t>entity:SSC_VAV0043_Air_Flow_Sensor</t>
  </si>
  <si>
    <t>entity:SSC_VAV0043_ActiveState_CALC</t>
  </si>
  <si>
    <t>entity:SSC_VAV0043_TotalOperationDuration</t>
  </si>
  <si>
    <t>entity:SSC_VAV0043_Effective_Temp_Setpoint</t>
  </si>
  <si>
    <t>entity:SSC_VAV0043_Room_Temperature</t>
  </si>
  <si>
    <t>entity:SSC_VAV0043_Temperature_Setpoint</t>
  </si>
  <si>
    <t>entity:SSC_VAV0043_Occupancy_Status</t>
  </si>
  <si>
    <t>SSC VAV0043</t>
  </si>
  <si>
    <t>SSC_VAV0043</t>
  </si>
  <si>
    <t>SSC_VAV0043.AirFlow</t>
  </si>
  <si>
    <t>entity:SSC_VAV0043_Damper_Position</t>
  </si>
  <si>
    <t>SSC_VAV0043.DmprPos</t>
  </si>
  <si>
    <t>SSC_VAV0043.EffectiveSP</t>
  </si>
  <si>
    <t>SSC_VAV0043.OccSts</t>
  </si>
  <si>
    <t>SSC_VAV0043.RmTemp</t>
  </si>
  <si>
    <t>SSC_VAV0043.SP</t>
  </si>
  <si>
    <t>entity:SSC_VAV0044</t>
  </si>
  <si>
    <t>entity:SSC_VAV0044_Damper_Controller</t>
  </si>
  <si>
    <t>entity:SSC_VAV0044_Air_Flow_Sensor</t>
  </si>
  <si>
    <t>entity:SSC_VAV0044_ActiveState_CALC</t>
  </si>
  <si>
    <t>entity:SSC_VAV0044_TotalOperationDuration</t>
  </si>
  <si>
    <t>entity:SSC_VAV0044_Effective_Temp_Setpoint</t>
  </si>
  <si>
    <t>entity:SSC_VAV0044_Room_Temperature</t>
  </si>
  <si>
    <t>entity:SSC_VAV0044_Temperature_Setpoint</t>
  </si>
  <si>
    <t>entity:SSC_VAV0044_Occupancy_Status</t>
  </si>
  <si>
    <t>SSC VAV0044</t>
  </si>
  <si>
    <t>SSC_VAV0044</t>
  </si>
  <si>
    <t>SSC_VAV0044.AirFlow</t>
  </si>
  <si>
    <t>entity:SSC_VAV0044_Damper_Position</t>
  </si>
  <si>
    <t>SSC_VAV0044.DmprPos</t>
  </si>
  <si>
    <t>SSC_VAV0044.EffectiveSP</t>
  </si>
  <si>
    <t>SSC_VAV0044.OccSts</t>
  </si>
  <si>
    <t>SSC_VAV0044.RmTemp</t>
  </si>
  <si>
    <t>SSC_VAV0044.SP</t>
  </si>
  <si>
    <t>entity:SSC_VAV0045</t>
  </si>
  <si>
    <t>entity:SSC_VAV0045_Damper_Controller</t>
  </si>
  <si>
    <t>entity:SSC_VAV0045_Air_Flow_Sensor</t>
  </si>
  <si>
    <t>entity:SSC_VAV0045_ActiveState_CALC</t>
  </si>
  <si>
    <t>entity:SSC_VAV0045_TotalOperationDuration</t>
  </si>
  <si>
    <t>entity:SSC_VAV0045_Effective_Temp_Setpoint</t>
  </si>
  <si>
    <t>entity:SSC_VAV0045_Room_Temperature</t>
  </si>
  <si>
    <t>entity:SSC_VAV0045_Temperature_Setpoint</t>
  </si>
  <si>
    <t>entity:SSC_VAV0045_Occupancy_Status</t>
  </si>
  <si>
    <t>SSC VAV0045</t>
  </si>
  <si>
    <t>SSC_VAV0045</t>
  </si>
  <si>
    <t>SSC_VAV0045.AirFlow</t>
  </si>
  <si>
    <t>entity:SSC_VAV0045_Damper_Position</t>
  </si>
  <si>
    <t>SSC_VAV0045.DmprPos</t>
  </si>
  <si>
    <t>SSC_VAV0045.EffectiveSP</t>
  </si>
  <si>
    <t>SSC_VAV0045.OccSts</t>
  </si>
  <si>
    <t>SSC_VAV0045.RmTemp</t>
  </si>
  <si>
    <t>SSC_VAV0045.SP</t>
  </si>
  <si>
    <t>entity:SSC_VAV0046</t>
  </si>
  <si>
    <t>entity:SSC_VAV0046_Damper_Controller</t>
  </si>
  <si>
    <t>entity:SSC_VAV0046_Air_Flow_Sensor</t>
  </si>
  <si>
    <t>entity:SSC_VAV0046_ActiveState_CALC</t>
  </si>
  <si>
    <t>entity:SSC_VAV0046_TotalOperationDuration</t>
  </si>
  <si>
    <t>entity:SSC_VAV0046_Effective_Temp_Setpoint</t>
  </si>
  <si>
    <t>entity:SSC_VAV0046_Room_Temperature</t>
  </si>
  <si>
    <t>entity:SSC_VAV0046_Temperature_Setpoint</t>
  </si>
  <si>
    <t>entity:SSC_VAV0046_Occupancy_Status</t>
  </si>
  <si>
    <t>SSC VAV0046</t>
  </si>
  <si>
    <t>SSC_VAV0046</t>
  </si>
  <si>
    <t>SSC_VAV0046.AirFlow</t>
  </si>
  <si>
    <t>entity:SSC_VAV0046_Damper_Position</t>
  </si>
  <si>
    <t>SSC_VAV0046.DmprPos</t>
  </si>
  <si>
    <t>SSC_VAV0046.EffectiveSP</t>
  </si>
  <si>
    <t>SSC_VAV0046.OccSts</t>
  </si>
  <si>
    <t>SSC_VAV0046.RmTemp</t>
  </si>
  <si>
    <t>SSC_VAV0046.SP</t>
  </si>
  <si>
    <t>entity:SSC_VAV0047</t>
  </si>
  <si>
    <t>entity:SSC_VAV0047_Damper_Controller</t>
  </si>
  <si>
    <t>entity:SSC_VAV0047_Air_Flow_Sensor</t>
  </si>
  <si>
    <t>entity:SSC_VAV0047_ActiveState_CALC</t>
  </si>
  <si>
    <t>entity:SSC_VAV0047_TotalOperationDuration</t>
  </si>
  <si>
    <t>entity:SSC_VAV0047_Effective_Temp_Setpoint</t>
  </si>
  <si>
    <t>entity:SSC_VAV0047_Room_Temperature</t>
  </si>
  <si>
    <t>entity:SSC_VAV0047_Temperature_Setpoint</t>
  </si>
  <si>
    <t>entity:SSC_VAV0047_Occupancy_Status</t>
  </si>
  <si>
    <t>SSC VAV0047</t>
  </si>
  <si>
    <t>SSC_VAV0047</t>
  </si>
  <si>
    <t>SSC_VAV0047.AirFlow</t>
  </si>
  <si>
    <t>entity:SSC_VAV0047_Damper_Position</t>
  </si>
  <si>
    <t>SSC_VAV0047.DmprPos</t>
  </si>
  <si>
    <t>SSC_VAV0047.EffectiveSP</t>
  </si>
  <si>
    <t>SSC_VAV0047.OccSts</t>
  </si>
  <si>
    <t>SSC_VAV0047.RmTemp</t>
  </si>
  <si>
    <t>SSC_VAV0047.SP</t>
  </si>
  <si>
    <t>entity:SSC_VAV0048</t>
  </si>
  <si>
    <t>entity:SSC_VAV0048_Damper_Controller</t>
  </si>
  <si>
    <t>entity:SSC_VAV0048_Air_Flow_Sensor</t>
  </si>
  <si>
    <t>entity:SSC_VAV0048_ActiveState_CALC</t>
  </si>
  <si>
    <t>entity:SSC_VAV0048_TotalOperationDuration</t>
  </si>
  <si>
    <t>entity:SSC_VAV0048_Effective_Temp_Setpoint</t>
  </si>
  <si>
    <t>entity:SSC_VAV0048_Room_Temperature</t>
  </si>
  <si>
    <t>entity:SSC_VAV0048_Temperature_Setpoint</t>
  </si>
  <si>
    <t>entity:SSC_VAV0048_Occupancy_Status</t>
  </si>
  <si>
    <t>SSC VAV0048</t>
  </si>
  <si>
    <t>SSC_VAV0048</t>
  </si>
  <si>
    <t>SSC_VAV0048.AirFlow</t>
  </si>
  <si>
    <t>entity:SSC_VAV0048_Damper_Position</t>
  </si>
  <si>
    <t>SSC_VAV0048.DmprPos</t>
  </si>
  <si>
    <t>SSC_VAV0048.EffectiveSP</t>
  </si>
  <si>
    <t>SSC_VAV0048.OccSts</t>
  </si>
  <si>
    <t>SSC_VAV0048.RmTemp</t>
  </si>
  <si>
    <t>SSC_VAV0048.SP</t>
  </si>
  <si>
    <t>entity:SSC_VAV0049</t>
  </si>
  <si>
    <t>entity:SSC_VAV0049_Damper_Controller</t>
  </si>
  <si>
    <t>entity:SSC_VAV0049_Air_Flow_Sensor</t>
  </si>
  <si>
    <t>entity:SSC_VAV0049_ActiveState_CALC</t>
  </si>
  <si>
    <t>entity:SSC_VAV0049_TotalOperationDuration</t>
  </si>
  <si>
    <t>entity:SSC_VAV0049_Effective_Temp_Setpoint</t>
  </si>
  <si>
    <t>entity:SSC_VAV0049_Room_Temperature</t>
  </si>
  <si>
    <t>entity:SSC_VAV0049_Temperature_Setpoint</t>
  </si>
  <si>
    <t>entity:SSC_VAV0049_Occupancy_Status</t>
  </si>
  <si>
    <t>SSC VAV0049</t>
  </si>
  <si>
    <t>SSC_VAV0049</t>
  </si>
  <si>
    <t>SSC_VAV0049.AirFlow</t>
  </si>
  <si>
    <t>entity:SSC_VAV0049_Damper_Position</t>
  </si>
  <si>
    <t>SSC_VAV0049.DmprPos</t>
  </si>
  <si>
    <t>SSC_VAV0049.EffectiveSP</t>
  </si>
  <si>
    <t>SSC_VAV0049.OccSts</t>
  </si>
  <si>
    <t>SSC_VAV0049.RmTemp</t>
  </si>
  <si>
    <t>SSC_VAV0049.SP</t>
  </si>
  <si>
    <t>entity:SSC_VAV0050</t>
  </si>
  <si>
    <t>entity:SSC_VAV0050_Damper_Controller</t>
  </si>
  <si>
    <t>entity:SSC_VAV0050_Air_Flow_Sensor</t>
  </si>
  <si>
    <t>entity:SSC_VAV0050_ActiveState_CALC</t>
  </si>
  <si>
    <t>entity:SSC_VAV0050_TotalOperationDuration</t>
  </si>
  <si>
    <t>entity:SSC_VAV0050_Effective_Temp_Setpoint</t>
  </si>
  <si>
    <t>entity:SSC_VAV0050_Room_Temperature</t>
  </si>
  <si>
    <t>entity:SSC_VAV0050_Temperature_Setpoint</t>
  </si>
  <si>
    <t>entity:SSC_VAV0050_Occupancy_Status</t>
  </si>
  <si>
    <t>SSC VAV0050</t>
  </si>
  <si>
    <t>SSC_VAV0050</t>
  </si>
  <si>
    <t>SSC_VAV0050.AirFlow</t>
  </si>
  <si>
    <t>entity:SSC_VAV0050_Damper_Position</t>
  </si>
  <si>
    <t>SSC_VAV0050.DmprPos</t>
  </si>
  <si>
    <t>SSC_VAV0050.EffectiveSP</t>
  </si>
  <si>
    <t>SSC_VAV0050.OccSts</t>
  </si>
  <si>
    <t>SSC_VAV0050.RmTemp</t>
  </si>
  <si>
    <t>SSC_VAV0050.SP</t>
  </si>
  <si>
    <t>entity:SSC_VAV0051</t>
  </si>
  <si>
    <t>entity:SSC_VAV0051_Damper_Controller</t>
  </si>
  <si>
    <t>entity:SSC_VAV0051_Air_Flow_Sensor</t>
  </si>
  <si>
    <t>entity:SSC_VAV0051_ActiveState_CALC</t>
  </si>
  <si>
    <t>entity:SSC_VAV0051_TotalOperationDuration</t>
  </si>
  <si>
    <t>entity:SSC_VAV0051_Effective_Temp_Setpoint</t>
  </si>
  <si>
    <t>entity:SSC_VAV0051_Room_Temperature</t>
  </si>
  <si>
    <t>entity:SSC_VAV0051_Temperature_Setpoint</t>
  </si>
  <si>
    <t>entity:SSC_VAV0051_Occupancy_Status</t>
  </si>
  <si>
    <t>SSC VAV0051</t>
  </si>
  <si>
    <t>SSC_VAV0051</t>
  </si>
  <si>
    <t>SSC_VAV0051.AirFlow</t>
  </si>
  <si>
    <t>entity:SSC_VAV0051_Damper_Position</t>
  </si>
  <si>
    <t>SSC_VAV0051.DmprPos</t>
  </si>
  <si>
    <t>SSC_VAV0051.EffectiveSP</t>
  </si>
  <si>
    <t>SSC_VAV0051.OccSts</t>
  </si>
  <si>
    <t>SSC_VAV0051.RmTemp</t>
  </si>
  <si>
    <t>SSC_VAV0051.SP</t>
  </si>
  <si>
    <t>entity:SSC_VAV0052</t>
  </si>
  <si>
    <t>entity:SSC_VAV0052_Damper_Controller</t>
  </si>
  <si>
    <t>entity:SSC_VAV0052_Air_Flow_Sensor</t>
  </si>
  <si>
    <t>entity:SSC_VAV0052_ActiveState_CALC</t>
  </si>
  <si>
    <t>entity:SSC_VAV0052_TotalOperationDuration</t>
  </si>
  <si>
    <t>entity:SSC_VAV0052_Effective_Temp_Setpoint</t>
  </si>
  <si>
    <t>entity:SSC_VAV0052_Room_Temperature</t>
  </si>
  <si>
    <t>entity:SSC_VAV0052_Temperature_Setpoint</t>
  </si>
  <si>
    <t>entity:SSC_VAV0052_Occupancy_Status</t>
  </si>
  <si>
    <t>SSC VAV0052</t>
  </si>
  <si>
    <t>SSC_VAV0052</t>
  </si>
  <si>
    <t>SSC_VAV0052.AirFlow</t>
  </si>
  <si>
    <t>entity:SSC_VAV0052_Damper_Position</t>
  </si>
  <si>
    <t>SSC_VAV0052.DmprPos</t>
  </si>
  <si>
    <t>SSC_VAV0052.EffectiveSP</t>
  </si>
  <si>
    <t>SSC_VAV0052.OccSts</t>
  </si>
  <si>
    <t>SSC_VAV0052.RmTemp</t>
  </si>
  <si>
    <t>SSC_VAV0052.SP</t>
  </si>
  <si>
    <t>entity:SSC_VAV0053</t>
  </si>
  <si>
    <t>entity:SSC_VAV0053_Damper_Controller</t>
  </si>
  <si>
    <t>entity:SSC_VAV0053_Air_Flow_Sensor</t>
  </si>
  <si>
    <t>entity:SSC_VAV0053_ActiveState_CALC</t>
  </si>
  <si>
    <t>entity:SSC_VAV0053_TotalOperationDuration</t>
  </si>
  <si>
    <t>entity:SSC_VAV0053_Effective_Temp_Setpoint</t>
  </si>
  <si>
    <t>entity:SSC_VAV0053_Room_Temperature</t>
  </si>
  <si>
    <t>entity:SSC_VAV0053_Temperature_Setpoint</t>
  </si>
  <si>
    <t>entity:SSC_VAV0053_Occupancy_Status</t>
  </si>
  <si>
    <t>SSC VAV0053</t>
  </si>
  <si>
    <t>SSC_VAV0053</t>
  </si>
  <si>
    <t>SSC_VAV0053.AirFlow</t>
  </si>
  <si>
    <t>entity:SSC_VAV0053_Damper_Position</t>
  </si>
  <si>
    <t>SSC_VAV0053.DmprPos</t>
  </si>
  <si>
    <t>SSC_VAV0053.EffectiveSP</t>
  </si>
  <si>
    <t>SSC_VAV0053.OccSts</t>
  </si>
  <si>
    <t>SSC_VAV0053.RmTemp</t>
  </si>
  <si>
    <t>SSC_VAV0053.SP</t>
  </si>
  <si>
    <t>entity:SSC_VAV0054</t>
  </si>
  <si>
    <t>entity:SSC_VAV0054_Damper_Controller</t>
  </si>
  <si>
    <t>entity:SSC_VAV0054_Air_Flow_Sensor</t>
  </si>
  <si>
    <t>entity:SSC_VAV0054_ActiveState_CALC</t>
  </si>
  <si>
    <t>entity:SSC_VAV0054_TotalOperationDuration</t>
  </si>
  <si>
    <t>entity:SSC_VAV0054_Effective_Temp_Setpoint</t>
  </si>
  <si>
    <t>entity:SSC_VAV0054_Room_Temperature</t>
  </si>
  <si>
    <t>entity:SSC_VAV0054_Temperature_Setpoint</t>
  </si>
  <si>
    <t>entity:SSC_VAV0054_Occupancy_Status</t>
  </si>
  <si>
    <t>SSC VAV0054</t>
  </si>
  <si>
    <t>SSC_VAV0054</t>
  </si>
  <si>
    <t>SSC_VAV0054.AirFlow</t>
  </si>
  <si>
    <t>entity:SSC_VAV0054_Damper_Position</t>
  </si>
  <si>
    <t>SSC_VAV0054.DmprPos</t>
  </si>
  <si>
    <t>SSC_VAV0054.EffectiveSP</t>
  </si>
  <si>
    <t>SSC_VAV0054.OccSts</t>
  </si>
  <si>
    <t>SSC_VAV0054.RmTemp</t>
  </si>
  <si>
    <t>SSC_VAV0054.SP</t>
  </si>
  <si>
    <t>entity:SSC_VAV0055</t>
  </si>
  <si>
    <t>entity:SSC_VAV0055_Damper_Controller</t>
  </si>
  <si>
    <t>entity:SSC_VAV0055_Air_Flow_Sensor</t>
  </si>
  <si>
    <t>entity:SSC_VAV0055_ActiveState_CALC</t>
  </si>
  <si>
    <t>entity:SSC_VAV0055_TotalOperationDuration</t>
  </si>
  <si>
    <t>entity:SSC_VAV0055_Effective_Temp_Setpoint</t>
  </si>
  <si>
    <t>entity:SSC_VAV0055_Room_Temperature</t>
  </si>
  <si>
    <t>entity:SSC_VAV0055_Temperature_Setpoint</t>
  </si>
  <si>
    <t>entity:SSC_VAV0055_Occupancy_Status</t>
  </si>
  <si>
    <t>SSC VAV0055</t>
  </si>
  <si>
    <t>SSC_VAV0055</t>
  </si>
  <si>
    <t>SSC_VAV0055.AirFlow</t>
  </si>
  <si>
    <t>entity:SSC_VAV0055_Damper_Position</t>
  </si>
  <si>
    <t>SSC_VAV0055.DmprPos</t>
  </si>
  <si>
    <t>SSC_VAV0055.EffectiveSP</t>
  </si>
  <si>
    <t>SSC_VAV0055.OccSts</t>
  </si>
  <si>
    <t>SSC_VAV0055.RmTemp</t>
  </si>
  <si>
    <t>SSC_VAV0055.SP</t>
  </si>
  <si>
    <t>entity:SSC_VAV0056</t>
  </si>
  <si>
    <t>entity:SSC_VAV0056_Damper_Controller</t>
  </si>
  <si>
    <t>entity:SSC_VAV0056_Air_Flow_Sensor</t>
  </si>
  <si>
    <t>entity:SSC_VAV0056_ActiveState_CALC</t>
  </si>
  <si>
    <t>entity:SSC_VAV0056_TotalOperationDuration</t>
  </si>
  <si>
    <t>entity:SSC_VAV0056_Effective_Temp_Setpoint</t>
  </si>
  <si>
    <t>entity:SSC_VAV0056_Room_Temperature</t>
  </si>
  <si>
    <t>entity:SSC_VAV0056_Temperature_Setpoint</t>
  </si>
  <si>
    <t>entity:SSC_VAV0056_Occupancy_Status</t>
  </si>
  <si>
    <t>SSC VAV0056</t>
  </si>
  <si>
    <t>SSC_VAV0056</t>
  </si>
  <si>
    <t>SSC_VAV0056.AirFlow</t>
  </si>
  <si>
    <t>entity:SSC_VAV0056_Damper_Position</t>
  </si>
  <si>
    <t>SSC_VAV0056.DmprPos</t>
  </si>
  <si>
    <t>SSC_VAV0056.EffectiveSP</t>
  </si>
  <si>
    <t>SSC_VAV0056.OccSts</t>
  </si>
  <si>
    <t>SSC_VAV0056.RmTemp</t>
  </si>
  <si>
    <t>SSC_VAV0056.SP</t>
  </si>
  <si>
    <t>entity:SSC_VAV0057</t>
  </si>
  <si>
    <t>entity:SSC_VAV0057_Damper_Controller</t>
  </si>
  <si>
    <t>entity:SSC_VAV0057_Air_Flow_Sensor</t>
  </si>
  <si>
    <t>entity:SSC_VAV0057_ActiveState_CALC</t>
  </si>
  <si>
    <t>entity:SSC_VAV0057_TotalOperationDuration</t>
  </si>
  <si>
    <t>entity:SSC_VAV0057_Effective_Temp_Setpoint</t>
  </si>
  <si>
    <t>entity:SSC_VAV0057_Room_Temperature</t>
  </si>
  <si>
    <t>entity:SSC_VAV0057_Temperature_Setpoint</t>
  </si>
  <si>
    <t>entity:SSC_VAV0057_Occupancy_Status</t>
  </si>
  <si>
    <t>SSC VAV0057</t>
  </si>
  <si>
    <t>SSC_VAV0057</t>
  </si>
  <si>
    <t>SSC_VAV0057.AirFlow</t>
  </si>
  <si>
    <t>entity:SSC_VAV0057_Damper_Position</t>
  </si>
  <si>
    <t>SSC_VAV0057.DmprPos</t>
  </si>
  <si>
    <t>SSC_VAV0057.EffectiveSP</t>
  </si>
  <si>
    <t>SSC_VAV0057.OccSts</t>
  </si>
  <si>
    <t>SSC_VAV0057.RmTemp</t>
  </si>
  <si>
    <t>SSC_VAV0057.SP</t>
  </si>
  <si>
    <t>entity:SSC_VAV0058</t>
  </si>
  <si>
    <t>entity:SSC_VAV0058_Damper_Controller</t>
  </si>
  <si>
    <t>entity:SSC_VAV0058_Air_Flow_Sensor</t>
  </si>
  <si>
    <t>entity:SSC_VAV0058_ActiveState_CALC</t>
  </si>
  <si>
    <t>entity:SSC_VAV0058_TotalOperationDuration</t>
  </si>
  <si>
    <t>entity:SSC_VAV0058_Effective_Temp_Setpoint</t>
  </si>
  <si>
    <t>entity:SSC_VAV0058_Room_Temperature</t>
  </si>
  <si>
    <t>entity:SSC_VAV0058_Temperature_Setpoint</t>
  </si>
  <si>
    <t>entity:SSC_VAV0058_Occupancy_Status</t>
  </si>
  <si>
    <t>SSC VAV0058</t>
  </si>
  <si>
    <t>SSC_VAV0058</t>
  </si>
  <si>
    <t>SSC_VAV0058.AirFlow</t>
  </si>
  <si>
    <t>entity:SSC_VAV0058_Damper_Position</t>
  </si>
  <si>
    <t>SSC_VAV0058.DmprPos</t>
  </si>
  <si>
    <t>SSC_VAV0058.EffectiveSP</t>
  </si>
  <si>
    <t>SSC_VAV0058.OccSts</t>
  </si>
  <si>
    <t>SSC_VAV0058.RmTemp</t>
  </si>
  <si>
    <t>SSC_VAV0058.SP</t>
  </si>
  <si>
    <t>entity:SSC_VAV0059</t>
  </si>
  <si>
    <t>entity:SSC_VAV0059_Damper_Controller</t>
  </si>
  <si>
    <t>entity:SSC_VAV0059_Air_Flow_Sensor</t>
  </si>
  <si>
    <t>entity:SSC_VAV0059_ActiveState_CALC</t>
  </si>
  <si>
    <t>entity:SSC_VAV0059_TotalOperationDuration</t>
  </si>
  <si>
    <t>entity:SSC_VAV0059_Effective_Temp_Setpoint</t>
  </si>
  <si>
    <t>entity:SSC_VAV0059_Room_Temperature</t>
  </si>
  <si>
    <t>entity:SSC_VAV0059_Temperature_Setpoint</t>
  </si>
  <si>
    <t>entity:SSC_VAV0059_Occupancy_Status</t>
  </si>
  <si>
    <t>SSC VAV0059</t>
  </si>
  <si>
    <t>SSC_VAV0059</t>
  </si>
  <si>
    <t>SSC_VAV0059.AirFlow</t>
  </si>
  <si>
    <t>entity:SSC_VAV0059_Damper_Position</t>
  </si>
  <si>
    <t>SSC_VAV0059.DmprPos</t>
  </si>
  <si>
    <t>SSC_VAV0059.EffectiveSP</t>
  </si>
  <si>
    <t>SSC_VAV0059.OccSts</t>
  </si>
  <si>
    <t>SSC_VAV0059.RmTemp</t>
  </si>
  <si>
    <t>SSC_VAV0059.SP</t>
  </si>
  <si>
    <t>entity:SSC_VAV0060</t>
  </si>
  <si>
    <t>entity:SSC_VAV0060_Damper_Controller</t>
  </si>
  <si>
    <t>entity:SSC_VAV0060_Air_Flow_Sensor</t>
  </si>
  <si>
    <t>entity:SSC_VAV0060_ActiveState_CALC</t>
  </si>
  <si>
    <t>entity:SSC_VAV0060_TotalOperationDuration</t>
  </si>
  <si>
    <t>entity:SSC_VAV0060_Effective_Temp_Setpoint</t>
  </si>
  <si>
    <t>entity:SSC_VAV0060_Room_Temperature</t>
  </si>
  <si>
    <t>entity:SSC_VAV0060_Temperature_Setpoint</t>
  </si>
  <si>
    <t>entity:SSC_VAV0060_Occupancy_Status</t>
  </si>
  <si>
    <t>SSC VAV0060</t>
  </si>
  <si>
    <t>SSC_VAV0060</t>
  </si>
  <si>
    <t>SSC_VAV0060.AirFlow</t>
  </si>
  <si>
    <t>entity:SSC_VAV0060_Damper_Position</t>
  </si>
  <si>
    <t>SSC_VAV0060.DmprPos</t>
  </si>
  <si>
    <t>SSC_VAV0060.EffectiveSP</t>
  </si>
  <si>
    <t>SSC_VAV0060.OccSts</t>
  </si>
  <si>
    <t>SSC_VAV0060.RmTemp</t>
  </si>
  <si>
    <t>SSC_VAV0060.SP</t>
  </si>
  <si>
    <t>entity:SSC_VAV0061</t>
  </si>
  <si>
    <t>entity:SSC_VAV0061_Damper_Controller</t>
  </si>
  <si>
    <t>entity:SSC_VAV0061_Air_Flow_Sensor</t>
  </si>
  <si>
    <t>entity:SSC_VAV0061_ActiveState_CALC</t>
  </si>
  <si>
    <t>entity:SSC_VAV0061_TotalOperationDuration</t>
  </si>
  <si>
    <t>entity:SSC_VAV0061_Effective_Temp_Setpoint</t>
  </si>
  <si>
    <t>entity:SSC_VAV0061_Room_Temperature</t>
  </si>
  <si>
    <t>entity:SSC_VAV0061_Temperature_Setpoint</t>
  </si>
  <si>
    <t>entity:SSC_VAV0061_Occupancy_Status</t>
  </si>
  <si>
    <t>SSC VAV0061</t>
  </si>
  <si>
    <t>SSC_VAV0061</t>
  </si>
  <si>
    <t>SSC_VAV0061.AirFlow</t>
  </si>
  <si>
    <t>entity:SSC_VAV0061_Damper_Position</t>
  </si>
  <si>
    <t>SSC_VAV0061.DmprPos</t>
  </si>
  <si>
    <t>SSC_VAV0061.EffectiveSP</t>
  </si>
  <si>
    <t>SSC_VAV0061.OccSts</t>
  </si>
  <si>
    <t>SSC_VAV0061.RmTemp</t>
  </si>
  <si>
    <t>SSC_VAV0061.SP</t>
  </si>
  <si>
    <t>entity:SSC_VAV0062</t>
  </si>
  <si>
    <t>entity:SSC_VAV0062_Damper_Controller</t>
  </si>
  <si>
    <t>entity:SSC_VAV0062_Air_Flow_Sensor</t>
  </si>
  <si>
    <t>entity:SSC_VAV0062_ActiveState_CALC</t>
  </si>
  <si>
    <t>entity:SSC_VAV0062_TotalOperationDuration</t>
  </si>
  <si>
    <t>entity:SSC_VAV0062_Effective_Temp_Setpoint</t>
  </si>
  <si>
    <t>entity:SSC_VAV0062_Room_Temperature</t>
  </si>
  <si>
    <t>entity:SSC_VAV0062_Temperature_Setpoint</t>
  </si>
  <si>
    <t>entity:SSC_VAV0062_Occupancy_Status</t>
  </si>
  <si>
    <t>SSC VAV0062</t>
  </si>
  <si>
    <t>SSC_VAV0062</t>
  </si>
  <si>
    <t>SSC_VAV0062.AirFlow</t>
  </si>
  <si>
    <t>entity:SSC_VAV0062_Damper_Position</t>
  </si>
  <si>
    <t>SSC_VAV0062.DmprPos</t>
  </si>
  <si>
    <t>SSC_VAV0062.EffectiveSP</t>
  </si>
  <si>
    <t>SSC_VAV0062.OccSts</t>
  </si>
  <si>
    <t>SSC_VAV0062.RmTemp</t>
  </si>
  <si>
    <t>SSC_VAV0062.SP</t>
  </si>
  <si>
    <t>entity:SSC_VAV0063</t>
  </si>
  <si>
    <t>entity:SSC_VAV0063_Damper_Controller</t>
  </si>
  <si>
    <t>entity:SSC_VAV0063_Air_Flow_Sensor</t>
  </si>
  <si>
    <t>entity:SSC_VAV0063_ActiveState_CALC</t>
  </si>
  <si>
    <t>entity:SSC_VAV0063_TotalOperationDuration</t>
  </si>
  <si>
    <t>entity:SSC_VAV0063_Effective_Temp_Setpoint</t>
  </si>
  <si>
    <t>entity:SSC_VAV0063_Room_Temperature</t>
  </si>
  <si>
    <t>entity:SSC_VAV0063_Temperature_Setpoint</t>
  </si>
  <si>
    <t>entity:SSC_VAV0063_Occupancy_Status</t>
  </si>
  <si>
    <t>SSC VAV0063</t>
  </si>
  <si>
    <t>SSC_VAV0063</t>
  </si>
  <si>
    <t>SSC_VAV0063.AirFlow</t>
  </si>
  <si>
    <t>entity:SSC_VAV0063_Damper_Position</t>
  </si>
  <si>
    <t>SSC_VAV0063.DmprPos</t>
  </si>
  <si>
    <t>SSC_VAV0063.EffectiveSP</t>
  </si>
  <si>
    <t>SSC_VAV0063.OccSts</t>
  </si>
  <si>
    <t>SSC_VAV0063.RmTemp</t>
  </si>
  <si>
    <t>SSC_VAV0063.SP</t>
  </si>
  <si>
    <t>entity:SSC_VAV0064</t>
  </si>
  <si>
    <t>entity:SSC_VAV0064_Damper_Controller</t>
  </si>
  <si>
    <t>entity:SSC_VAV0064_Air_Flow_Sensor</t>
  </si>
  <si>
    <t>entity:SSC_VAV0064_ActiveState_CALC</t>
  </si>
  <si>
    <t>entity:SSC_VAV0064_TotalOperationDuration</t>
  </si>
  <si>
    <t>entity:SSC_VAV0064_Effective_Temp_Setpoint</t>
  </si>
  <si>
    <t>entity:SSC_VAV0064_Room_Temperature</t>
  </si>
  <si>
    <t>entity:SSC_VAV0064_Temperature_Setpoint</t>
  </si>
  <si>
    <t>entity:SSC_VAV0064_Occupancy_Status</t>
  </si>
  <si>
    <t>SSC VAV0064</t>
  </si>
  <si>
    <t>SSC_VAV0064</t>
  </si>
  <si>
    <t>SSC_VAV0064.AirFlow</t>
  </si>
  <si>
    <t>entity:SSC_VAV0064_Damper_Position</t>
  </si>
  <si>
    <t>SSC_VAV0064.DmprPos</t>
  </si>
  <si>
    <t>SSC_VAV0064.EffectiveSP</t>
  </si>
  <si>
    <t>SSC_VAV0064.OccSts</t>
  </si>
  <si>
    <t>SSC_VAV0064.RmTemp</t>
  </si>
  <si>
    <t>SSC_VAV0064.SP</t>
  </si>
  <si>
    <t>entity:SSC_VAV0065</t>
  </si>
  <si>
    <t>entity:SSC_VAV0065_Damper_Controller</t>
  </si>
  <si>
    <t>entity:SSC_VAV0065_Air_Flow_Sensor</t>
  </si>
  <si>
    <t>entity:SSC_VAV0065_ActiveState_CALC</t>
  </si>
  <si>
    <t>entity:SSC_VAV0065_TotalOperationDuration</t>
  </si>
  <si>
    <t>entity:SSC_VAV0065_Effective_Temp_Setpoint</t>
  </si>
  <si>
    <t>entity:SSC_VAV0065_Room_Temperature</t>
  </si>
  <si>
    <t>entity:SSC_VAV0065_Temperature_Setpoint</t>
  </si>
  <si>
    <t>entity:SSC_VAV0065_Occupancy_Status</t>
  </si>
  <si>
    <t>SSC VAV0065</t>
  </si>
  <si>
    <t>SSC_VAV0065</t>
  </si>
  <si>
    <t>SSC_VAV0065.AirFlow</t>
  </si>
  <si>
    <t>entity:SSC_VAV0065_Damper_Position</t>
  </si>
  <si>
    <t>SSC_VAV0065.DmprPos</t>
  </si>
  <si>
    <t>SSC_VAV0065.EffectiveSP</t>
  </si>
  <si>
    <t>SSC_VAV0065.OccSts</t>
  </si>
  <si>
    <t>SSC_VAV0065.RmTemp</t>
  </si>
  <si>
    <t>SSC_VAV0065.SP</t>
  </si>
  <si>
    <t>entity:SSC_VAV0066</t>
  </si>
  <si>
    <t>entity:SSC_VAV0066_Damper_Controller</t>
  </si>
  <si>
    <t>entity:SSC_VAV0066_Air_Flow_Sensor</t>
  </si>
  <si>
    <t>entity:SSC_VAV0066_ActiveState_CALC</t>
  </si>
  <si>
    <t>entity:SSC_VAV0066_TotalOperationDuration</t>
  </si>
  <si>
    <t>entity:SSC_VAV0066_Effective_Temp_Setpoint</t>
  </si>
  <si>
    <t>entity:SSC_VAV0066_Room_Temperature</t>
  </si>
  <si>
    <t>entity:SSC_VAV0066_Temperature_Setpoint</t>
  </si>
  <si>
    <t>entity:SSC_VAV0066_Occupancy_Status</t>
  </si>
  <si>
    <t>SSC VAV0066</t>
  </si>
  <si>
    <t>SSC_VAV0066</t>
  </si>
  <si>
    <t>SSC_VAV0066.AirFlow</t>
  </si>
  <si>
    <t>entity:SSC_VAV0066_Damper_Position</t>
  </si>
  <si>
    <t>SSC_VAV0066.DmprPos</t>
  </si>
  <si>
    <t>SSC_VAV0066.EffectiveSP</t>
  </si>
  <si>
    <t>SSC_VAV0066.OccSts</t>
  </si>
  <si>
    <t>SSC_VAV0066.RmTemp</t>
  </si>
  <si>
    <t>SSC_VAV0066.SP</t>
  </si>
  <si>
    <t>entity:SSC_VAV0067</t>
  </si>
  <si>
    <t>entity:SSC_VAV0067_Damper_Controller</t>
  </si>
  <si>
    <t>entity:SSC_VAV0067_Air_Flow_Sensor</t>
  </si>
  <si>
    <t>entity:SSC_VAV0067_ActiveState_CALC</t>
  </si>
  <si>
    <t>entity:SSC_VAV0067_TotalOperationDuration</t>
  </si>
  <si>
    <t>entity:SSC_VAV0067_Effective_Temp_Setpoint</t>
  </si>
  <si>
    <t>entity:SSC_VAV0067_Room_Temperature</t>
  </si>
  <si>
    <t>entity:SSC_VAV0067_Temperature_Setpoint</t>
  </si>
  <si>
    <t>entity:SSC_VAV0067_Occupancy_Status</t>
  </si>
  <si>
    <t>SSC VAV0067</t>
  </si>
  <si>
    <t>SSC_VAV0067</t>
  </si>
  <si>
    <t>SSC_VAV0067.AirFlow</t>
  </si>
  <si>
    <t>entity:SSC_VAV0067_Damper_Position</t>
  </si>
  <si>
    <t>SSC_VAV0067.DmprPos</t>
  </si>
  <si>
    <t>SSC_VAV0067.EffectiveSP</t>
  </si>
  <si>
    <t>SSC_VAV0067.OccSts</t>
  </si>
  <si>
    <t>SSC_VAV0067.RmTemp</t>
  </si>
  <si>
    <t>SSC_VAV0067.SP</t>
  </si>
  <si>
    <t>entity:SSC_VAV0068</t>
  </si>
  <si>
    <t>entity:SSC_VAV0068_Damper_Controller</t>
  </si>
  <si>
    <t>entity:SSC_VAV0068_Air_Flow_Sensor</t>
  </si>
  <si>
    <t>entity:SSC_VAV0068_ActiveState_CALC</t>
  </si>
  <si>
    <t>entity:SSC_VAV0068_TotalOperationDuration</t>
  </si>
  <si>
    <t>entity:SSC_VAV0068_Effective_Temp_Setpoint</t>
  </si>
  <si>
    <t>entity:SSC_VAV0068_Room_Temperature</t>
  </si>
  <si>
    <t>entity:SSC_VAV0068_Temperature_Setpoint</t>
  </si>
  <si>
    <t>entity:SSC_VAV0068_Occupancy_Status</t>
  </si>
  <si>
    <t>SSC VAV0068</t>
  </si>
  <si>
    <t>SSC_VAV0068</t>
  </si>
  <si>
    <t>SSC_VAV0068.AirFlow</t>
  </si>
  <si>
    <t>entity:SSC_VAV0068_Damper_Position</t>
  </si>
  <si>
    <t>SSC_VAV0068.DmprPos</t>
  </si>
  <si>
    <t>SSC_VAV0068.EffectiveSP</t>
  </si>
  <si>
    <t>SSC_VAV0068.OccSts</t>
  </si>
  <si>
    <t>SSC_VAV0068.RmTemp</t>
  </si>
  <si>
    <t>SSC_VAV0068.SP</t>
  </si>
  <si>
    <t>entity:SSC_VAV0069</t>
  </si>
  <si>
    <t>entity:SSC_VAV0069_Damper_Controller</t>
  </si>
  <si>
    <t>entity:SSC_VAV0069_Air_Flow_Sensor</t>
  </si>
  <si>
    <t>entity:SSC_VAV0069_ActiveState_CALC</t>
  </si>
  <si>
    <t>entity:SSC_VAV0069_TotalOperationDuration</t>
  </si>
  <si>
    <t>entity:SSC_VAV0069_Effective_Temp_Setpoint</t>
  </si>
  <si>
    <t>entity:SSC_VAV0069_Room_Temperature</t>
  </si>
  <si>
    <t>entity:SSC_VAV0069_Temperature_Setpoint</t>
  </si>
  <si>
    <t>entity:SSC_VAV0069_Occupancy_Status</t>
  </si>
  <si>
    <t>SSC VAV0069</t>
  </si>
  <si>
    <t>SSC_VAV0069</t>
  </si>
  <si>
    <t>SSC_VAV0069.AirFlow</t>
  </si>
  <si>
    <t>entity:SSC_VAV0069_Damper_Position</t>
  </si>
  <si>
    <t>SSC_VAV0069.DmprPos</t>
  </si>
  <si>
    <t>SSC_VAV0069.EffectiveSP</t>
  </si>
  <si>
    <t>SSC_VAV0069.OccSts</t>
  </si>
  <si>
    <t>SSC_VAV0069.RmTemp</t>
  </si>
  <si>
    <t>SSC_VAV0069.SP</t>
  </si>
  <si>
    <t>entity:SSC_VAV0070</t>
  </si>
  <si>
    <t>entity:SSC_VAV0070_Damper_Controller</t>
  </si>
  <si>
    <t>entity:SSC_VAV0070_Air_Flow_Sensor</t>
  </si>
  <si>
    <t>entity:SSC_VAV0070_ActiveState_CALC</t>
  </si>
  <si>
    <t>entity:SSC_VAV0070_TotalOperationDuration</t>
  </si>
  <si>
    <t>entity:SSC_VAV0070_Effective_Temp_Setpoint</t>
  </si>
  <si>
    <t>entity:SSC_VAV0070_Room_Temperature</t>
  </si>
  <si>
    <t>entity:SSC_VAV0070_Temperature_Setpoint</t>
  </si>
  <si>
    <t>entity:SSC_VAV0070_Occupancy_Status</t>
  </si>
  <si>
    <t>SSC VAV0070</t>
  </si>
  <si>
    <t>SSC_VAV0070</t>
  </si>
  <si>
    <t>SSC_VAV0070.AirFlow</t>
  </si>
  <si>
    <t>entity:SSC_VAV0070_Damper_Position</t>
  </si>
  <si>
    <t>SSC_VAV0070.DmprPos</t>
  </si>
  <si>
    <t>SSC_VAV0070.EffectiveSP</t>
  </si>
  <si>
    <t>SSC_VAV0070.OccSts</t>
  </si>
  <si>
    <t>SSC_VAV0070.RmTemp</t>
  </si>
  <si>
    <t>SSC_VAV0070.SP</t>
  </si>
  <si>
    <t>entity:SSC_VAV0071</t>
  </si>
  <si>
    <t>entity:SSC_VAV0071_Damper_Controller</t>
  </si>
  <si>
    <t>entity:SSC_VAV0071_Air_Flow_Sensor</t>
  </si>
  <si>
    <t>entity:SSC_VAV0071_ActiveState_CALC</t>
  </si>
  <si>
    <t>entity:SSC_VAV0071_TotalOperationDuration</t>
  </si>
  <si>
    <t>entity:SSC_VAV0071_Effective_Temp_Setpoint</t>
  </si>
  <si>
    <t>entity:SSC_VAV0071_Room_Temperature</t>
  </si>
  <si>
    <t>entity:SSC_VAV0071_Temperature_Setpoint</t>
  </si>
  <si>
    <t>entity:SSC_VAV0071_Occupancy_Status</t>
  </si>
  <si>
    <t>SSC VAV0071</t>
  </si>
  <si>
    <t>SSC_VAV0071</t>
  </si>
  <si>
    <t>SSC_VAV0071.AirFlow</t>
  </si>
  <si>
    <t>entity:SSC_VAV0071_Damper_Position</t>
  </si>
  <si>
    <t>SSC_VAV0071.DmprPos</t>
  </si>
  <si>
    <t>SSC_VAV0071.EffectiveSP</t>
  </si>
  <si>
    <t>SSC_VAV0071.OccSts</t>
  </si>
  <si>
    <t>SSC_VAV0071.RmTemp</t>
  </si>
  <si>
    <t>SSC_VAV0071.SP</t>
  </si>
  <si>
    <t>entity:SSC_VAV0072</t>
  </si>
  <si>
    <t>entity:SSC_VAV0072_Damper_Controller</t>
  </si>
  <si>
    <t>entity:SSC_VAV0072_Air_Flow_Sensor</t>
  </si>
  <si>
    <t>entity:SSC_VAV0072_ActiveState_CALC</t>
  </si>
  <si>
    <t>entity:SSC_VAV0072_TotalOperationDuration</t>
  </si>
  <si>
    <t>entity:SSC_VAV0072_Effective_Temp_Setpoint</t>
  </si>
  <si>
    <t>entity:SSC_VAV0072_Room_Temperature</t>
  </si>
  <si>
    <t>entity:SSC_VAV0072_Temperature_Setpoint</t>
  </si>
  <si>
    <t>entity:SSC_VAV0072_Occupancy_Status</t>
  </si>
  <si>
    <t>SSC VAV0072</t>
  </si>
  <si>
    <t>SSC_VAV0072</t>
  </si>
  <si>
    <t>SSC_VAV0072.AirFlow</t>
  </si>
  <si>
    <t>entity:SSC_VAV0072_Damper_Position</t>
  </si>
  <si>
    <t>SSC_VAV0072.DmprPos</t>
  </si>
  <si>
    <t>SSC_VAV0072.EffectiveSP</t>
  </si>
  <si>
    <t>SSC_VAV0072.OccSts</t>
  </si>
  <si>
    <t>SSC_VAV0072.RmTemp</t>
  </si>
  <si>
    <t>SSC_VAV0072.SP</t>
  </si>
  <si>
    <t>entity:SSC_VAV0073</t>
  </si>
  <si>
    <t>entity:SSC_VAV0073_Damper_Controller</t>
  </si>
  <si>
    <t>entity:SSC_VAV0073_Air_Flow_Sensor</t>
  </si>
  <si>
    <t>entity:SSC_VAV0073_ActiveState_CALC</t>
  </si>
  <si>
    <t>entity:SSC_VAV0073_TotalOperationDuration</t>
  </si>
  <si>
    <t>entity:SSC_VAV0073_Effective_Temp_Setpoint</t>
  </si>
  <si>
    <t>entity:SSC_VAV0073_Room_Temperature</t>
  </si>
  <si>
    <t>entity:SSC_VAV0073_Temperature_Setpoint</t>
  </si>
  <si>
    <t>entity:SSC_VAV0073_Occupancy_Status</t>
  </si>
  <si>
    <t>SSC VAV0073</t>
  </si>
  <si>
    <t>SSC_VAV0073</t>
  </si>
  <si>
    <t>SSC_VAV0073.AirFlow</t>
  </si>
  <si>
    <t>entity:SSC_VAV0073_Damper_Position</t>
  </si>
  <si>
    <t>SSC_VAV0073.DmprPos</t>
  </si>
  <si>
    <t>SSC_VAV0073.EffectiveSP</t>
  </si>
  <si>
    <t>SSC_VAV0073.OccSts</t>
  </si>
  <si>
    <t>SSC_VAV0073.RmTemp</t>
  </si>
  <si>
    <t>SSC_VAV0073.SP</t>
  </si>
  <si>
    <t>entity:SSC_VAV0074</t>
  </si>
  <si>
    <t>entity:SSC_VAV0074_Damper_Controller</t>
  </si>
  <si>
    <t>entity:SSC_VAV0074_Air_Flow_Sensor</t>
  </si>
  <si>
    <t>entity:SSC_VAV0074_ActiveState_CALC</t>
  </si>
  <si>
    <t>entity:SSC_VAV0074_TotalOperationDuration</t>
  </si>
  <si>
    <t>entity:SSC_VAV0074_Effective_Temp_Setpoint</t>
  </si>
  <si>
    <t>entity:SSC_VAV0074_Room_Temperature</t>
  </si>
  <si>
    <t>entity:SSC_VAV0074_Temperature_Setpoint</t>
  </si>
  <si>
    <t>entity:SSC_VAV0074_Occupancy_Status</t>
  </si>
  <si>
    <t>SSC VAV0074</t>
  </si>
  <si>
    <t>SSC_VAV0074</t>
  </si>
  <si>
    <t>SSC_VAV0074.AirFlow</t>
  </si>
  <si>
    <t>entity:SSC_VAV0074_Damper_Position</t>
  </si>
  <si>
    <t>SSC_VAV0074.DmprPos</t>
  </si>
  <si>
    <t>SSC_VAV0074.EffectiveSP</t>
  </si>
  <si>
    <t>SSC_VAV0074.OccSts</t>
  </si>
  <si>
    <t>SSC_VAV0074.RmTemp</t>
  </si>
  <si>
    <t>SSC_VAV0074.SP</t>
  </si>
  <si>
    <t>entity:SSC_VAV0075</t>
  </si>
  <si>
    <t>entity:SSC_VAV0075_Damper_Controller</t>
  </si>
  <si>
    <t>entity:SSC_VAV0075_Air_Flow_Sensor</t>
  </si>
  <si>
    <t>entity:SSC_VAV0075_ActiveState_CALC</t>
  </si>
  <si>
    <t>entity:SSC_VAV0075_TotalOperationDuration</t>
  </si>
  <si>
    <t>entity:SSC_VAV0075_Effective_Temp_Setpoint</t>
  </si>
  <si>
    <t>entity:SSC_VAV0075_Room_Temperature</t>
  </si>
  <si>
    <t>entity:SSC_VAV0075_Temperature_Setpoint</t>
  </si>
  <si>
    <t>entity:SSC_VAV0075_Occupancy_Status</t>
  </si>
  <si>
    <t>SSC VAV0075</t>
  </si>
  <si>
    <t>SSC_VAV0075</t>
  </si>
  <si>
    <t>SSC_VAV0075.AirFlow</t>
  </si>
  <si>
    <t>entity:SSC_VAV0075_Damper_Position</t>
  </si>
  <si>
    <t>SSC_VAV0075.DmprPos</t>
  </si>
  <si>
    <t>SSC_VAV0075.EffectiveSP</t>
  </si>
  <si>
    <t>SSC_VAV0075.OccSts</t>
  </si>
  <si>
    <t>SSC_VAV0075.RmTemp</t>
  </si>
  <si>
    <t>SSC_VAV0075.SP</t>
  </si>
  <si>
    <t>entity:SSC_VAV0076</t>
  </si>
  <si>
    <t>entity:SSC_VAV0076_Damper_Controller</t>
  </si>
  <si>
    <t>entity:SSC_VAV0076_Air_Flow_Sensor</t>
  </si>
  <si>
    <t>entity:SSC_VAV0076_ActiveState_CALC</t>
  </si>
  <si>
    <t>entity:SSC_VAV0076_TotalOperationDuration</t>
  </si>
  <si>
    <t>entity:SSC_VAV0076_Effective_Temp_Setpoint</t>
  </si>
  <si>
    <t>entity:SSC_VAV0076_Room_Temperature</t>
  </si>
  <si>
    <t>entity:SSC_VAV0076_Temperature_Setpoint</t>
  </si>
  <si>
    <t>entity:SSC_VAV0076_Occupancy_Status</t>
  </si>
  <si>
    <t>SSC VAV0076</t>
  </si>
  <si>
    <t>SSC_VAV0076</t>
  </si>
  <si>
    <t>SSC_VAV0076.AirFlow</t>
  </si>
  <si>
    <t>entity:SSC_VAV0076_Damper_Position</t>
  </si>
  <si>
    <t>SSC_VAV0076.DmprPos</t>
  </si>
  <si>
    <t>SSC_VAV0076.EffectiveSP</t>
  </si>
  <si>
    <t>SSC_VAV0076.OccSts</t>
  </si>
  <si>
    <t>SSC_VAV0076.RmTemp</t>
  </si>
  <si>
    <t>SSC_VAV0076.SP</t>
  </si>
  <si>
    <t>entity:SSC_VAV0077</t>
  </si>
  <si>
    <t>entity:SSC_VAV0077_Damper_Controller</t>
  </si>
  <si>
    <t>entity:SSC_VAV0077_Air_Flow_Sensor</t>
  </si>
  <si>
    <t>entity:SSC_VAV0077_ActiveState_CALC</t>
  </si>
  <si>
    <t>entity:SSC_VAV0077_TotalOperationDuration</t>
  </si>
  <si>
    <t>entity:SSC_VAV0077_Effective_Temp_Setpoint</t>
  </si>
  <si>
    <t>entity:SSC_VAV0077_Room_Temperature</t>
  </si>
  <si>
    <t>entity:SSC_VAV0077_Temperature_Setpoint</t>
  </si>
  <si>
    <t>entity:SSC_VAV0077_Occupancy_Status</t>
  </si>
  <si>
    <t>SSC VAV0077</t>
  </si>
  <si>
    <t>SSC_VAV0077</t>
  </si>
  <si>
    <t>SSC_VAV0077.AirFlow</t>
  </si>
  <si>
    <t>entity:SSC_VAV0077_Damper_Position</t>
  </si>
  <si>
    <t>SSC_VAV0077.DmprPos</t>
  </si>
  <si>
    <t>SSC_VAV0077.EffectiveSP</t>
  </si>
  <si>
    <t>SSC_VAV0077.OccSts</t>
  </si>
  <si>
    <t>SSC_VAV0077.RmTemp</t>
  </si>
  <si>
    <t>SSC_VAV0077.SP</t>
  </si>
  <si>
    <t>entity:SSC_VAV0078</t>
  </si>
  <si>
    <t>entity:SSC_VAV0078_Damper_Controller</t>
  </si>
  <si>
    <t>entity:SSC_VAV0078_Air_Flow_Sensor</t>
  </si>
  <si>
    <t>entity:SSC_VAV0078_ActiveState_CALC</t>
  </si>
  <si>
    <t>entity:SSC_VAV0078_TotalOperationDuration</t>
  </si>
  <si>
    <t>entity:SSC_VAV0078_Effective_Temp_Setpoint</t>
  </si>
  <si>
    <t>entity:SSC_VAV0078_Room_Temperature</t>
  </si>
  <si>
    <t>entity:SSC_VAV0078_Temperature_Setpoint</t>
  </si>
  <si>
    <t>entity:SSC_VAV0078_Occupancy_Status</t>
  </si>
  <si>
    <t>SSC VAV0078</t>
  </si>
  <si>
    <t>SSC_VAV0078</t>
  </si>
  <si>
    <t>SSC_VAV0078.AirFlow</t>
  </si>
  <si>
    <t>entity:SSC_VAV0078_Damper_Position</t>
  </si>
  <si>
    <t>SSC_VAV0078.DmprPos</t>
  </si>
  <si>
    <t>SSC_VAV0078.EffectiveSP</t>
  </si>
  <si>
    <t>SSC_VAV0078.OccSts</t>
  </si>
  <si>
    <t>SSC_VAV0078.RmTemp</t>
  </si>
  <si>
    <t>SSC_VAV0078.SP</t>
  </si>
  <si>
    <t>entity:SSC_VAV0079</t>
  </si>
  <si>
    <t>entity:SSC_VAV0079_Damper_Controller</t>
  </si>
  <si>
    <t>entity:SSC_VAV0079_Air_Flow_Sensor</t>
  </si>
  <si>
    <t>entity:SSC_VAV0079_ActiveState_CALC</t>
  </si>
  <si>
    <t>entity:SSC_VAV0079_TotalOperationDuration</t>
  </si>
  <si>
    <t>entity:SSC_VAV0079_Effective_Temp_Setpoint</t>
  </si>
  <si>
    <t>entity:SSC_VAV0079_Room_Temperature</t>
  </si>
  <si>
    <t>entity:SSC_VAV0079_Temperature_Setpoint</t>
  </si>
  <si>
    <t>entity:SSC_VAV0079_Occupancy_Status</t>
  </si>
  <si>
    <t>SSC VAV0079</t>
  </si>
  <si>
    <t>SSC_VAV0079</t>
  </si>
  <si>
    <t>SSC_VAV0079.AirFlow</t>
  </si>
  <si>
    <t>entity:SSC_VAV0079_Damper_Position</t>
  </si>
  <si>
    <t>SSC_VAV0079.DmprPos</t>
  </si>
  <si>
    <t>SSC_VAV0079.EffectiveSP</t>
  </si>
  <si>
    <t>SSC_VAV0079.OccSts</t>
  </si>
  <si>
    <t>SSC_VAV0079.RmTemp</t>
  </si>
  <si>
    <t>SSC_VAV0079.SP</t>
  </si>
  <si>
    <t>entity:SSC_VAV0080</t>
  </si>
  <si>
    <t>entity:SSC_VAV0080_Damper_Controller</t>
  </si>
  <si>
    <t>entity:SSC_VAV0080_Air_Flow_Sensor</t>
  </si>
  <si>
    <t>entity:SSC_VAV0080_ActiveState_CALC</t>
  </si>
  <si>
    <t>entity:SSC_VAV0080_TotalOperationDuration</t>
  </si>
  <si>
    <t>entity:SSC_VAV0080_Effective_Temp_Setpoint</t>
  </si>
  <si>
    <t>entity:SSC_VAV0080_Room_Temperature</t>
  </si>
  <si>
    <t>entity:SSC_VAV0080_Temperature_Setpoint</t>
  </si>
  <si>
    <t>entity:SSC_VAV0080_Occupancy_Status</t>
  </si>
  <si>
    <t>SSC VAV0080</t>
  </si>
  <si>
    <t>SSC_VAV0080</t>
  </si>
  <si>
    <t>SSC_VAV0080.AirFlow</t>
  </si>
  <si>
    <t>entity:SSC_VAV0080_Damper_Position</t>
  </si>
  <si>
    <t>SSC_VAV0080.DmprPos</t>
  </si>
  <si>
    <t>SSC_VAV0080.EffectiveSP</t>
  </si>
  <si>
    <t>SSC_VAV0080.OccSts</t>
  </si>
  <si>
    <t>SSC_VAV0080.RmTemp</t>
  </si>
  <si>
    <t>SSC_VAV0080.SP</t>
  </si>
  <si>
    <t>entity:SSC_VAV0081</t>
  </si>
  <si>
    <t>entity:SSC_VAV0081_Damper_Controller</t>
  </si>
  <si>
    <t>entity:SSC_VAV0081_Air_Flow_Sensor</t>
  </si>
  <si>
    <t>entity:SSC_VAV0081_ActiveState_CALC</t>
  </si>
  <si>
    <t>entity:SSC_VAV0081_TotalOperationDuration</t>
  </si>
  <si>
    <t>entity:SSC_VAV0081_Effective_Temp_Setpoint</t>
  </si>
  <si>
    <t>entity:SSC_VAV0081_Room_Temperature</t>
  </si>
  <si>
    <t>entity:SSC_VAV0081_Temperature_Setpoint</t>
  </si>
  <si>
    <t>entity:SSC_VAV0081_Occupancy_Status</t>
  </si>
  <si>
    <t>SSC VAV0081</t>
  </si>
  <si>
    <t>SSC_VAV0081</t>
  </si>
  <si>
    <t>SSC_VAV0081.AirFlow</t>
  </si>
  <si>
    <t>entity:SSC_VAV0081_Damper_Position</t>
  </si>
  <si>
    <t>SSC_VAV0081.DmprPos</t>
  </si>
  <si>
    <t>SSC_VAV0081.EffectiveSP</t>
  </si>
  <si>
    <t>SSC_VAV0081.OccSts</t>
  </si>
  <si>
    <t>SSC_VAV0081.RmTemp</t>
  </si>
  <si>
    <t>SSC_VAV0081.SP</t>
  </si>
  <si>
    <t>entity:SSC_VAV0082</t>
  </si>
  <si>
    <t>entity:SSC_VAV0082_Damper_Controller</t>
  </si>
  <si>
    <t>entity:SSC_VAV0082_Air_Flow_Sensor</t>
  </si>
  <si>
    <t>entity:SSC_VAV0082_ActiveState_CALC</t>
  </si>
  <si>
    <t>entity:SSC_VAV0082_TotalOperationDuration</t>
  </si>
  <si>
    <t>entity:SSC_VAV0082_Effective_Temp_Setpoint</t>
  </si>
  <si>
    <t>entity:SSC_VAV0082_Room_Temperature</t>
  </si>
  <si>
    <t>entity:SSC_VAV0082_Temperature_Setpoint</t>
  </si>
  <si>
    <t>entity:SSC_VAV0082_Occupancy_Status</t>
  </si>
  <si>
    <t>SSC VAV0082</t>
  </si>
  <si>
    <t>SSC_VAV0082</t>
  </si>
  <si>
    <t>SSC_VAV0082.AirFlow</t>
  </si>
  <si>
    <t>entity:SSC_VAV0082_Damper_Position</t>
  </si>
  <si>
    <t>SSC_VAV0082.DmprPos</t>
  </si>
  <si>
    <t>SSC_VAV0082.EffectiveSP</t>
  </si>
  <si>
    <t>SSC_VAV0082.OccSts</t>
  </si>
  <si>
    <t>SSC_VAV0082.RmTemp</t>
  </si>
  <si>
    <t>SSC_VAV0082.SP</t>
  </si>
  <si>
    <t>entity:SSC_VAV0083</t>
  </si>
  <si>
    <t>entity:SSC_VAV0083_Damper_Controller</t>
  </si>
  <si>
    <t>entity:SSC_VAV0083_Air_Flow_Sensor</t>
  </si>
  <si>
    <t>entity:SSC_VAV0083_ActiveState_CALC</t>
  </si>
  <si>
    <t>entity:SSC_VAV0083_TotalOperationDuration</t>
  </si>
  <si>
    <t>entity:SSC_VAV0083_Effective_Temp_Setpoint</t>
  </si>
  <si>
    <t>entity:SSC_VAV0083_Room_Temperature</t>
  </si>
  <si>
    <t>entity:SSC_VAV0083_Temperature_Setpoint</t>
  </si>
  <si>
    <t>entity:SSC_VAV0083_Occupancy_Status</t>
  </si>
  <si>
    <t>SSC VAV0083</t>
  </si>
  <si>
    <t>SSC_VAV0083</t>
  </si>
  <si>
    <t>SSC_VAV0083.AirFlow</t>
  </si>
  <si>
    <t>entity:SSC_VAV0083_Damper_Position</t>
  </si>
  <si>
    <t>SSC_VAV0083.DmprPos</t>
  </si>
  <si>
    <t>SSC_VAV0083.EffectiveSP</t>
  </si>
  <si>
    <t>SSC_VAV0083.OccSts</t>
  </si>
  <si>
    <t>SSC_VAV0083.RmTemp</t>
  </si>
  <si>
    <t>SSC_VAV0083.SP</t>
  </si>
  <si>
    <t>entity:SSC_VAV0084</t>
  </si>
  <si>
    <t>entity:SSC_VAV0084_Damper_Controller</t>
  </si>
  <si>
    <t>entity:SSC_VAV0084_Air_Flow_Sensor</t>
  </si>
  <si>
    <t>entity:SSC_VAV0084_ActiveState_CALC</t>
  </si>
  <si>
    <t>entity:SSC_VAV0084_TotalOperationDuration</t>
  </si>
  <si>
    <t>entity:SSC_VAV0084_Effective_Temp_Setpoint</t>
  </si>
  <si>
    <t>entity:SSC_VAV0084_Room_Temperature</t>
  </si>
  <si>
    <t>entity:SSC_VAV0084_Temperature_Setpoint</t>
  </si>
  <si>
    <t>entity:SSC_VAV0084_Occupancy_Status</t>
  </si>
  <si>
    <t>SSC VAV0084</t>
  </si>
  <si>
    <t>SSC_VAV0084</t>
  </si>
  <si>
    <t>SSC_VAV0084.AirFlow</t>
  </si>
  <si>
    <t>entity:SSC_VAV0084_Damper_Position</t>
  </si>
  <si>
    <t>SSC_VAV0084.DmprPos</t>
  </si>
  <si>
    <t>SSC_VAV0084.EffectiveSP</t>
  </si>
  <si>
    <t>SSC_VAV0084.OccSts</t>
  </si>
  <si>
    <t>SSC_VAV0084.RmTemp</t>
  </si>
  <si>
    <t>SSC_VAV0084.SP</t>
  </si>
  <si>
    <t>entity:SSC_VAV0085</t>
  </si>
  <si>
    <t>entity:SSC_VAV0085_Damper_Controller</t>
  </si>
  <si>
    <t>entity:SSC_VAV0085_Air_Flow_Sensor</t>
  </si>
  <si>
    <t>entity:SSC_VAV0085_ActiveState_CALC</t>
  </si>
  <si>
    <t>entity:SSC_VAV0085_TotalOperationDuration</t>
  </si>
  <si>
    <t>entity:SSC_VAV0085_Effective_Temp_Setpoint</t>
  </si>
  <si>
    <t>entity:SSC_VAV0085_Room_Temperature</t>
  </si>
  <si>
    <t>entity:SSC_VAV0085_Temperature_Setpoint</t>
  </si>
  <si>
    <t>entity:SSC_VAV0085_Occupancy_Status</t>
  </si>
  <si>
    <t>SSC VAV0085</t>
  </si>
  <si>
    <t>SSC_VAV0085</t>
  </si>
  <si>
    <t>SSC_VAV0085.AirFlow</t>
  </si>
  <si>
    <t>entity:SSC_VAV0085_Damper_Position</t>
  </si>
  <si>
    <t>SSC_VAV0085.DmprPos</t>
  </si>
  <si>
    <t>SSC_VAV0085.EffectiveSP</t>
  </si>
  <si>
    <t>SSC_VAV0085.OccSts</t>
  </si>
  <si>
    <t>SSC_VAV0085.RmTemp</t>
  </si>
  <si>
    <t>SSC_VAV0085.SP</t>
  </si>
  <si>
    <t>entity:SSC_VAV0086</t>
  </si>
  <si>
    <t>entity:SSC_VAV0086_Damper_Controller</t>
  </si>
  <si>
    <t>entity:SSC_VAV0086_Air_Flow_Sensor</t>
  </si>
  <si>
    <t>entity:SSC_VAV0086_ActiveState_CALC</t>
  </si>
  <si>
    <t>entity:SSC_VAV0086_TotalOperationDuration</t>
  </si>
  <si>
    <t>entity:SSC_VAV0086_Effective_Temp_Setpoint</t>
  </si>
  <si>
    <t>entity:SSC_VAV0086_Room_Temperature</t>
  </si>
  <si>
    <t>entity:SSC_VAV0086_Temperature_Setpoint</t>
  </si>
  <si>
    <t>entity:SSC_VAV0086_Occupancy_Status</t>
  </si>
  <si>
    <t>SSC VAV0086</t>
  </si>
  <si>
    <t>SSC_VAV0086</t>
  </si>
  <si>
    <t>SSC_VAV0086.AirFlow</t>
  </si>
  <si>
    <t>entity:SSC_VAV0086_Damper_Position</t>
  </si>
  <si>
    <t>SSC_VAV0086.DmprPos</t>
  </si>
  <si>
    <t>SSC_VAV0086.EffectiveSP</t>
  </si>
  <si>
    <t>SSC_VAV0086.OccSts</t>
  </si>
  <si>
    <t>SSC_VAV0086.RmTemp</t>
  </si>
  <si>
    <t>SSC_VAV0086.SP</t>
  </si>
  <si>
    <t>entity:SSC_VAV0087</t>
  </si>
  <si>
    <t>entity:SSC_VAV0087_Damper_Controller</t>
  </si>
  <si>
    <t>entity:SSC_VAV0087_Air_Flow_Sensor</t>
  </si>
  <si>
    <t>entity:SSC_VAV0087_ActiveState_CALC</t>
  </si>
  <si>
    <t>entity:SSC_VAV0087_TotalOperationDuration</t>
  </si>
  <si>
    <t>entity:SSC_VAV0087_Effective_Temp_Setpoint</t>
  </si>
  <si>
    <t>entity:SSC_VAV0087_Room_Temperature</t>
  </si>
  <si>
    <t>entity:SSC_VAV0087_Temperature_Setpoint</t>
  </si>
  <si>
    <t>entity:SSC_VAV0087_Occupancy_Status</t>
  </si>
  <si>
    <t>SSC VAV0087</t>
  </si>
  <si>
    <t>SSC_VAV0087</t>
  </si>
  <si>
    <t>SSC_VAV0087.AirFlow</t>
  </si>
  <si>
    <t>entity:SSC_VAV0087_Damper_Position</t>
  </si>
  <si>
    <t>SSC_VAV0087.DmprPos</t>
  </si>
  <si>
    <t>SSC_VAV0087.EffectiveSP</t>
  </si>
  <si>
    <t>SSC_VAV0087.OccSts</t>
  </si>
  <si>
    <t>SSC_VAV0087.RmTemp</t>
  </si>
  <si>
    <t>SSC_VAV0087.SP</t>
  </si>
  <si>
    <t>entity:SSC_VAV0088</t>
  </si>
  <si>
    <t>entity:SSC_VAV0088_Damper_Controller</t>
  </si>
  <si>
    <t>entity:SSC_VAV0088_Air_Flow_Sensor</t>
  </si>
  <si>
    <t>entity:SSC_VAV0088_ActiveState_CALC</t>
  </si>
  <si>
    <t>entity:SSC_VAV0088_TotalOperationDuration</t>
  </si>
  <si>
    <t>entity:SSC_VAV0088_Effective_Temp_Setpoint</t>
  </si>
  <si>
    <t>entity:SSC_VAV0088_Room_Temperature</t>
  </si>
  <si>
    <t>entity:SSC_VAV0088_Temperature_Setpoint</t>
  </si>
  <si>
    <t>entity:SSC_VAV0088_Occupancy_Status</t>
  </si>
  <si>
    <t>SSC VAV0088</t>
  </si>
  <si>
    <t>SSC_VAV0088</t>
  </si>
  <si>
    <t>SSC_VAV0088.AirFlow</t>
  </si>
  <si>
    <t>entity:SSC_VAV0088_Damper_Position</t>
  </si>
  <si>
    <t>SSC_VAV0088.DmprPos</t>
  </si>
  <si>
    <t>SSC_VAV0088.EffectiveSP</t>
  </si>
  <si>
    <t>SSC_VAV0088.OccSts</t>
  </si>
  <si>
    <t>SSC_VAV0088.RmTemp</t>
  </si>
  <si>
    <t>SSC_VAV0088.SP</t>
  </si>
  <si>
    <t>entity:SSC_VAV0089</t>
  </si>
  <si>
    <t>entity:SSC_VAV0089_Damper_Controller</t>
  </si>
  <si>
    <t>entity:SSC_VAV0089_Air_Flow_Sensor</t>
  </si>
  <si>
    <t>entity:SSC_VAV0089_ActiveState_CALC</t>
  </si>
  <si>
    <t>entity:SSC_VAV0089_TotalOperationDuration</t>
  </si>
  <si>
    <t>entity:SSC_VAV0089_Effective_Temp_Setpoint</t>
  </si>
  <si>
    <t>entity:SSC_VAV0089_Room_Temperature</t>
  </si>
  <si>
    <t>entity:SSC_VAV0089_Temperature_Setpoint</t>
  </si>
  <si>
    <t>entity:SSC_VAV0089_Occupancy_Status</t>
  </si>
  <si>
    <t>SSC VAV0089</t>
  </si>
  <si>
    <t>SSC_VAV0089</t>
  </si>
  <si>
    <t>SSC_VAV0089.AirFlow</t>
  </si>
  <si>
    <t>entity:SSC_VAV0089_Damper_Position</t>
  </si>
  <si>
    <t>SSC_VAV0089.DmprPos</t>
  </si>
  <si>
    <t>SSC_VAV0089.EffectiveSP</t>
  </si>
  <si>
    <t>SSC_VAV0089.OccSts</t>
  </si>
  <si>
    <t>SSC_VAV0089.RmTemp</t>
  </si>
  <si>
    <t>SSC_VAV0089.SP</t>
  </si>
  <si>
    <t>entity:SSC_VAV0090</t>
  </si>
  <si>
    <t>entity:SSC_VAV0090_Damper_Controller</t>
  </si>
  <si>
    <t>entity:SSC_VAV0090_Air_Flow_Sensor</t>
  </si>
  <si>
    <t>entity:SSC_VAV0090_ActiveState_CALC</t>
  </si>
  <si>
    <t>entity:SSC_VAV0090_TotalOperationDuration</t>
  </si>
  <si>
    <t>entity:SSC_VAV0090_Effective_Temp_Setpoint</t>
  </si>
  <si>
    <t>entity:SSC_VAV0090_Room_Temperature</t>
  </si>
  <si>
    <t>entity:SSC_VAV0090_Temperature_Setpoint</t>
  </si>
  <si>
    <t>entity:SSC_VAV0090_Occupancy_Status</t>
  </si>
  <si>
    <t>SSC VAV0090</t>
  </si>
  <si>
    <t>SSC_VAV0090</t>
  </si>
  <si>
    <t>SSC_VAV0090.AirFlow</t>
  </si>
  <si>
    <t>entity:SSC_VAV0090_Damper_Position</t>
  </si>
  <si>
    <t>SSC_VAV0090.DmprPos</t>
  </si>
  <si>
    <t>SSC_VAV0090.EffectiveSP</t>
  </si>
  <si>
    <t>SSC_VAV0090.OccSts</t>
  </si>
  <si>
    <t>SSC_VAV0090.RmTemp</t>
  </si>
  <si>
    <t>SSC_VAV0090.SP</t>
  </si>
  <si>
    <t>entity:SSC_VAV0091</t>
  </si>
  <si>
    <t>entity:SSC_VAV0091_Damper_Controller</t>
  </si>
  <si>
    <t>entity:SSC_VAV0091_Air_Flow_Sensor</t>
  </si>
  <si>
    <t>entity:SSC_VAV0091_ActiveState_CALC</t>
  </si>
  <si>
    <t>entity:SSC_VAV0091_TotalOperationDuration</t>
  </si>
  <si>
    <t>entity:SSC_VAV0091_Effective_Temp_Setpoint</t>
  </si>
  <si>
    <t>entity:SSC_VAV0091_Room_Temperature</t>
  </si>
  <si>
    <t>entity:SSC_VAV0091_Temperature_Setpoint</t>
  </si>
  <si>
    <t>entity:SSC_VAV0091_Occupancy_Status</t>
  </si>
  <si>
    <t>SSC VAV0091</t>
  </si>
  <si>
    <t>SSC_VAV0091</t>
  </si>
  <si>
    <t>SSC_VAV0091.AirFlow</t>
  </si>
  <si>
    <t>entity:SSC_VAV0091_Damper_Position</t>
  </si>
  <si>
    <t>SSC_VAV0091.DmprPos</t>
  </si>
  <si>
    <t>SSC_VAV0091.EffectiveSP</t>
  </si>
  <si>
    <t>SSC_VAV0091.OccSts</t>
  </si>
  <si>
    <t>SSC_VAV0091.RmTemp</t>
  </si>
  <si>
    <t>SSC_VAV0091.SP</t>
  </si>
  <si>
    <t>entity:SSC_VAV0092</t>
  </si>
  <si>
    <t>entity:SSC_VAV0092_Damper_Controller</t>
  </si>
  <si>
    <t>entity:SSC_VAV0092_Air_Flow_Sensor</t>
  </si>
  <si>
    <t>entity:SSC_VAV0092_ActiveState_CALC</t>
  </si>
  <si>
    <t>entity:SSC_VAV0092_TotalOperationDuration</t>
  </si>
  <si>
    <t>entity:SSC_VAV0092_Effective_Temp_Setpoint</t>
  </si>
  <si>
    <t>entity:SSC_VAV0092_Room_Temperature</t>
  </si>
  <si>
    <t>entity:SSC_VAV0092_Temperature_Setpoint</t>
  </si>
  <si>
    <t>entity:SSC_VAV0092_Occupancy_Status</t>
  </si>
  <si>
    <t>SSC VAV0092</t>
  </si>
  <si>
    <t>SSC_VAV0092</t>
  </si>
  <si>
    <t>SSC_VAV0092.AirFlow</t>
  </si>
  <si>
    <t>entity:SSC_VAV0092_Damper_Position</t>
  </si>
  <si>
    <t>SSC_VAV0092.DmprPos</t>
  </si>
  <si>
    <t>SSC_VAV0092.EffectiveSP</t>
  </si>
  <si>
    <t>SSC_VAV0092.OccSts</t>
  </si>
  <si>
    <t>SSC_VAV0092.RmTemp</t>
  </si>
  <si>
    <t>SSC_VAV0092.SP</t>
  </si>
  <si>
    <t>entity:SSC_VAV0093</t>
  </si>
  <si>
    <t>entity:SSC_VAV0093_Damper_Controller</t>
  </si>
  <si>
    <t>entity:SSC_VAV0093_Air_Flow_Sensor</t>
  </si>
  <si>
    <t>entity:SSC_VAV0093_ActiveState_CALC</t>
  </si>
  <si>
    <t>entity:SSC_VAV0093_TotalOperationDuration</t>
  </si>
  <si>
    <t>entity:SSC_VAV0093_Effective_Temp_Setpoint</t>
  </si>
  <si>
    <t>entity:SSC_VAV0093_Room_Temperature</t>
  </si>
  <si>
    <t>entity:SSC_VAV0093_Temperature_Setpoint</t>
  </si>
  <si>
    <t>entity:SSC_VAV0093_Occupancy_Status</t>
  </si>
  <si>
    <t>SSC VAV0093</t>
  </si>
  <si>
    <t>SSC_VAV0093</t>
  </si>
  <si>
    <t>SSC_VAV0093.AirFlow</t>
  </si>
  <si>
    <t>entity:SSC_VAV0093_Damper_Position</t>
  </si>
  <si>
    <t>SSC_VAV0093.DmprPos</t>
  </si>
  <si>
    <t>SSC_VAV0093.EffectiveSP</t>
  </si>
  <si>
    <t>SSC_VAV0093.OccSts</t>
  </si>
  <si>
    <t>SSC_VAV0093.RmTemp</t>
  </si>
  <si>
    <t>SSC_VAV0093.SP</t>
  </si>
  <si>
    <t>entity:SSC_VAV0094</t>
  </si>
  <si>
    <t>entity:SSC_VAV0094_Damper_Controller</t>
  </si>
  <si>
    <t>entity:SSC_VAV0094_Air_Flow_Sensor</t>
  </si>
  <si>
    <t>entity:SSC_VAV0094_ActiveState_CALC</t>
  </si>
  <si>
    <t>entity:SSC_VAV0094_TotalOperationDuration</t>
  </si>
  <si>
    <t>entity:SSC_VAV0094_Effective_Temp_Setpoint</t>
  </si>
  <si>
    <t>entity:SSC_VAV0094_Room_Temperature</t>
  </si>
  <si>
    <t>entity:SSC_VAV0094_Temperature_Setpoint</t>
  </si>
  <si>
    <t>entity:SSC_VAV0094_Occupancy_Status</t>
  </si>
  <si>
    <t>SSC VAV0094</t>
  </si>
  <si>
    <t>SSC_VAV0094</t>
  </si>
  <si>
    <t>SSC_VAV0094.AirFlow</t>
  </si>
  <si>
    <t>entity:SSC_VAV0094_Damper_Position</t>
  </si>
  <si>
    <t>SSC_VAV0094.DmprPos</t>
  </si>
  <si>
    <t>SSC_VAV0094.EffectiveSP</t>
  </si>
  <si>
    <t>SSC_VAV0094.OccSts</t>
  </si>
  <si>
    <t>SSC_VAV0094.RmTemp</t>
  </si>
  <si>
    <t>SSC_VAV0094.SP</t>
  </si>
  <si>
    <t>entity:SSC_VAV0095</t>
  </si>
  <si>
    <t>entity:SSC_VAV0095_Damper_Controller</t>
  </si>
  <si>
    <t>entity:SSC_VAV0095_Air_Flow_Sensor</t>
  </si>
  <si>
    <t>entity:SSC_VAV0095_ActiveState_CALC</t>
  </si>
  <si>
    <t>entity:SSC_VAV0095_TotalOperationDuration</t>
  </si>
  <si>
    <t>entity:SSC_VAV0095_Effective_Temp_Setpoint</t>
  </si>
  <si>
    <t>entity:SSC_VAV0095_Room_Temperature</t>
  </si>
  <si>
    <t>entity:SSC_VAV0095_Temperature_Setpoint</t>
  </si>
  <si>
    <t>entity:SSC_VAV0095_Occupancy_Status</t>
  </si>
  <si>
    <t>SSC VAV0095</t>
  </si>
  <si>
    <t>SSC_VAV0095</t>
  </si>
  <si>
    <t>SSC_VAV0095.AirFlow</t>
  </si>
  <si>
    <t>entity:SSC_VAV0095_Damper_Position</t>
  </si>
  <si>
    <t>SSC_VAV0095.DmprPos</t>
  </si>
  <si>
    <t>SSC_VAV0095.EffectiveSP</t>
  </si>
  <si>
    <t>SSC_VAV0095.OccSts</t>
  </si>
  <si>
    <t>SSC_VAV0095.RmTemp</t>
  </si>
  <si>
    <t>SSC_VAV0095.SP</t>
  </si>
  <si>
    <t>entity:SSC_VAV0096</t>
  </si>
  <si>
    <t>entity:SSC_VAV0096_Damper_Controller</t>
  </si>
  <si>
    <t>entity:SSC_VAV0096_Air_Flow_Sensor</t>
  </si>
  <si>
    <t>entity:SSC_VAV0096_ActiveState_CALC</t>
  </si>
  <si>
    <t>entity:SSC_VAV0096_TotalOperationDuration</t>
  </si>
  <si>
    <t>entity:SSC_VAV0096_Effective_Temp_Setpoint</t>
  </si>
  <si>
    <t>entity:SSC_VAV0096_Room_Temperature</t>
  </si>
  <si>
    <t>entity:SSC_VAV0096_Temperature_Setpoint</t>
  </si>
  <si>
    <t>entity:SSC_VAV0096_Occupancy_Status</t>
  </si>
  <si>
    <t>SSC VAV0096</t>
  </si>
  <si>
    <t>SSC_VAV0096</t>
  </si>
  <si>
    <t>SSC_VAV0096.AirFlow</t>
  </si>
  <si>
    <t>entity:SSC_VAV0096_Damper_Position</t>
  </si>
  <si>
    <t>SSC_VAV0096.DmprPos</t>
  </si>
  <si>
    <t>SSC_VAV0096.EffectiveSP</t>
  </si>
  <si>
    <t>SSC_VAV0096.OccSts</t>
  </si>
  <si>
    <t>SSC_VAV0096.RmTemp</t>
  </si>
  <si>
    <t>SSC_VAV0096.SP</t>
  </si>
  <si>
    <t>entity:SSC_VAV0097</t>
  </si>
  <si>
    <t>entity:SSC_VAV0097_Damper_Controller</t>
  </si>
  <si>
    <t>entity:SSC_VAV0097_Air_Flow_Sensor</t>
  </si>
  <si>
    <t>entity:SSC_VAV0097_ActiveState_CALC</t>
  </si>
  <si>
    <t>entity:SSC_VAV0097_TotalOperationDuration</t>
  </si>
  <si>
    <t>entity:SSC_VAV0097_Effective_Temp_Setpoint</t>
  </si>
  <si>
    <t>entity:SSC_VAV0097_Room_Temperature</t>
  </si>
  <si>
    <t>entity:SSC_VAV0097_Temperature_Setpoint</t>
  </si>
  <si>
    <t>entity:SSC_VAV0097_Occupancy_Status</t>
  </si>
  <si>
    <t>SSC VAV0097</t>
  </si>
  <si>
    <t>SSC_VAV0097</t>
  </si>
  <si>
    <t>SSC_VAV0097.AirFlow</t>
  </si>
  <si>
    <t>entity:SSC_VAV0097_Damper_Position</t>
  </si>
  <si>
    <t>SSC_VAV0097.DmprPos</t>
  </si>
  <si>
    <t>SSC_VAV0097.EffectiveSP</t>
  </si>
  <si>
    <t>SSC_VAV0097.OccSts</t>
  </si>
  <si>
    <t>SSC_VAV0097.RmTemp</t>
  </si>
  <si>
    <t>SSC_VAV0097.SP</t>
  </si>
  <si>
    <t>entity:SSC_VAV0098</t>
  </si>
  <si>
    <t>entity:SSC_VAV0098_Damper_Controller</t>
  </si>
  <si>
    <t>entity:SSC_VAV0098_Air_Flow_Sensor</t>
  </si>
  <si>
    <t>entity:SSC_VAV0098_ActiveState_CALC</t>
  </si>
  <si>
    <t>entity:SSC_VAV0098_TotalOperationDuration</t>
  </si>
  <si>
    <t>entity:SSC_VAV0098_Effective_Temp_Setpoint</t>
  </si>
  <si>
    <t>entity:SSC_VAV0098_Room_Temperature</t>
  </si>
  <si>
    <t>entity:SSC_VAV0098_Temperature_Setpoint</t>
  </si>
  <si>
    <t>entity:SSC_VAV0098_Occupancy_Status</t>
  </si>
  <si>
    <t>SSC VAV0098</t>
  </si>
  <si>
    <t>SSC_VAV0098</t>
  </si>
  <si>
    <t>SSC_VAV0098.AirFlow</t>
  </si>
  <si>
    <t>entity:SSC_VAV0098_Damper_Position</t>
  </si>
  <si>
    <t>SSC_VAV0098.DmprPos</t>
  </si>
  <si>
    <t>SSC_VAV0098.EffectiveSP</t>
  </si>
  <si>
    <t>SSC_VAV0098.OccSts</t>
  </si>
  <si>
    <t>SSC_VAV0098.RmTemp</t>
  </si>
  <si>
    <t>SSC_VAV0098.SP</t>
  </si>
  <si>
    <t>entity:SSC_VAV0099</t>
  </si>
  <si>
    <t>entity:SSC_VAV0099_Damper_Controller</t>
  </si>
  <si>
    <t>entity:SSC_VAV0099_Air_Flow_Sensor</t>
  </si>
  <si>
    <t>entity:SSC_VAV0099_ActiveState_CALC</t>
  </si>
  <si>
    <t>entity:SSC_VAV0099_TotalOperationDuration</t>
  </si>
  <si>
    <t>entity:SSC_VAV0099_Effective_Temp_Setpoint</t>
  </si>
  <si>
    <t>entity:SSC_VAV0099_Room_Temperature</t>
  </si>
  <si>
    <t>entity:SSC_VAV0099_Temperature_Setpoint</t>
  </si>
  <si>
    <t>entity:SSC_VAV0099_Occupancy_Status</t>
  </si>
  <si>
    <t>SSC VAV0099</t>
  </si>
  <si>
    <t>SSC_VAV0099</t>
  </si>
  <si>
    <t>SSC_VAV0099.AirFlow</t>
  </si>
  <si>
    <t>entity:SSC_VAV0099_Damper_Position</t>
  </si>
  <si>
    <t>SSC_VAV0099.DmprPos</t>
  </si>
  <si>
    <t>SSC_VAV0099.EffectiveSP</t>
  </si>
  <si>
    <t>SSC_VAV0099.OccSts</t>
  </si>
  <si>
    <t>SSC_VAV0099.RmTemp</t>
  </si>
  <si>
    <t>SSC_VAV0099.SP</t>
  </si>
  <si>
    <t>entity:SSC_VAV0100</t>
  </si>
  <si>
    <t>entity:SSC_VAV0100_Damper_Controller</t>
  </si>
  <si>
    <t>entity:SSC_VAV0100_Air_Flow_Sensor</t>
  </si>
  <si>
    <t>entity:SSC_VAV0100_ActiveState_CALC</t>
  </si>
  <si>
    <t>entity:SSC_VAV0100_TotalOperationDuration</t>
  </si>
  <si>
    <t>entity:SSC_VAV0100_Effective_Temp_Setpoint</t>
  </si>
  <si>
    <t>entity:SSC_VAV0100_Room_Temperature</t>
  </si>
  <si>
    <t>entity:SSC_VAV0100_Temperature_Setpoint</t>
  </si>
  <si>
    <t>entity:SSC_VAV0100_Occupancy_Status</t>
  </si>
  <si>
    <t>SSC VAV0100</t>
  </si>
  <si>
    <t>SSC_VAV0100</t>
  </si>
  <si>
    <t>SSC_VAV0100.AirFlow</t>
  </si>
  <si>
    <t>entity:SSC_VAV0100_Damper_Position</t>
  </si>
  <si>
    <t>SSC_VAV0100.DmprPos</t>
  </si>
  <si>
    <t>SSC_VAV0100.EffectiveSP</t>
  </si>
  <si>
    <t>SSC_VAV0100.OccSts</t>
  </si>
  <si>
    <t>SSC_VAV0100.RmTemp</t>
  </si>
  <si>
    <t>SSC_VAV0100.SP</t>
  </si>
  <si>
    <t>entity:SSC_VAV0101</t>
  </si>
  <si>
    <t>entity:SSC_VAV0101_Damper_Controller</t>
  </si>
  <si>
    <t>entity:SSC_VAV0101_Air_Flow_Sensor</t>
  </si>
  <si>
    <t>entity:SSC_VAV0101_ActiveState_CALC</t>
  </si>
  <si>
    <t>entity:SSC_VAV0101_TotalOperationDuration</t>
  </si>
  <si>
    <t>entity:SSC_VAV0101_Effective_Temp_Setpoint</t>
  </si>
  <si>
    <t>entity:SSC_VAV0101_Room_Temperature</t>
  </si>
  <si>
    <t>entity:SSC_VAV0101_Temperature_Setpoint</t>
  </si>
  <si>
    <t>entity:SSC_VAV0101_Occupancy_Status</t>
  </si>
  <si>
    <t>SSC VAV0101</t>
  </si>
  <si>
    <t>SSC_VAV0101</t>
  </si>
  <si>
    <t>SSC_VAV0101.AirFlow</t>
  </si>
  <si>
    <t>entity:SSC_VAV0101_Damper_Position</t>
  </si>
  <si>
    <t>SSC_VAV0101.DmprPos</t>
  </si>
  <si>
    <t>SSC_VAV0101.EffectiveSP</t>
  </si>
  <si>
    <t>SSC_VAV0101.OccSts</t>
  </si>
  <si>
    <t>SSC_VAV0101.RmTemp</t>
  </si>
  <si>
    <t>SSC_VAV0101.SP</t>
  </si>
  <si>
    <t>entity:SSC_VAV0102</t>
  </si>
  <si>
    <t>SSC VAV0102</t>
  </si>
  <si>
    <t>SSC_VAV0102</t>
  </si>
  <si>
    <t>entity:SSC_VAV0102_ActiveState_CALC</t>
  </si>
  <si>
    <t>entity:SSC_VAV0102_Air_Flow_Sensor</t>
  </si>
  <si>
    <t>SSC_VAV0102.AirFlow</t>
  </si>
  <si>
    <t>entity:SSC_VAV0102_Damper_Controller</t>
  </si>
  <si>
    <t>entity:SSC_VAV0102_Damper_Position</t>
  </si>
  <si>
    <t>SSC_VAV0102.DmprPos</t>
  </si>
  <si>
    <t>entity:SSC_VAV0102_Effective_Temp_Setpoint</t>
  </si>
  <si>
    <t>SSC_VAV0102.EffectiveSP</t>
  </si>
  <si>
    <t>entity:SSC_VAV0102_Occupancy_Status</t>
  </si>
  <si>
    <t>SSC_VAV0102.OccSts</t>
  </si>
  <si>
    <t>entity:SSC_VAV0102_Room_Temperature</t>
  </si>
  <si>
    <t>SSC_VAV0102.RmTemp</t>
  </si>
  <si>
    <t>entity:SSC_VAV0102_Temperature_Setpoint</t>
  </si>
  <si>
    <t>SSC_VAV0102.SP</t>
  </si>
  <si>
    <t>entity:SSC_VAV0102_TotalOperationDuration</t>
  </si>
  <si>
    <t>entity:SSC_VAV0103</t>
  </si>
  <si>
    <t>SSC VAV0103</t>
  </si>
  <si>
    <t>SSC_VAV0103</t>
  </si>
  <si>
    <t>entity:SSC_VAV0103_ActiveState_CALC</t>
  </si>
  <si>
    <t>entity:SSC_VAV0103_Air_Flow_Sensor</t>
  </si>
  <si>
    <t>SSC_VAV0103.AirFlow</t>
  </si>
  <si>
    <t>entity:SSC_VAV0103_Damper_Controller</t>
  </si>
  <si>
    <t>entity:SSC_VAV0103_Damper_Position</t>
  </si>
  <si>
    <t>SSC_VAV0103.DmprPos</t>
  </si>
  <si>
    <t>entity:SSC_VAV0103_Effective_Temp_Setpoint</t>
  </si>
  <si>
    <t>SSC_VAV0103.EffectiveSP</t>
  </si>
  <si>
    <t>entity:SSC_VAV0103_Occupancy_Status</t>
  </si>
  <si>
    <t>SSC_VAV0103.OccSts</t>
  </si>
  <si>
    <t>entity:SSC_VAV0103_Room_Temperature</t>
  </si>
  <si>
    <t>SSC_VAV0103.RmTemp</t>
  </si>
  <si>
    <t>entity:SSC_VAV0103_Temperature_Setpoint</t>
  </si>
  <si>
    <t>SSC_VAV0103.SP</t>
  </si>
  <si>
    <t>entity:SSC_VAV0103_TotalOperationDuration</t>
  </si>
  <si>
    <t>entity:SSC_VAV0104</t>
  </si>
  <si>
    <t>entity:SSC_VAV0104_Damper_Controller</t>
  </si>
  <si>
    <t>entity:SSC_VAV0104_Air_Flow_Sensor</t>
  </si>
  <si>
    <t>entity:SSC_VAV0104_ActiveState_CALC</t>
  </si>
  <si>
    <t>entity:SSC_VAV0104_TotalOperationDuration</t>
  </si>
  <si>
    <t>entity:SSC_VAV0104_Effective_Temp_Setpoint</t>
  </si>
  <si>
    <t>entity:SSC_VAV0104_Room_Temperature</t>
  </si>
  <si>
    <t>entity:SSC_VAV0104_Temperature_Setpoint</t>
  </si>
  <si>
    <t>entity:SSC_VAV0104_Occupancy_Status</t>
  </si>
  <si>
    <t>SSC VAV0104</t>
  </si>
  <si>
    <t>SSC_VAV0104</t>
  </si>
  <si>
    <t>SSC_VAV0104.AirFlow</t>
  </si>
  <si>
    <t>entity:SSC_VAV0104_Damper_Position</t>
  </si>
  <si>
    <t>SSC_VAV0104.DmprPos</t>
  </si>
  <si>
    <t>SSC_VAV0104.EffectiveSP</t>
  </si>
  <si>
    <t>SSC_VAV0104.OccSts</t>
  </si>
  <si>
    <t>SSC_VAV0104.RmTemp</t>
  </si>
  <si>
    <t>SSC_VAV0104.SP</t>
  </si>
  <si>
    <t>entity:SSC_VAV0105</t>
  </si>
  <si>
    <t>entity:SSC_VAV0105_Damper_Controller</t>
  </si>
  <si>
    <t>entity:SSC_VAV0105_Air_Flow_Sensor</t>
  </si>
  <si>
    <t>entity:SSC_VAV0105_ActiveState_CALC</t>
  </si>
  <si>
    <t>entity:SSC_VAV0105_TotalOperationDuration</t>
  </si>
  <si>
    <t>entity:SSC_VAV0105_Effective_Temp_Setpoint</t>
  </si>
  <si>
    <t>entity:SSC_VAV0105_Room_Temperature</t>
  </si>
  <si>
    <t>entity:SSC_VAV0105_Temperature_Setpoint</t>
  </si>
  <si>
    <t>entity:SSC_VAV0105_Occupancy_Status</t>
  </si>
  <si>
    <t>SSC VAV0105</t>
  </si>
  <si>
    <t>SSC_VAV0105</t>
  </si>
  <si>
    <t>SSC_VAV0105.AirFlow</t>
  </si>
  <si>
    <t>entity:SSC_VAV0105_Damper_Position</t>
  </si>
  <si>
    <t>SSC_VAV0105.DmprPos</t>
  </si>
  <si>
    <t>SSC_VAV0105.EffectiveSP</t>
  </si>
  <si>
    <t>SSC_VAV0105.OccSts</t>
  </si>
  <si>
    <t>SSC_VAV0105.RmTemp</t>
  </si>
  <si>
    <t>SSC_VAV0105.SP</t>
  </si>
  <si>
    <t>entity:SSC_VAV0106</t>
  </si>
  <si>
    <t>entity:SSC_VAV0106_Damper_Controller</t>
  </si>
  <si>
    <t>entity:SSC_VAV0106_Air_Flow_Sensor</t>
  </si>
  <si>
    <t>entity:SSC_VAV0106_ActiveState_CALC</t>
  </si>
  <si>
    <t>entity:SSC_VAV0106_TotalOperationDuration</t>
  </si>
  <si>
    <t>entity:SSC_VAV0106_Effective_Temp_Setpoint</t>
  </si>
  <si>
    <t>entity:SSC_VAV0106_Room_Temperature</t>
  </si>
  <si>
    <t>entity:SSC_VAV0106_Temperature_Setpoint</t>
  </si>
  <si>
    <t>entity:SSC_VAV0106_Occupancy_Status</t>
  </si>
  <si>
    <t>SSC VAV0106</t>
  </si>
  <si>
    <t>SSC_VAV0106</t>
  </si>
  <si>
    <t>SSC_VAV0106.AirFlow</t>
  </si>
  <si>
    <t>entity:SSC_VAV0106_Damper_Position</t>
  </si>
  <si>
    <t>SSC_VAV0106.DmprPos</t>
  </si>
  <si>
    <t>SSC_VAV0106.EffectiveSP</t>
  </si>
  <si>
    <t>SSC_VAV0106.OccSts</t>
  </si>
  <si>
    <t>SSC_VAV0106.RmTemp</t>
  </si>
  <si>
    <t>SSC_VAV0106.SP</t>
  </si>
  <si>
    <t>entity:SSC_VAV0107</t>
  </si>
  <si>
    <t>entity:SSC_VAV0107_Damper_Controller</t>
  </si>
  <si>
    <t>entity:SSC_VAV0107_Air_Flow_Sensor</t>
  </si>
  <si>
    <t>entity:SSC_VAV0107_ActiveState_CALC</t>
  </si>
  <si>
    <t>entity:SSC_VAV0107_TotalOperationDuration</t>
  </si>
  <si>
    <t>entity:SSC_VAV0107_Effective_Temp_Setpoint</t>
  </si>
  <si>
    <t>entity:SSC_VAV0107_Room_Temperature</t>
  </si>
  <si>
    <t>entity:SSC_VAV0107_Temperature_Setpoint</t>
  </si>
  <si>
    <t>entity:SSC_VAV0107_Occupancy_Status</t>
  </si>
  <si>
    <t>SSC VAV0107</t>
  </si>
  <si>
    <t>SSC_VAV0107</t>
  </si>
  <si>
    <t>SSC_VAV0107.AirFlow</t>
  </si>
  <si>
    <t>entity:SSC_VAV0107_Damper_Position</t>
  </si>
  <si>
    <t>SSC_VAV0107.DmprPos</t>
  </si>
  <si>
    <t>SSC_VAV0107.EffectiveSP</t>
  </si>
  <si>
    <t>SSC_VAV0107.OccSts</t>
  </si>
  <si>
    <t>SSC_VAV0107.RmTemp</t>
  </si>
  <si>
    <t>SSC_VAV0107.SP</t>
  </si>
  <si>
    <t>entity:SSC_VAV0108</t>
  </si>
  <si>
    <t>entity:SSC_VAV0108_Damper_Controller</t>
  </si>
  <si>
    <t>entity:SSC_VAV0108_Air_Flow_Sensor</t>
  </si>
  <si>
    <t>entity:SSC_VAV0108_ActiveState_CALC</t>
  </si>
  <si>
    <t>entity:SSC_VAV0108_TotalOperationDuration</t>
  </si>
  <si>
    <t>entity:SSC_VAV0108_Effective_Temp_Setpoint</t>
  </si>
  <si>
    <t>entity:SSC_VAV0108_Room_Temperature</t>
  </si>
  <si>
    <t>entity:SSC_VAV0108_Temperature_Setpoint</t>
  </si>
  <si>
    <t>entity:SSC_VAV0108_Occupancy_Status</t>
  </si>
  <si>
    <t>SSC VAV0108</t>
  </si>
  <si>
    <t>SSC_VAV0108</t>
  </si>
  <si>
    <t>SSC_VAV0108.AirFlow</t>
  </si>
  <si>
    <t>entity:SSC_VAV0108_Damper_Position</t>
  </si>
  <si>
    <t>SSC_VAV0108.DmprPos</t>
  </si>
  <si>
    <t>SSC_VAV0108.EffectiveSP</t>
  </si>
  <si>
    <t>SSC_VAV0108.OccSts</t>
  </si>
  <si>
    <t>SSC_VAV0108.RmTemp</t>
  </si>
  <si>
    <t>SSC_VAV0108.SP</t>
  </si>
  <si>
    <t>owl:Class</t>
  </si>
  <si>
    <t>rdfs:subClassOf</t>
  </si>
  <si>
    <t>brick:HVAC_Equipment</t>
  </si>
  <si>
    <t>Chilled Water Loop Network</t>
  </si>
  <si>
    <t>brick:Open_Close_Command</t>
  </si>
  <si>
    <t>Cooling Mode Operating Duration</t>
  </si>
  <si>
    <t>Damper Position 100%</t>
  </si>
  <si>
    <t>Damper Position 70%</t>
  </si>
  <si>
    <t>Damper Position 77.5%</t>
  </si>
  <si>
    <t>Damper Position 85%</t>
  </si>
  <si>
    <t>Damper Position 92.5%</t>
  </si>
  <si>
    <t>Dehumidification On Status</t>
  </si>
  <si>
    <t>DX Unit</t>
  </si>
  <si>
    <t>Fail to Start Alarm</t>
  </si>
  <si>
    <t>Fail to Stop Alarm</t>
  </si>
  <si>
    <t>Fan Mode Operating Duration</t>
  </si>
  <si>
    <t>brick:Electrical_Equipment</t>
  </si>
  <si>
    <t>Generator</t>
  </si>
  <si>
    <t>Heater On Status</t>
  </si>
  <si>
    <t>Humidification On Status</t>
  </si>
  <si>
    <t>Operating Duration</t>
  </si>
  <si>
    <t xml:space="preserve">brick:Air_Static_Pressure_Sensor </t>
  </si>
  <si>
    <t>Return Air Static Pressure</t>
  </si>
  <si>
    <t>Return Air Static Pressure 01</t>
  </si>
  <si>
    <t>Return Air Static Pressure 02</t>
  </si>
  <si>
    <t>Scheduled Hours of Operation</t>
  </si>
  <si>
    <t>brick:Supply_Air_Static_Pressure_Sensor</t>
  </si>
  <si>
    <t>Static Pressure Sensor</t>
  </si>
  <si>
    <t>Static Pressure Sensor 01</t>
  </si>
  <si>
    <t>Static Pressure Sensor 02</t>
  </si>
  <si>
    <t>para:Static_Pressure_Sensor_Remote_01</t>
  </si>
  <si>
    <t>Static Pressure Remote Sensor 01</t>
  </si>
  <si>
    <t>para:Static_Pressure_Sensor_Remote_02</t>
  </si>
  <si>
    <t>Static Pressure Remote Sensor 02</t>
  </si>
  <si>
    <t>UnScheduled Hours of Operation</t>
  </si>
  <si>
    <t>qudt:Unit</t>
  </si>
  <si>
    <t>rdf:type</t>
  </si>
  <si>
    <t>qudt:symbol</t>
  </si>
  <si>
    <t>AHU Ontology Consistency Check — SSC_AHUB0001 to SSC_AHUB0005</t>
  </si>
  <si>
    <t>1. Triple count per AHU</t>
  </si>
  <si>
    <t>Metric</t>
  </si>
  <si>
    <t>AHUB0001</t>
  </si>
  <si>
    <t>AHUB0002</t>
  </si>
  <si>
    <t>AHUB0003</t>
  </si>
  <si>
    <t>AHUB0004</t>
  </si>
  <si>
    <t>AHUB0005</t>
  </si>
  <si>
    <t>Rows in source</t>
  </si>
  <si>
    <t>Difference vs AHUB0001</t>
  </si>
  <si>
    <t>Subject pattern</t>
  </si>
  <si>
    <t>Predicate</t>
  </si>
  <si>
    <t>Object pattern</t>
  </si>
  <si>
    <t>Finding</t>
  </si>
  <si>
    <t>entity:SSC_AHUB{N}</t>
  </si>
  <si>
    <t>entity:SSC_AHUB{N}_SAP_Setpoint</t>
  </si>
  <si>
    <t>entity:SSC_AHUB{N}_RF</t>
  </si>
  <si>
    <t>entity:SSC_AHUB{N}_RF_AutoMan_Status</t>
  </si>
  <si>
    <t>entity:SSC_AHUB{N}_SA_P-Static</t>
  </si>
  <si>
    <t>entity:SSC_AHUB{N}_RA_P-Static_01</t>
  </si>
  <si>
    <t>entity:SSC_AHUB{N}_RA_P-Static_02</t>
  </si>
  <si>
    <t>MISSING: SAP_Setpoint point not declared on AHUB0003 and AHUB0005</t>
  </si>
  <si>
    <t>MISSING: no external reference for SAP_Setpoint on AHUB0003 and AHUB0005 (entity absent)</t>
  </si>
  <si>
    <t>MISSING: Return Fan Auto/Manual status not declared on AHUB0004</t>
  </si>
  <si>
    <t>MISSING: no external reference for RF_AutoMan_Status on AHUB0004 (entity absent)</t>
  </si>
  <si>
    <t>DUPLICATE: row repeated twice on AHUB0002, AHUB0003 and AHUB0004</t>
  </si>
  <si>
    <t>EXTRA: only AHUB0004 has additional RA static points _01/_02 (all units already have RA_P-Static)</t>
  </si>
  <si>
    <t>EXTRA: only AHUB0004</t>
  </si>
  <si>
    <t>3. Full relation matrix — every unique AHU relation pattern and its count per unit</t>
  </si>
  <si>
    <t>Status</t>
  </si>
  <si>
    <t>entity:SSC_AHUB{N}_CHW-Coil</t>
  </si>
  <si>
    <t>entity:SSC_AHUB{N}_Filter</t>
  </si>
  <si>
    <t>entity:SSC_AHUB{N}_OAD</t>
  </si>
  <si>
    <t>entity:SSC_AHUB{N}_RAD</t>
  </si>
  <si>
    <t>entity:SSC_AHUB{N}_MAD</t>
  </si>
  <si>
    <t>entity:SSC_AHUB{N}_EAD</t>
  </si>
  <si>
    <t>entity:SSC_AHUB{N}_SF</t>
  </si>
  <si>
    <t>entity:SSC_AHUB{N}_Heater</t>
  </si>
  <si>
    <t>entity:SSC_AHUB{N}_OA_RH</t>
  </si>
  <si>
    <t>entity:SSC_AHUB{N}_OA_Temperature</t>
  </si>
  <si>
    <t>entity:SSC_AHUB{N}_RA_RH</t>
  </si>
  <si>
    <t>entity:SSC_AHUB{N}_RA_Temperature</t>
  </si>
  <si>
    <t>entity:SSC_AHUB{N}_RA_Flow</t>
  </si>
  <si>
    <t>entity:SSC_AHUB{N}_MA_Temperature</t>
  </si>
  <si>
    <t>entity:SSC_AHUB{N}_SA_Flow</t>
  </si>
  <si>
    <t>entity:SSC_AHUB{N}_SA_RH</t>
  </si>
  <si>
    <t>entity:SSC_AHUB{N}_SAT</t>
  </si>
  <si>
    <t>entity:SSC_AHUB{N}_Occupancy_Mode</t>
  </si>
  <si>
    <t>entity:SSC_AHUB{N}_Dehum_Setpoint</t>
  </si>
  <si>
    <t>entity:SSC_AHUB{N}_Occ_Temp_Setpoint</t>
  </si>
  <si>
    <t>entity:SSC_AHUB{N}_UnOcc_Temp_Setpoint</t>
  </si>
  <si>
    <t>entity:SSC_AHUB{N}_Enable_Disable_Cmd</t>
  </si>
  <si>
    <t>entity:SSC_AHUB{N}_Pressure_High_Filter_Dirty_Status</t>
  </si>
  <si>
    <t>entity:SSC_AHUB{N}_High_Pressure_Alarm</t>
  </si>
  <si>
    <t>entity:SSC_AHUB{N}_RA_P-Static</t>
  </si>
  <si>
    <t>entity:SSC_AHUB{N}_CHW-Coil_Valve</t>
  </si>
  <si>
    <t>entity:SSC_AHUB{N}_CHW-Coil_Cooling-Load-Consumption</t>
  </si>
  <si>
    <t>entity:SSC_AHUB{N}_CHW-Coil_Cooling-Load-Demand</t>
  </si>
  <si>
    <t>entity:SSC_AHUB{N}_Cooling-Thermal-Virtual-Meter</t>
  </si>
  <si>
    <t>entity:SSC_AHUB{N}_CHW-Coil_Valve_Pos-Command</t>
  </si>
  <si>
    <t>entity:SSC_AHUB{N}_CHW-Coil_Valve_Pos-Feedback</t>
  </si>
  <si>
    <t>entity:SSC_AHUB{N}_EAD_Pos_Cmd</t>
  </si>
  <si>
    <t>entity:SSC_AHUB{N}_EAD_Pos_Fbk</t>
  </si>
  <si>
    <t>entity:SSC_AHUB{N}_EAD_Pos-Status</t>
  </si>
  <si>
    <t>entity:SSC_AHUB{N}_Heater_Command</t>
  </si>
  <si>
    <t>entity:SSC_AHUB{N}_MAD_Pos_Cmd</t>
  </si>
  <si>
    <t>entity:SSC_AHUB{N}_MAD_Pos_Fbk</t>
  </si>
  <si>
    <t>entity:SSC_AHUB{N}_OAD_Pos_Cmd</t>
  </si>
  <si>
    <t>entity:SSC_AHUB{N}_OAD_Pos_Fbk</t>
  </si>
  <si>
    <t>entity:SSC_AHUB{N}_OAD_Pos-Status</t>
  </si>
  <si>
    <t>entity:SSC_AHUB{N}_RAD_ReCr_Damper_Pos_100</t>
  </si>
  <si>
    <t>entity:SSC_AHUB{N}_RAD_ReCr_Damper_Pos_70</t>
  </si>
  <si>
    <t>entity:SSC_AHUB{N}_RAD_ReCr_Damper_Pos_77.5</t>
  </si>
  <si>
    <t>entity:SSC_AHUB{N}_RAD_ReCr_Damper_Pos_85</t>
  </si>
  <si>
    <t>entity:SSC_AHUB{N}_RAD_ReCr_Damper_Pos_92.5</t>
  </si>
  <si>
    <t>entity:SSC_AHUB{N}_RF_Motor</t>
  </si>
  <si>
    <t>entity:SSC_AHUB{N}_RF_TripAlm</t>
  </si>
  <si>
    <t>entity:SSC_AHUB{N}_RF_Motor_Electrical-Meter</t>
  </si>
  <si>
    <t>entity:SSC_AHUB{N}_RF_Motor_Speed_Cmd</t>
  </si>
  <si>
    <t>entity:SSC_AHUB{N}_RF_Motor_Speed_Fbk</t>
  </si>
  <si>
    <t>entity:SSC_AHUB{N}_RF_Motor_Electrical-Meter_Power-Demand</t>
  </si>
  <si>
    <t>entity:SSC_AHUB{N}_RF_Motor_Electrical-Meter_Electrical_Energy_Consumption</t>
  </si>
  <si>
    <t>entity:SSC_AHUB{N}_SF_Motor</t>
  </si>
  <si>
    <t>entity:SSC_AHUB{N}_SF_TripAlm</t>
  </si>
  <si>
    <t>entity:SSC_AHUB{N}_SF_AutoMan_Status</t>
  </si>
  <si>
    <t>entity:SSC_AHUB{N}_SF_FailtoStop</t>
  </si>
  <si>
    <t>entity:SSC_AHUB{N}_SF_FailtoStart</t>
  </si>
  <si>
    <t>entity:SSC_AHUB{N}_SF_Status</t>
  </si>
  <si>
    <t>entity:SSC_AHUB{N}_SF_Motor_Electrical-Meter</t>
  </si>
  <si>
    <t>entity:SSC_AHUB{N}_SF_Motor_Speed_Cmd</t>
  </si>
  <si>
    <t>entity:SSC_AHUB{N}_SF_Motor_Speed_Fbk</t>
  </si>
  <si>
    <t>entity:SSC_AHUB{N}_SF_Motor_Electrical_Energy_Consumption</t>
  </si>
  <si>
    <t>entity:SSC_AHUB{N}_SF_Motor_Electrical-Meter_Power-Demand</t>
  </si>
  <si>
    <t>Turn #</t>
  </si>
  <si>
    <t>Date</t>
  </si>
  <si>
    <t>User Request</t>
  </si>
  <si>
    <t>Action Taken</t>
  </si>
  <si>
    <t>Details</t>
  </si>
  <si>
    <t>Outcome</t>
  </si>
  <si>
    <t>Confirm whether ontology definitions for the 5 AHUs (SSC_AHUB0001-0005) match in count, and identify discrepancies; put results on a separate sheet.</t>
  </si>
  <si>
    <t>Created 'AHU_Comparison' sheet with per-unit triple counts, a discrepancy table, and a full 135-relation matrix.</t>
  </si>
  <si>
    <t>Normalised each triple in SSC_Ontology_Ver0.5!A128:D773 by replacing the AHU id with {N}, then counted each pattern per unit with COUNTIFS+SUBSTITUTE formulas (live-linked to source). Status flags via MIN/MAX. Conditional formatting highlights non-OK rows.</t>
  </si>
  <si>
    <t>Counts do NOT match: 129/130/128/132/127 rows. 12 of 135 relation patterns differ - 3 location rows (expected), missing SAP_Setpoint on 0003/0005, missing RF_AutoMan_Status on 0004, duplicated SA_P-Static ref on 0002/0003/0004, extra RA_P-Static_01/_02 on 0004.</t>
  </si>
  <si>
    <t>Source: SSC_Ontology_Ver0.5!A128:D773 (646 triples). Relations normalised by replacing the AHU id with {N}, then counted per unit. rec:locatedIn relations are excluded - location legitimately differs by unit.</t>
  </si>
  <si>
    <t>2. Discrepancies (relations whose count is not identical across the 5 AHUs — location relations excluded)</t>
  </si>
  <si>
    <t>Disregard the rec:locatedIn discrepancies.</t>
  </si>
  <si>
    <t>Removed the 3 location rows from the discrepancy table and flagged them as excluded in the full matrix.</t>
  </si>
  <si>
    <t>Deleted rows 20:22 (sections below shifted up: matrix header now row 22, data 23:157). Status formula now returns 'Excluded - location varies by unit' when column B = rec:locatedIn; conditional highlight skips excluded rows. Header note in A2/A9 updated.</t>
  </si>
  <si>
    <t>Discrepancy count now 9 real issues across 135 relations (123 OK, 8 not-on-all-units, 1 duplicated, 3 excluded locations).</t>
  </si>
  <si>
    <t>CCU / CRAC Ontology Consistency Check — 14 units</t>
  </si>
  <si>
    <t>Source: SSC_Ontology_Ver0.5!A815:E1346 (532 triples). Relations normalised by replacing the unit id with {U}, then counted per unit. rec:locatedIn relations are excluded - location legitimately differs by unit.</t>
  </si>
  <si>
    <t>1. Triple count per unit</t>
  </si>
  <si>
    <t>Check</t>
  </si>
  <si>
    <t>Difference vs CCU3F0301</t>
  </si>
  <si>
    <t>2. Findings</t>
  </si>
  <si>
    <t>Triple count: IDENTICAL — all 14 units have exactly 38 rows.</t>
  </si>
  <si>
    <t>Relation patterns: 40 unique patterns; 37 present exactly once on every unit. No missing points, no duplicated rows.</t>
  </si>
  <si>
    <t>The only variation is rec:locatedIn (3 distinct rooms: B1_038_SER-2, B1_023_Q_TEL, B1_017_MDF-2) — excluded as agreed.</t>
  </si>
  <si>
    <t>Type columns (subject type, object type): consistent — every pattern uses the same brick/para class on all 14 units.</t>
  </si>
  <si>
    <t>3. Full relation matrix — every unique CCU relation pattern and its count per unit</t>
  </si>
  <si>
    <t>entity:SSC_{U}</t>
  </si>
  <si>
    <t>entity:SSC_{U}_Humidity</t>
  </si>
  <si>
    <t>entity:SSC_{U}_Temperature</t>
  </si>
  <si>
    <t>entity:SSC_{U}_Humidity_Setpoint</t>
  </si>
  <si>
    <t>entity:SSC_{U}_Temperature_Setpoint</t>
  </si>
  <si>
    <t>entity:SSC_{U}_Communication_Alarm</t>
  </si>
  <si>
    <t>entity:SSC_{U}_Loss_of_Airflow</t>
  </si>
  <si>
    <t>entity:SSC_{U}_General_Fault</t>
  </si>
  <si>
    <t>entity:SSC_{U}_Clogged_Filter</t>
  </si>
  <si>
    <t>entity:SSC_{U}_Cool_On_Status</t>
  </si>
  <si>
    <t>entity:SSC_{U}_Dehumidifcation_On_Status</t>
  </si>
  <si>
    <t>entity:SSC_{U}_Electric_Heater_On_Status</t>
  </si>
  <si>
    <t>entity:SSC_{U}_Fan_On_Status</t>
  </si>
  <si>
    <t>entity:SSC_{U}_Humidification_On_Status</t>
  </si>
  <si>
    <t>entity:SSC_{U}_Main_Fan_Overload</t>
  </si>
  <si>
    <t>entity:SSC_{U}_Running_Status</t>
  </si>
  <si>
    <t>entity:SSC_{U}_Operating_State</t>
  </si>
  <si>
    <t>entity:SSC_{U}_Summary_Alarm_Status</t>
  </si>
  <si>
    <t>Run the same consistency comparison for the newly selected range (A815:E1346) on its own sheet.</t>
  </si>
  <si>
    <t>Created 'CCU_Comparison' sheet comparing the 14 CCU/CRAC units in SSC_Ontology_Ver0.5!A815:E1346.</t>
  </si>
  <si>
    <t>Unit ids are non-sequential (CCU3F0301, CCUB0001A/B, ... CCUB0008), so ids were detected by regex rather than assumed. Same method as AHU sheet: normalise unit id to {U}, count each pattern per unit with COUNTIFS+SUBSTITUTE. Also compared the two type columns (B, E) which the AHU range did not have.</t>
  </si>
  <si>
    <t>Counts MATCH: all 14 units have 38 rows; 37 of 40 relation patterns present exactly once on every unit; 3 rec:locatedIn patterns excluded per user. Type columns consistent. No missing or duplicated rows.</t>
  </si>
  <si>
    <t>2 sets of data for each</t>
  </si>
  <si>
    <t>2 extra sets of data</t>
  </si>
  <si>
    <t>based on above</t>
  </si>
  <si>
    <t>Missing or doesn’t exist?</t>
  </si>
  <si>
    <t>4. Location breakdown — rec:locatedIn triple per unit</t>
  </si>
  <si>
    <t>Unit</t>
  </si>
  <si>
    <t># of rec:locatedIn triples</t>
  </si>
  <si>
    <t>Room (object of the triple)</t>
  </si>
  <si>
    <t>Units sharing that room</t>
  </si>
  <si>
    <t>Conclusion: every CCU has exactly one rec:locatedIn triple, so none is missing or duplicated. The rooms themselves are NOT unique per unit — 6 units share B1_038_SER-2, 6 share B1_023_Q_TEL, and 2 share B1_017_MDF-2.</t>
  </si>
  <si>
    <t>For the CCUs not located in B1_023_Q_TEL or B1_017_MDF-2, do they have a unique rec:locatedIn triple?</t>
  </si>
  <si>
    <t>Audited rec:locatedIn per CCU and added a 'Location breakdown' table to CCU_Comparison (rows 59-76).</t>
  </si>
  <si>
    <t>Per-unit triple count via COUNTIFS; room resolved with TEXTJOIN+IF array formula against SSC_Ontology_Ver0.5!A815:D1346; room occupancy via COUNTIFS on predicate+object. Kept as live formulas.</t>
  </si>
  <si>
    <t>Answer: yes, each of the 14 CCUs has exactly one rec:locatedIn triple - none missing or duplicated. But the rooms are shared, not unique: the 6 units outside Q_TEL/MDF-2 all sit in B1_038_SER-2.</t>
  </si>
  <si>
    <t>Chilled Water Pump Ontology Consistency Check — SSC_CHW_CHWP01 to CHWP04</t>
  </si>
  <si>
    <t>Source: SSC_Ontology_Ver0.5!A1347:E1422 (76 triples). Relations normalised by replacing the pump id with {P}, then counted per pump. Type columns (B, E) also compared.</t>
  </si>
  <si>
    <t>1. Triple count per pump</t>
  </si>
  <si>
    <t>CHWP01</t>
  </si>
  <si>
    <t>CHWP02</t>
  </si>
  <si>
    <t>CHWP03</t>
  </si>
  <si>
    <t>CHWP04</t>
  </si>
  <si>
    <t>All equal?</t>
  </si>
  <si>
    <t>Difference vs CHWP01</t>
  </si>
  <si>
    <t>Triple count: IDENTICAL — all 4 pumps have exactly 19 rows.</t>
  </si>
  <si>
    <t>Relation patterns: 19 unique patterns, each present exactly once on every pump. No missing points, no duplicated rows, no extra points.</t>
  </si>
  <si>
    <t>Location: unlike the AHUs and CCUs, all 4 pumps share the same room (SSC_B1_014_VENT_PLANT), so even rec:locatedIn is identical.</t>
  </si>
  <si>
    <t>Type columns (subject type, object type): consistent — every pattern uses the same brick/para class on all 4 pumps.</t>
  </si>
  <si>
    <t>Observation (not a discrepancy): the pumps carry Speed_Command and Speed_Fbk but no run/stop status or auto-manual point. This is uniform across all 4, so it is a modelling choice rather than an inconsistency — worth confirming it is intended.</t>
  </si>
  <si>
    <t>3. Full relation matrix — every unique pump relation pattern and its count per pump</t>
  </si>
  <si>
    <t>entity:SSC_CHW_{P}</t>
  </si>
  <si>
    <t>entity:SSC_CHW_{P}_Motor</t>
  </si>
  <si>
    <t>entity:SSC_CHW_{P}_Electrical_Meter</t>
  </si>
  <si>
    <t>entity:SSC_CHW_{P}_Thermal_Meter</t>
  </si>
  <si>
    <t>entity:SSC_CHW_{P}_Scheduled_PM_Hours</t>
  </si>
  <si>
    <t>entity:SSC_CHW_{P}_UNScheduled_Outage_Hours</t>
  </si>
  <si>
    <t>entity:SSC_CHW_{P}_Power_Sensor</t>
  </si>
  <si>
    <t>entity:SSC_CHW_{P}_Speed_Command</t>
  </si>
  <si>
    <t>entity:SSC_CHW_{P}_Speed_Fbk</t>
  </si>
  <si>
    <t>entity:SSC_CHW_{P}_Thermal_Power_Sensor</t>
  </si>
  <si>
    <t>Run the same consistency exercise for the chilled water pumps in SSC_Ontology_Ver0.5!A1347:E1422.</t>
  </si>
  <si>
    <t>Created 'CHWP_Comparison' sheet comparing the 4 chilled water booster pumps (SSC_CHW_CHWP01-04).</t>
  </si>
  <si>
    <t>Same method: normalise pump id to {P}, count each of the 19 relation patterns per pump with COUNTIFS+SUBSTITUTE against A1347:D1422; compared subject/object type columns; status flag via MIN/MAX.</t>
  </si>
  <si>
    <t>Fully consistent: 19 rows per pump, 19/19 patterns present exactly once on every pump, types identical, all 4 in the same room (B1_014_VENT_PLANT) so no location variance either. Flagged one non-error observation: pumps have Speed_Command/Speed_Fbk but no run status or auto-manual point on any of the 4.</t>
  </si>
  <si>
    <t>Heat Exchanger Ontology Consistency Check — SSC_CHW_HE01 to HE05</t>
  </si>
  <si>
    <t>Source: SSC_Ontology_Ver0.5!A1423:E1572 (150 triples). Relations normalised by replacing the HE id with {H}, then counted per unit. Type columns (B, E) also compared.</t>
  </si>
  <si>
    <t>1. Triple count per heat exchanger</t>
  </si>
  <si>
    <t>HE01</t>
  </si>
  <si>
    <t>HE02</t>
  </si>
  <si>
    <t>HE03</t>
  </si>
  <si>
    <t>HE04</t>
  </si>
  <si>
    <t>HE05</t>
  </si>
  <si>
    <t>Difference vs HE01</t>
  </si>
  <si>
    <t>Counts DO NOT match: HE01-HE04 have 32 rows each, HE05 has only 22 — 10 rows short.</t>
  </si>
  <si>
    <t>All 10 missing rows sit on HE05's Supply_Valve: the points Auto_Command, Manual_Auto_Status, Close_Command, Open_Command and Status are absent, together with their 5 ref:hasExternalReference rows. HE05's Supply_Valve keeps only its Temperature_Sensor.</t>
  </si>
  <si>
    <t>Everything else is consistent: the Return_Valve branch, Motor, isPartOf, locatedIn and IFC reference are identical on all 5. All 5 are in the same room (SSC_B1_014_VENT_PLANT), so there is no location variance.</t>
  </si>
  <si>
    <t>Type columns: no inconsistencies between units — every shared pattern carries the same subject/object class on all 5.</t>
  </si>
  <si>
    <t>Observation (affects all 5, so not a count discrepancy): Supply_Valve_Close_Command is typed para:Open_command and Supply_Valve_Open_Command is typed para:Close_command — the two classes look swapped. Also Return_Valve carries both _Open_Close_Status and _Status, both typed brick:Open_Close_Status, which looks like a duplicated point under two names.</t>
  </si>
  <si>
    <t>3. Discrepancies — relations not present on every heat exchanger</t>
  </si>
  <si>
    <t>entity:SSC_CHW_{H}_Supply_Valve</t>
  </si>
  <si>
    <t>entity:SSC_CHW_{H}_Supply_Valve_Auto_Command</t>
  </si>
  <si>
    <t>entity:SSC_CHW_{H}_Supply_Valve_Manual_Auto_Status</t>
  </si>
  <si>
    <t>entity:SSC_CHW_{H}_Supply_Valve_Close_Command</t>
  </si>
  <si>
    <t>entity:SSC_CHW_{H}_Supply_Valve_Open_Command</t>
  </si>
  <si>
    <t>entity:SSC_CHW_{H}_Supply_Valve_Status</t>
  </si>
  <si>
    <t>MISSING on HE05</t>
  </si>
  <si>
    <t>4. Full relation matrix — every unique heat exchanger relation pattern and its count per unit</t>
  </si>
  <si>
    <t>entity:SSC_CHW_{H}</t>
  </si>
  <si>
    <t>entity:SSC_CHW_{H}_Return_Valve</t>
  </si>
  <si>
    <t>entity:SSC_CHW_{H}_Return_Valve_Motor</t>
  </si>
  <si>
    <t>entity:SSC_CHW_{H}_Return_Valve_Open_Close_Status</t>
  </si>
  <si>
    <t>entity:SSC_CHW_{H}_Return_Valve_Diff_Prs</t>
  </si>
  <si>
    <t>entity:SSC_CHW_{H}_Return_Valve_Position_Command</t>
  </si>
  <si>
    <t>entity:SSC_CHW_{H}_Return_Valve_Position</t>
  </si>
  <si>
    <t>entity:SSC_CHW_{H}_Return_Valve_Status</t>
  </si>
  <si>
    <t>entity:SSC_CHW_{H}_Return_Valve_Motor_Auto_Manual_Command_Status</t>
  </si>
  <si>
    <t>entity:SSC_CHW_{H}_Return_Valve_Motor_Auto_Manual_Status</t>
  </si>
  <si>
    <t>entity:SSC_CHW_{H}_Supply_Valve_Temperature_Sensor</t>
  </si>
  <si>
    <t>Run the same consistency exercise for the heat exchangers in SSC_Ontology_Ver0.5!A1423:E1572.</t>
  </si>
  <si>
    <t>Created 'HE_Comparison' sheet comparing the 5 chilled water heat exchangers (SSC_CHW_HE01-HE05).</t>
  </si>
  <si>
    <t>Same method: normalise HE id to {H}, count all 32 relation patterns per unit with COUNTIFS+SUBSTITUTE against A1423:D1572; compared subject/object type columns. Sheet has count summary (rows 5-7), findings (10-14), discrepancy table (17-27) and full matrix (29-61).</t>
  </si>
  <si>
    <t>Counts DO NOT match: HE01-04 = 32 rows, HE05 = 22 (10 short). All 10 missing rows are on HE05's Supply_Valve (Auto_Command, Manual_Auto_Status, Close_Command, Open_Command, Status + their 5 external references); only Temperature_Sensor remains. Everything else identical, all 5 in same room. Flagged two uniform modelling issues: Open/Close_Command para types look swapped, and Return_Valve has both _Open_Close_Status and _Status with the same class.</t>
  </si>
  <si>
    <t>Challenged whether the whole worksheet was checked for heat exchanger rows, not just the selected range.</t>
  </si>
  <si>
    <t>Scanned the entire used range of SSC_Ontology_Ver0.5 (5,120 rows x 27 cols) for heat exchanger references.</t>
  </si>
  <si>
    <t>Matched on HE0x, HEX, HX, PHE, 'Plate Heat', 'Exchanger' and 'heat exchanger' across all columns of every row. 150 hits found, all within rows 1423-1572. The 25 'Exchanger' hits are the brick:Heat_Exchanger class cells (5 units x 5 rows) inside that same block.</t>
  </si>
  <si>
    <t>Confirmed: no heat exchanger data exists outside A1423:E1572, so HE_Comparison covers the complete set. Also inspected the user's newly inserted rows 1671-1680 - these are DX unit rec:feeds triples, unrelated to HEs.</t>
  </si>
  <si>
    <t>DX Unit Ontology Consistency Check — SSC_DXB0001 to DXB0010</t>
  </si>
  <si>
    <t>Source: SSC_Ontology_Ver0.5!A1573:E1680 (108 triples). Relations normalised by replacing the DX id with {D}, then counted per unit. rec:locatedIn and rec:feeds are excluded from the pass/fail flag because both legitimately vary by room.</t>
  </si>
  <si>
    <t>1. Triple count per DX unit</t>
  </si>
  <si>
    <t>DXB0001</t>
  </si>
  <si>
    <t>DXB0002</t>
  </si>
  <si>
    <t>DXB0003</t>
  </si>
  <si>
    <t>DXB0004</t>
  </si>
  <si>
    <t>DXB0005</t>
  </si>
  <si>
    <t>DXB0006</t>
  </si>
  <si>
    <t>DXB0007</t>
  </si>
  <si>
    <t>DXB0008</t>
  </si>
  <si>
    <t>DXB0009</t>
  </si>
  <si>
    <t>DXB0010</t>
  </si>
  <si>
    <t>Difference vs DXB0001</t>
  </si>
  <si>
    <t>Counts DO NOT match: DXB0001-DXB0006 have 10 rows each, DXB0007-DXB0010 have 12 — a 2-row difference.</t>
  </si>
  <si>
    <t>The entire difference is one point: DXB0007-DXB0010 carry a Humidity_Sensor (hasPoint + its ref:hasExternalReference). DXB0001-DXB0006 have no humidity point at all.</t>
  </si>
  <si>
    <t>This looks intentional rather than a defect: the four units with humidity sensing are the ones in FM STORAGE rooms (B1_019/020/021), while the six without are in the UPS and MV switch rooms. Worth confirming that storage rooms are meant to be humidity-monitored and the electrical rooms are not.</t>
  </si>
  <si>
    <t>Everything else is consistent: Temperature_Sensor, Alarm, Running_Status, isPartOf HVAC and the IFC external reference are present exactly once on all 10 units. Type columns show no inconsistencies.</t>
  </si>
  <si>
    <t>Observation: every unit's rec:feeds target is the SAME room as its rec:locatedIn target. If rec:feeds is meant to express which space the unit serves that is fine, but a unit feeding the room it sits in is worth a second look — see the breakdown in section 5.</t>
  </si>
  <si>
    <t>3. Discrepancies — structural relations not present on every DX unit (location/feeds excluded)</t>
  </si>
  <si>
    <t>entity:SSC_{D}</t>
  </si>
  <si>
    <t>entity:SSC_{D}_Humidity_Sensor</t>
  </si>
  <si>
    <t>MISSING on DXB0001-DXB0006 (likely intentional - see findings)</t>
  </si>
  <si>
    <t>MISSING on DXB0001-DXB0006 (entity absent)</t>
  </si>
  <si>
    <t>4. Full relation matrix — every unique DX relation pattern and its count per unit</t>
  </si>
  <si>
    <t>entity:SSC_{D}_Temperature_Sensor</t>
  </si>
  <si>
    <t>entity:SSC_{D}_Alarm</t>
  </si>
  <si>
    <t>entity:SSC_{D}_Running_Status</t>
  </si>
  <si>
    <t>5. Location and feeds breakdown per unit</t>
  </si>
  <si>
    <t># locatedIn</t>
  </si>
  <si>
    <t>Room (locatedIn)</t>
  </si>
  <si>
    <t>Target (rec:feeds)</t>
  </si>
  <si>
    <t>feeds = locatedIn?</t>
  </si>
  <si>
    <t>Run the same consistency exercise for the DX units in SSC_Ontology_Ver0.5!A1573:E1680.</t>
  </si>
  <si>
    <t>Created 'DX_Comparison' sheet comparing the 10 DX units (SSC_DXB0001-DXB0010), after first sweeping the whole sheet for stray DX rows.</t>
  </si>
  <si>
    <t>Whole-sheet scan found one DX row outside the range - row 4988, 'para:DXUnit owl:Class rdfs:subClassOf brick:HVAC_Equipment' - which is a class definition, not instance data, so it was excluded. Same method as prior sheets: normalise id to {D}, COUNTIFS+SUBSTITUTE per unit over A1573:D1680. Both rec:locatedIn and rec:feeds excluded from the pass/fail flag since both legitimately vary by room. Added a location/feeds breakdown table.</t>
  </si>
  <si>
    <t>Counts DO NOT match: DXB0001-0006 = 10 rows, DXB0007-0010 = 12. Whole difference is the Humidity_Sensor point + its external reference, present only on the 4 units in FM STORAGE rooms - likely intentional, flagged for confirmation. Matrix: 8 OK, 2 not-on-all-units, 10 excluded. Also flagged that all 10 units have rec:feeds pointing at the same room as rec:locatedIn.</t>
  </si>
  <si>
    <t>FCU Ontology Consistency Check — SSC_FCU0001 to FCU0011</t>
  </si>
  <si>
    <t>Source: SSC_Ontology_Ver0.5!A1681:E2208 (528 triples). Relations normalised by replacing the FCU id with {F}, then counted per unit. rec:locatedIn and rec:feeds are excluded from the pass/fail flag because both legitimately vary by room.</t>
  </si>
  <si>
    <t>1. Triple count per FCU</t>
  </si>
  <si>
    <t>FCU0001</t>
  </si>
  <si>
    <t>FCU0002</t>
  </si>
  <si>
    <t>FCU0003</t>
  </si>
  <si>
    <t>FCU0004</t>
  </si>
  <si>
    <t>FCU0005</t>
  </si>
  <si>
    <t>FCU0006</t>
  </si>
  <si>
    <t>FCU0007</t>
  </si>
  <si>
    <t>FCU0008</t>
  </si>
  <si>
    <t>FCU0009</t>
  </si>
  <si>
    <t>FCU0010</t>
  </si>
  <si>
    <t>FCU0011</t>
  </si>
  <si>
    <t>Difference vs FCU0001</t>
  </si>
  <si>
    <t>Triple count: IDENTICAL — all 11 FCUs have exactly 48 rows.</t>
  </si>
  <si>
    <t>Relation patterns: 64 unique patterns. 46 are structural and present exactly once on every FCU — no missing points, no duplicates, no extras.</t>
  </si>
  <si>
    <t>The remaining 18 patterns are the rec:locatedIn and rec:feeds rows, which differ only in which room they point at (9 distinct rooms across the 11 units). Every FCU has exactly one of each, so this is room variance, not a gap.</t>
  </si>
  <si>
    <t>Type columns (subject type, object type): consistent — every shared pattern uses the same brick/para class on all 11 units.</t>
  </si>
  <si>
    <t>Observation: as with the DX units, each FCU's rec:feeds target is the SAME room as its rec:locatedIn target on all 11 units — see the breakdown in section 4.</t>
  </si>
  <si>
    <t>3. Full relation matrix — every unique FCU relation pattern and its count per unit</t>
  </si>
  <si>
    <t>entity:SSC_{F}</t>
  </si>
  <si>
    <t>entity:SSC_{F}_CHW-Coil</t>
  </si>
  <si>
    <t>entity:SSC_{F}_Cooling-Thermal-Virtual-Meter</t>
  </si>
  <si>
    <t>entity:SSC_{F}_ElectricalVirtualMeter</t>
  </si>
  <si>
    <t>entity:SSC_{F}_SF</t>
  </si>
  <si>
    <t>entity:SSC_{F}_Schedule_Hrs</t>
  </si>
  <si>
    <t>entity:SSC_{F}_UnScheduled_Hrs</t>
  </si>
  <si>
    <t>entity:SSC_{F}_Temp_Setpoint</t>
  </si>
  <si>
    <t>entity:SSC_{F}_Occupied_Temp_Setpoint</t>
  </si>
  <si>
    <t>entity:SSC_{F}_Room_Temperature</t>
  </si>
  <si>
    <t>entity:SSC_{F}_CoolingMode_OperationDuration</t>
  </si>
  <si>
    <t>entity:SSC_{F}_FanMode_OperationDuration</t>
  </si>
  <si>
    <t>entity:SSC_{F}_TotalOperationDuration</t>
  </si>
  <si>
    <t>entity:SSC_{F}_Starttime</t>
  </si>
  <si>
    <t>entity:SSC_{F}_Stoptime</t>
  </si>
  <si>
    <t>entity:SSC_{F}_Occupancy_Status</t>
  </si>
  <si>
    <t>entity:SSC_{F}_Temp_Cntrl_SCADA_or_Thermostat</t>
  </si>
  <si>
    <t>entity:SSC_{F}_CHW-Coil_Valve</t>
  </si>
  <si>
    <t>entity:SSC_{F}_Cooling-Load-Consumption</t>
  </si>
  <si>
    <t>entity:SSC_{F}_Cooling-Load-Demand</t>
  </si>
  <si>
    <t>entity:SSC_{F}_ElectricalConsumption</t>
  </si>
  <si>
    <t>entity:SSC_{F}_ElectricalDemand</t>
  </si>
  <si>
    <t>entity:SSC_{F}_SF_Motor</t>
  </si>
  <si>
    <t>entity:SSC_{F}_Start_Command</t>
  </si>
  <si>
    <t>entity:SSC_{F}_Stop_Command</t>
  </si>
  <si>
    <t>4. Location and feeds breakdown per unit</t>
  </si>
  <si>
    <t>Run the same consistency exercise for the FCUs in SSC_Ontology_Ver0.5!A1681:E2208.</t>
  </si>
  <si>
    <t>Created 'FCU_Comparison' sheet comparing the 11 FCUs (SSC_FCU0001-FCU0011), after sweeping the whole sheet for stray FCU rows.</t>
  </si>
  <si>
    <t>Whole-sheet scan found zero FCU rows outside A1681:E2208, so the set is complete. Same method: normalise id to {F}, COUNTIFS+SUBSTITUTE per unit; rec:locatedIn and rec:feeds excluded from the pass/fail flag. Sheet: counts (5-7), findings (10-14), 64-pattern matrix (17-81), location/feeds breakdown (83-95).</t>
  </si>
  <si>
    <t>Fully consistent: 48 rows on every FCU; 46 structural patterns present exactly once on all 11; 18 excluded location/feeds patterns covering 9 distinct rooms, one locatedIn and one feeds per unit. No type inconsistencies. Flagged again that rec:feeds points at the same room as rec:locatedIn on all 11 units.</t>
  </si>
  <si>
    <t>Exhaust Fan Ontology Consistency Check — GEFB0001, KEF0103/0303, TEF0101/0102/0301/0302</t>
  </si>
  <si>
    <t>Source: SSC_Ontology_Ver0.5!A2209:E2492. The selected range A2209:E2238 held only ONE unit (GEFB0001), so the scope was widened to every entity typed brick:Exhaust_Fan — 7 units in total. Rows 2343-2372 inside that span belong to Levels and the MV Generator and are ignored.</t>
  </si>
  <si>
    <t>1. Triple count per fan</t>
  </si>
  <si>
    <t>GEFB0001</t>
  </si>
  <si>
    <t>KEF0103</t>
  </si>
  <si>
    <t>KEF0303</t>
  </si>
  <si>
    <t>TEF0101</t>
  </si>
  <si>
    <t>TEF0102</t>
  </si>
  <si>
    <t>TEF0301</t>
  </si>
  <si>
    <t>TEF0302</t>
  </si>
  <si>
    <t>Distinct relations (rows / duplication)</t>
  </si>
  <si>
    <t>Difference vs GEFB0001</t>
  </si>
  <si>
    <t>Counts DO NOT match: GEFB0001 and the four TEFs have 30 rows each; KEF0103 and KEF0303 have 52.</t>
  </si>
  <si>
    <t>KEF0103 and KEF0303 are DUPLICATED end to end: each has 26 distinct relations and every single one of them appears exactly twice (26 x 2 = 52). This is a data-entry duplication, not extra content — see the Duplication column in section 3.</t>
  </si>
  <si>
    <t>Type inconsistency: Motor_Running_Status is typed brick:On_Off_Status on GEFB0001, KEF0103 and KEF0303, but brick:Fan_Status on all four TEFs. The same concept carries two different classes.</t>
  </si>
  <si>
    <t>Location: ALL 7 fans are locatedIn AND feed the same room, entity:Level7_Office0367 — including units named for basement and level 01/03. This looks like placeholder data copied across every fan and should be corrected.</t>
  </si>
  <si>
    <t>Note: rows 2343-2372 sit inside the scanned span but belong to Levels and the MV Generator, so they are excluded from this comparison.</t>
  </si>
  <si>
    <t>3. Full relation matrix — count per fan (1 = present once, 2 = duplicated, 0 = absent)</t>
  </si>
  <si>
    <t>Presence</t>
  </si>
  <si>
    <t>Duplication</t>
  </si>
  <si>
    <t>entity:SSC_{X}</t>
  </si>
  <si>
    <t>entity:SSC_{X}_Motor</t>
  </si>
  <si>
    <t>entity:SSC_{X}_Starttime</t>
  </si>
  <si>
    <t>entity:SSC_{X}_Stoptime</t>
  </si>
  <si>
    <t>entity:SSC_{X}_Motor_Auto_Command</t>
  </si>
  <si>
    <t>entity:SSC_{X}_Motor_Auto_Command_Status</t>
  </si>
  <si>
    <t>entity:SSC_{X}_Motor_Auto_Manual_Status</t>
  </si>
  <si>
    <t>entity:SSC_{X}_Motor_Exhaust_Fan_in_Auto_Mode</t>
  </si>
  <si>
    <t>entity:SSC_{X}_Motor_Exhaust_Fan_Healthy</t>
  </si>
  <si>
    <t>entity:SSC_{X}_Motor_Manual_Command</t>
  </si>
  <si>
    <t>entity:SSC_{X}_Motor_Running_Status</t>
  </si>
  <si>
    <t>entity:SSC_{X}_Motor_Start_Command</t>
  </si>
  <si>
    <t>entity:SSC_{X}_Motor_Stop_Command</t>
  </si>
  <si>
    <t>entity:SSC_{X}_Motor_Trip_Alarm</t>
  </si>
  <si>
    <t>entity:SSC_{X}_Motor_LOC_On_Off_Status</t>
  </si>
  <si>
    <t>entity:SSC_{X}_Motor_PDSL_OnOff_Status</t>
  </si>
  <si>
    <t>entity:SSC_{X}_Motor_Rtn_Air_Prs_Sw_Alarm</t>
  </si>
  <si>
    <t>Three different point sets are in use. GEFB0001 alone has Auto_Command_Status, Exhaust_Fan_in_Auto_Mode and Exhaust_Fan_Healthy (plus their references). The KEFs and TEFs have LOC_On_Off_Status, which GEFB0001 lacks. The four TEFs alone have PDSL_OnOff_Status and Rtn_Air_Prs_Sw_Alarm. Of 36 relation patterns, only 24 are shared by all 7 fans; the other 12 are sub-type specific.</t>
  </si>
  <si>
    <t>4. Location and feeds breakdown per fan</t>
  </si>
  <si>
    <t>Fan</t>
  </si>
  <si>
    <t># locatedIn triples</t>
  </si>
  <si>
    <t>Every fan points at the same room, and the KEFs show it twice because their whole block is duplicated. A basement GEF, two kitchen EFs and four toilet EFs all located in one Level 7 office is almost certainly placeholder data.</t>
  </si>
  <si>
    <t>Run the same consistency exercise for the selected range A2209:E2238.</t>
  </si>
  <si>
    <t>Found the range held only one unit, widened scope to all 7 brick:Exhaust_Fan entities (rows 2209-2492) and created 'EF_Comparison'.</t>
  </si>
  <si>
    <t>Selected range contained only GEFB0001, so a whole-sheet scan identified every entity typed brick:Exhaust_Fan: GEFB0001, KEF0103, KEF0303, TEF0101/0102/0301/0302. Rows 2343-2372 (Levels, MV Generator) fall inside the span and were excluded. Matrix uses Presence and Duplication columns instead of a single status because duplication and absence are separate problems here. Distinct-relation row is a SUMPRODUCT over the matrix.</t>
  </si>
  <si>
    <t>Counts DO NOT match: GEF + 4 TEFs = 30 rows, KEF0103/KEF0303 = 52. KEFs are duplicated end to end (26 distinct relations x2). Three point sets in use - only 24 of 36 patterns shared by all 7. Type inconsistency: Motor_Running_Status is brick:On_Off_Status on GEF/KEFs but brick:Fan_Status on TEFs. Major flag: all 7 fans are locatedIn and feed the same room, entity:Level7_Office0367 - likely placeholder data.</t>
  </si>
  <si>
    <t>Generator Ontology Check — SSC_MV_Generator</t>
  </si>
  <si>
    <t>There is only ONE generator instance in the model, so a cross-unit count comparison is not possible. This sheet is an internal integrity check instead: every point is tested for exactly one declaration and exactly one external reference, and all generator triples are located.</t>
  </si>
  <si>
    <t>1. Row inventory</t>
  </si>
  <si>
    <t>Count</t>
  </si>
  <si>
    <t>Triples with the generator itself as subject</t>
  </si>
  <si>
    <t>Triples with a generator point as subject</t>
  </si>
  <si>
    <t>Total generator triples in the workbook</t>
  </si>
  <si>
    <t>Of those, inside the selected block (rows 2347-2371)</t>
  </si>
  <si>
    <t>Of those, located elsewhere in the sheet</t>
  </si>
  <si>
    <t>2. Point inventory — each point should be declared once and referenced once</t>
  </si>
  <si>
    <t>Point entity</t>
  </si>
  <si>
    <t>Class</t>
  </si>
  <si>
    <t>hasPoint declarations</t>
  </si>
  <si>
    <t>ref:hasExternalReference rows</t>
  </si>
  <si>
    <t>3. Non-point triples on the generator, and where they sit in the sheet</t>
  </si>
  <si>
    <t>Object</t>
  </si>
  <si>
    <t>Occurrences</t>
  </si>
  <si>
    <t>Sheet row</t>
  </si>
  <si>
    <t>4. Findings</t>
  </si>
  <si>
    <t>Only one generator instance exists in the model (SSC_MV_Generator), so there is no peer to compare counts against — unlike the AHUs, CCUs, pumps, HEs, DX units, FCUs and exhaust fans.</t>
  </si>
  <si>
    <t>Internal integrity is clean: all 10 points are declared exactly once and each has exactly one external reference. No duplicates, no orphaned reference rows, no undeclared points.</t>
  </si>
  <si>
    <t>Rated parameters (ratedFrequency, ratedPower, ratedVoltage), brick:isPartOf Electrical_System and the IFC reference are all present exactly once.</t>
  </si>
  <si>
    <t>SPLIT DATA: the generator's rec:locatedIn triple is not in the equipment block (rows 2347-2371) — it sits alone at row 5013. Every other equipment family keeps locatedIn inside its own block. Worth moving so the generator's definition is contiguous.</t>
  </si>
  <si>
    <t>Naming: entity:SSC_MV_Generator_Generator_Running_Status repeats the word Generator. Comparable points elsewhere are named &lt;equipment&gt;_Running_Status.</t>
  </si>
  <si>
    <t>Naming: sensor suffixes are inconsistent — Current_Reading, Frequency_Reading and Engine_Oil_Pressure_Reading carry a _Reading suffix while Voltage, Energy, Active_Power and Apparent_Power do not.</t>
  </si>
  <si>
    <t>Unlike the DX units and FCUs, the generator has no rec:feeds triple. Its location (SSC_B1_012_GENERATOR) is a real room, which is correct — contrast with the exhaust fans, which all point at the Level7_Office0367 placeholder.</t>
  </si>
  <si>
    <t>Run the same exercise for the generator (selected range A2347:E2371).</t>
  </si>
  <si>
    <t>Created 'GEN_Check' sheet - an internal integrity audit rather than a cross-unit comparison, because only one generator exists.</t>
  </si>
  <si>
    <t>Whole-sheet scan for GEN/Generator returned 71 hits but nearly all were false positives (GENERAL OFFICE rooms, 'General Fault/Alarm' labels, the B1_012_GENERATOR room definition, the para:Generator class row at 4992). Only one generator instance: SSC_MV_Generator. Since there is no peer, the sheet tests each point for exactly one hasPoint declaration and one external reference, and locates every generator triple with an AGGREGATE-based row finder (SUMPRODUCT version returned #N/A because the source columns contain error cells).</t>
  </si>
  <si>
    <t>26 generator triples: 25 in the selected block, 1 detached. All 10 points declared once and referenced once - internally clean. Flagged: rec:locatedIn sits alone at row 5013 instead of inside the block; 'Generator_Generator_Running_Status' name stutter; inconsistent _Reading suffixes; no rec:feeds triple.</t>
  </si>
  <si>
    <t>VAV Ontology Consistency Check — SSC_VAV0001 to VAV0108</t>
  </si>
  <si>
    <t>Source: SSC_Ontology_Ver0.5!A2493:E4976 and A5014:E5120 (2,591 triples, 108 units). With 108 units a per-unit column grid is unreadable, so each structural relation is tested for the expected count of 108 instead.</t>
  </si>
  <si>
    <t>1. Row count summary</t>
  </si>
  <si>
    <t>Value</t>
  </si>
  <si>
    <t>VAV units found</t>
  </si>
  <si>
    <t>Total VAV triples</t>
  </si>
  <si>
    <t>Units with the expected 24 rows</t>
  </si>
  <si>
    <t>3. Structural completeness — each relation should appear exactly 108 times, once per unit</t>
  </si>
  <si>
    <t>Relation</t>
  </si>
  <si>
    <t>Matched on</t>
  </si>
  <si>
    <t>Actual count</t>
  </si>
  <si>
    <t>Damper_Controller part</t>
  </si>
  <si>
    <t>entity:SSC_VAV*_Damper_Controller</t>
  </si>
  <si>
    <t>Air_Flow_Sensor point</t>
  </si>
  <si>
    <t>entity:SSC_VAV*_Air_Flow_Sensor</t>
  </si>
  <si>
    <t>ActiveState_CALC point</t>
  </si>
  <si>
    <t>entity:SSC_VAV*_ActiveState_CALC</t>
  </si>
  <si>
    <t>TotalOperationDuration point</t>
  </si>
  <si>
    <t>entity:SSC_VAV*_TotalOperationDuration</t>
  </si>
  <si>
    <t>Effective_Temp_Setpoint point</t>
  </si>
  <si>
    <t>entity:SSC_VAV*_Effective_Temp_Setpoint</t>
  </si>
  <si>
    <t>Room_Temperature point</t>
  </si>
  <si>
    <t>entity:SSC_VAV*_Room_Temperature</t>
  </si>
  <si>
    <t>Temperature_Setpoint point</t>
  </si>
  <si>
    <t>entity:SSC_VAV*_Temperature_Setpoint</t>
  </si>
  <si>
    <t>Occupancy_Status point</t>
  </si>
  <si>
    <t>entity:SSC_VAV*_Occupancy_Status</t>
  </si>
  <si>
    <t>Damper_Position under controller</t>
  </si>
  <si>
    <t>entity:SSC_VAV*_Damper_Position</t>
  </si>
  <si>
    <t>isPartOf (system)</t>
  </si>
  <si>
    <t>predicate only</t>
  </si>
  <si>
    <t>ratedReheatCapacity</t>
  </si>
  <si>
    <t>ratedSupplyAirFlowrate</t>
  </si>
  <si>
    <t>rec:isFedBy (parent AHU)</t>
  </si>
  <si>
    <t>rec:locatedIn (room)</t>
  </si>
  <si>
    <t>rec:feeds (served space)</t>
  </si>
  <si>
    <t>Ref — VAV itself</t>
  </si>
  <si>
    <t>Ref — Air_Flow_Sensor</t>
  </si>
  <si>
    <t>Ref — ActiveState_CALC</t>
  </si>
  <si>
    <t>Ref — TotalOperationDuration</t>
  </si>
  <si>
    <t>Ref — Effective_Temp_Setpoint</t>
  </si>
  <si>
    <t>Ref — Room_Temperature</t>
  </si>
  <si>
    <t>Ref — Temperature_Setpoint</t>
  </si>
  <si>
    <t>Ref — Occupancy_Status</t>
  </si>
  <si>
    <t>Ref — Damper_Position</t>
  </si>
  <si>
    <t>entity:SSC_VAV0???</t>
  </si>
  <si>
    <t>Object cell (live)</t>
  </si>
  <si>
    <t>What it should be</t>
  </si>
  <si>
    <t>5. Row count per unit (expected 24)</t>
  </si>
  <si>
    <t>Rows</t>
  </si>
  <si>
    <t>VAV0001</t>
  </si>
  <si>
    <t>VAV0002</t>
  </si>
  <si>
    <t>VAV0003</t>
  </si>
  <si>
    <t>VAV0004</t>
  </si>
  <si>
    <t>VAV0005</t>
  </si>
  <si>
    <t>VAV0006</t>
  </si>
  <si>
    <t>VAV0007</t>
  </si>
  <si>
    <t>VAV0008</t>
  </si>
  <si>
    <t>VAV0009</t>
  </si>
  <si>
    <t>VAV0010</t>
  </si>
  <si>
    <t>VAV0011</t>
  </si>
  <si>
    <t>VAV0012</t>
  </si>
  <si>
    <t>VAV0013</t>
  </si>
  <si>
    <t>VAV0014</t>
  </si>
  <si>
    <t>VAV0015</t>
  </si>
  <si>
    <t>VAV0016</t>
  </si>
  <si>
    <t>VAV0017</t>
  </si>
  <si>
    <t>VAV0018</t>
  </si>
  <si>
    <t>VAV0019</t>
  </si>
  <si>
    <t>VAV0020</t>
  </si>
  <si>
    <t>VAV0021</t>
  </si>
  <si>
    <t>VAV0022</t>
  </si>
  <si>
    <t>VAV0023</t>
  </si>
  <si>
    <t>VAV0024</t>
  </si>
  <si>
    <t>VAV0025</t>
  </si>
  <si>
    <t>VAV0026</t>
  </si>
  <si>
    <t>VAV0027</t>
  </si>
  <si>
    <t>VAV0028</t>
  </si>
  <si>
    <t>VAV0029</t>
  </si>
  <si>
    <t>VAV0030</t>
  </si>
  <si>
    <t>VAV0031</t>
  </si>
  <si>
    <t>VAV0032</t>
  </si>
  <si>
    <t>VAV0033</t>
  </si>
  <si>
    <t>VAV0034</t>
  </si>
  <si>
    <t>VAV0035</t>
  </si>
  <si>
    <t>VAV0036</t>
  </si>
  <si>
    <t>VAV0037</t>
  </si>
  <si>
    <t>VAV0038</t>
  </si>
  <si>
    <t>VAV0039</t>
  </si>
  <si>
    <t>VAV0040</t>
  </si>
  <si>
    <t>VAV0041</t>
  </si>
  <si>
    <t>VAV0042</t>
  </si>
  <si>
    <t>VAV0043</t>
  </si>
  <si>
    <t>VAV0044</t>
  </si>
  <si>
    <t>VAV0045</t>
  </si>
  <si>
    <t>VAV0046</t>
  </si>
  <si>
    <t>VAV0047</t>
  </si>
  <si>
    <t>VAV0048</t>
  </si>
  <si>
    <t>VAV0049</t>
  </si>
  <si>
    <t>VAV0050</t>
  </si>
  <si>
    <t>VAV0051</t>
  </si>
  <si>
    <t>VAV0052</t>
  </si>
  <si>
    <t>VAV0053</t>
  </si>
  <si>
    <t>VAV0054</t>
  </si>
  <si>
    <t>VAV0055</t>
  </si>
  <si>
    <t>VAV0056</t>
  </si>
  <si>
    <t>VAV0057</t>
  </si>
  <si>
    <t>VAV0058</t>
  </si>
  <si>
    <t>VAV0059</t>
  </si>
  <si>
    <t>VAV0060</t>
  </si>
  <si>
    <t>VAV0061</t>
  </si>
  <si>
    <t>VAV0062</t>
  </si>
  <si>
    <t>VAV0063</t>
  </si>
  <si>
    <t>VAV0064</t>
  </si>
  <si>
    <t>VAV0065</t>
  </si>
  <si>
    <t>VAV0066</t>
  </si>
  <si>
    <t>VAV0067</t>
  </si>
  <si>
    <t>VAV0068</t>
  </si>
  <si>
    <t>VAV0069</t>
  </si>
  <si>
    <t>VAV0070</t>
  </si>
  <si>
    <t>VAV0071</t>
  </si>
  <si>
    <t>VAV0072</t>
  </si>
  <si>
    <t>VAV0073</t>
  </si>
  <si>
    <t>VAV0074</t>
  </si>
  <si>
    <t>VAV0075</t>
  </si>
  <si>
    <t>VAV0076</t>
  </si>
  <si>
    <t>VAV0077</t>
  </si>
  <si>
    <t>VAV0078</t>
  </si>
  <si>
    <t>VAV0079</t>
  </si>
  <si>
    <t>VAV0080</t>
  </si>
  <si>
    <t>VAV0081</t>
  </si>
  <si>
    <t>VAV0082</t>
  </si>
  <si>
    <t>VAV0083</t>
  </si>
  <si>
    <t>VAV0084</t>
  </si>
  <si>
    <t>VAV0085</t>
  </si>
  <si>
    <t>VAV0086</t>
  </si>
  <si>
    <t>VAV0087</t>
  </si>
  <si>
    <t>VAV0088</t>
  </si>
  <si>
    <t>VAV0089</t>
  </si>
  <si>
    <t>VAV0090</t>
  </si>
  <si>
    <t>VAV0091</t>
  </si>
  <si>
    <t>VAV0092</t>
  </si>
  <si>
    <t>VAV0093</t>
  </si>
  <si>
    <t>VAV0094</t>
  </si>
  <si>
    <t>VAV0095</t>
  </si>
  <si>
    <t>VAV0096</t>
  </si>
  <si>
    <t>VAV0097</t>
  </si>
  <si>
    <t>VAV0098</t>
  </si>
  <si>
    <t>VAV0099</t>
  </si>
  <si>
    <t>VAV0100</t>
  </si>
  <si>
    <t>VAV0101</t>
  </si>
  <si>
    <t>VAV0102</t>
  </si>
  <si>
    <t>VAV0103</t>
  </si>
  <si>
    <t>VAV0104</t>
  </si>
  <si>
    <t>VAV0105</t>
  </si>
  <si>
    <t>VAV0106</t>
  </si>
  <si>
    <t>VAV0107</t>
  </si>
  <si>
    <t>VAV0108</t>
  </si>
  <si>
    <t>Run the same consistency exercise for the VAVs (ranges A2493:E4976 and A5014:E5120).</t>
  </si>
  <si>
    <t>Created 'VAV_Comparison' covering all 108 VAV units, and found 19 corrupted rows that a row-count check alone would miss.</t>
  </si>
  <si>
    <t>108 units x 24 rows is too wide for a per-unit column grid, so the sheet tests each structural relation for an expected count of 108 using COUNTIFS with wildcard entity patterns, plus a 108-row per-unit count table. A first pass normalising on exact object values produced 191 meaningless patterns because rated flowrates/rooms are per-unit literals; re-normalised so unit-specific values collapse to one token, giving 27 real structural patterns. Whole-sheet scan confirmed no VAV rows outside the two selected ranges.</t>
  </si>
  <si>
    <t>Row counts: 107 units have 24 rows, VAV0063 has 23 (missing its rec:feeds triple). Content check found 19 rows where the object column holds a value instead of an entity: VAV0102 (9 rows), VAV0103 (8), VAV0101 (1) all contain the number 130 in place of point/part names, and VAV0063 row 3931 holds #N/A in its locatedIn object. VAV0102 and VAV0103 still total 24 rows each, so only the content check catches them.</t>
  </si>
  <si>
    <t>VAV0063 has been reviewed and accepted — it is NOT counted as a red flag. It has 23 rows (no rec:feeds triple) and #N/A in the object of its rec:locatedIn row; both are excluded below by decision, not by evidence.</t>
  </si>
  <si>
    <t>Excluding VAV0063, all remaining 107 VAVs have exactly 24 rows and the same predicate profile: 1 hasPart, 8 hasPoint, 1 isPartOf, 1 ratedReheatCapacity, 1 ratedSupplyAirFlowrate, 1 isFedBy, 1 locatedIn, 1 feeds, 9 external references.</t>
  </si>
  <si>
    <t>These three units are the outstanding issue: 3 of 108 VAVs carry broken references.</t>
  </si>
  <si>
    <t>#N/A in source — excluded, VAV0063 reviewed and accepted</t>
  </si>
  <si>
    <t>Units with an unexpected row count (VAV0063 excluded)</t>
  </si>
  <si>
    <t>VAV0063 can be disregarded as a red flag.</t>
  </si>
  <si>
    <t>Downgraded VAV0063 from an issue to an accepted exclusion throughout VAV_Comparison.</t>
  </si>
  <si>
    <t>Applied to both of its findings (23 rows / no rec:feeds, and #N/A in its locatedIn object) since the instruction referred to the unit. Per-unit status formula now returns 'Excluded - reviewed, accepted' for VAV0063; the rec:feeds structural row now passes at 107; its corrupted-table row is greyed rather than deleted so the detail is preserved; conditional formatting no longer flags it. Summary metrics relabelled and a new 'corrupted object cells outstanding' metric added.</t>
  </si>
  <si>
    <t>Outstanding VAV issues now: 18 corrupted object cells across VAV0101 (1), VAV0102 (9) and VAV0103 (8) - all holding the number 130 instead of an entity name. Row counts: 107 OK, 1 excluded, 0 flagged.</t>
  </si>
  <si>
    <t>Highlight the section 4 corrupted rows in the source sheet in yellow.</t>
  </si>
  <si>
    <t>Filled A:E yellow (#FFFF00) on the 18 outstanding corrupted rows in SSC_Ontology_Ver0.5.</t>
  </si>
  <si>
    <t>Rows highlighted: 4809 (VAV0101), 4816-4823 and 4832 (VAV0102), 4839-4846 (VAV0103). Limited the fill to columns A:E, the populated data columns. Deliberately skipped row 3931 (VAV0063) because that unit was accepted as not a red flag in the previous turn.</t>
  </si>
  <si>
    <t>All 18 rows verified as #FFFF00 by reading the fill colour back. Row 3931 left unhighlighted pending confirmation.</t>
  </si>
  <si>
    <t>should be &lt;blanknode&gt; (IFC reference)</t>
  </si>
  <si>
    <t>should be &lt;blanknode&gt;</t>
  </si>
  <si>
    <t>should be entity:SSC_VAV0101_Damper_Position</t>
  </si>
  <si>
    <t>should be entity:SSC_VAV0102_Damper_Controller</t>
  </si>
  <si>
    <t>should be entity:SSC_VAV0102_Air_Flow_Sensor</t>
  </si>
  <si>
    <t>should be entity:SSC_VAV0102_ActiveState_CALC</t>
  </si>
  <si>
    <t>should be entity:SSC_VAV0102_TotalOperationDuration</t>
  </si>
  <si>
    <t>should be entity:SSC_VAV0102_Effective_Temp_Setpoint</t>
  </si>
  <si>
    <t>should be entity:SSC_VAV0102_Room_Temperature</t>
  </si>
  <si>
    <t>should be entity:SSC_VAV0102_Temperature_Setpoint</t>
  </si>
  <si>
    <t>should be entity:SSC_VAV0102_Occupancy_Status</t>
  </si>
  <si>
    <t>should be entity:SSC_VAV0102_Damper_Position</t>
  </si>
  <si>
    <t>should be entity:SSC_VAV0103_Damper_Controller</t>
  </si>
  <si>
    <t>should be entity:SSC_VAV0103_Air_Flow_Sensor</t>
  </si>
  <si>
    <t>should be entity:SSC_VAV0103_ActiveState_CALC</t>
  </si>
  <si>
    <t>should be entity:SSC_VAV0103_TotalOperationDuration</t>
  </si>
  <si>
    <t>should be entity:SSC_VAV0103_Effective_Temp_Setpoint</t>
  </si>
  <si>
    <t>should be entity:SSC_VAV0103_Room_Temperature</t>
  </si>
  <si>
    <t>should be entity:SSC_VAV0103_Temperature_Setpoint</t>
  </si>
  <si>
    <t>should be entity:SSC_VAV0103_Occupancy_Status</t>
  </si>
  <si>
    <t>Reference triples with a corrupted object</t>
  </si>
  <si>
    <t>object should be &lt;blanknode&gt;</t>
  </si>
  <si>
    <t>Corrupted cells outstanding (rows)</t>
  </si>
  <si>
    <t>4. Corrupted rows — object column holds the number 130 instead of an entity name or &lt;blanknode&gt; (VAV0063 row greyed out as accepted)</t>
  </si>
  <si>
    <t>DATA CORRUPTION — 36 rows have the number 130 in the object column. 18 are structural (hasPart/hasPoint objects that should name an entity) and 18 are reference triples whose object should be &lt;blanknode&gt;. See section 4.</t>
  </si>
  <si>
    <t>VAV0101: 10 corrupted rows (1 structural + 9 references). VAV0102: 18 corrupted rows (9 structural + 9 references). VAV0103: 8 corrupted rows (all structural; its reference triples are intact). 130 is a supply-air-flowrate value, so a parameter column appears to have been pasted over the object column.</t>
  </si>
  <si>
    <t>Row counts alone hide all of this — VAV0101, VAV0102 and VAV0103 each still total 24 rows, so only a content check catches them.</t>
  </si>
  <si>
    <t>Pointed out that ref:hasExternalReference rows are also corrupted (object = 130 instead of &lt;blanknode&gt;), not just the 18 structural rows, and asked for these to be shown in the VAV sheet.</t>
  </si>
  <si>
    <t>Rescanned every VAV row for non-text objects, expanded section 4 from 19 to 37 rows, added a reference-object check to section 3, and highlighted the 18 additional source rows yellow.</t>
  </si>
  <si>
    <t>My earlier scan only tested hasPart/hasPoint rows - a scoping error on my part. Full rescan of all 2,591 VAV rows found 253 non-text objects, of which 216 are legitimate (para:ratedReheatCapacity and para:ratedSupplyAirFlowrate carry numeric values by design) and 1 is VAV0063's accepted #N/A. Real corruption = 36 rows: 18 structural + 18 reference. Inserted 18 rows at 68 to grow the table, so section 5 moved from row 70 to 88; dependent formulas adjusted automatically and the B10 metric range was repointed manually to D50:D85.</t>
  </si>
  <si>
    <t>36 corrupted rows confirmed: VAV0101 = 10 (1 structural + 9 refs), VAV0102 = 18 (9 + 9), VAV0103 = 8 (structural only, refs intact). All 36 source rows verified yellow. New section 3 check row reports 'CORRUPT - 18 rows' for reference objects.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</si>
</sst>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Aptos Narrow"/>
      <family val="2"/>
      <scheme val="minor"/>
    </font>
    <font>
      <sz val="11"/>
      <color rgb="FF000000"/>
      <name val="Aptos Narrow"/>
      <family val="2"/>
      <scheme val="minor"/>
    </font>
    <font>
      <sz val="11"/>
      <color rgb="FFFF0000"/>
      <name val="Aptos Narrow"/>
      <family val="2"/>
      <scheme val="minor"/>
    </font>
    <font>
      <sz val="11"/>
      <color rgb="FF000000"/>
      <name val="Aptos Narrow"/>
      <family val="2"/>
    </font>
    <font>
      <sz val="11"/>
      <color rgb="FF242424"/>
      <name val="Aptos Narrow"/>
      <charset val="1"/>
    </font>
    <font>
      <b/>
      <sz val="11"/>
      <color theme="1"/>
      <name val="Aptos Narrow"/>
      <family val="2"/>
      <scheme val="minor"/>
    </font>
    <font>
      <b/>
      <sz val="14"/>
      <color theme="1"/>
      <name val="Aptos Narrow"/>
      <family val="2"/>
      <scheme val="minor"/>
    </font>
    <font>
      <i/>
      <sz val="11"/>
      <color theme="1"/>
      <name val="Aptos Narrow"/>
      <family val="2"/>
      <scheme val="minor"/>
    </font>
    <font>
      <sz val="8"/>
      <name val="Aptos Narrow"/>
      <family val="2"/>
      <scheme val="minor"/>
    </font>
  </fonts>
  <fills count="9">
    <fill>
      <patternFill patternType="none"/>
    </fill>
    <fill>
      <patternFill patternType="gray125"/>
    </fill>
    <fill>
      <patternFill patternType="solid">
        <fgColor rgb="FFFF0000"/>
        <bgColor indexed="64"/>
      </patternFill>
    </fill>
    <fill>
      <patternFill patternType="solid">
        <fgColor rgb="FFD9E1F2"/>
        <bgColor indexed="64"/>
      </patternFill>
    </fill>
    <fill>
      <patternFill patternType="solid">
        <fgColor rgb="FFFFFF00"/>
        <bgColor indexed="64"/>
      </patternFill>
    </fill>
    <fill>
      <patternFill patternType="solid">
        <fgColor rgb="FFF8CBAD"/>
        <bgColor indexed="64"/>
      </patternFill>
    </fill>
    <fill>
      <patternFill patternType="solid">
        <fgColor rgb="FFFCE4E4"/>
        <bgColor indexed="64"/>
      </patternFill>
    </fill>
    <fill>
      <patternFill patternType="solid">
        <fgColor rgb="FFFFC7CE"/>
        <bgColor indexed="64"/>
      </patternFill>
    </fill>
    <fill>
      <patternFill patternType="solid">
        <fgColor rgb="FFEDEDED"/>
        <bgColor indexed="64"/>
      </patternFill>
    </fill>
  </fills>
  <borders count="11">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bottom/>
      <diagonal/>
    </border>
  </borders>
  <cellStyleXfs count="1">
    <xf numFmtId="0" fontId="0" fillId="0" borderId="0"/>
  </cellStyleXfs>
  <cellXfs count="47">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5" fillId="3" borderId="0" xfId="0" applyFont="1" applyFill="1"/>
    <xf numFmtId="0" fontId="5" fillId="3" borderId="1" xfId="0" applyFont="1" applyFill="1" applyBorder="1"/>
    <xf numFmtId="0" fontId="5" fillId="3" borderId="2" xfId="0" applyFont="1" applyFill="1" applyBorder="1"/>
    <xf numFmtId="0" fontId="5" fillId="3" borderId="3" xfId="0" applyFont="1" applyFill="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5" xfId="0" applyBorder="1" applyAlignment="1">
      <alignment horizontal="center"/>
    </xf>
    <xf numFmtId="0" fontId="0" fillId="0" borderId="8" xfId="0" applyBorder="1" applyAlignment="1">
      <alignment horizontal="center"/>
    </xf>
    <xf numFmtId="164" fontId="0" fillId="0" borderId="0" xfId="0" applyNumberFormat="1"/>
    <xf numFmtId="0" fontId="0" fillId="4" borderId="0" xfId="0" applyFill="1"/>
    <xf numFmtId="0" fontId="1" fillId="4" borderId="0" xfId="0" applyFont="1" applyFill="1"/>
    <xf numFmtId="0" fontId="5" fillId="0" borderId="0" xfId="0" applyFont="1" applyFill="1" applyBorder="1"/>
    <xf numFmtId="0" fontId="0" fillId="0" borderId="6" xfId="0" applyBorder="1" applyAlignment="1">
      <alignment horizontal="center"/>
    </xf>
    <xf numFmtId="0" fontId="0" fillId="0" borderId="9" xfId="0" applyBorder="1" applyAlignment="1">
      <alignment horizontal="center"/>
    </xf>
    <xf numFmtId="0" fontId="5" fillId="5" borderId="1" xfId="0" applyFont="1" applyFill="1" applyBorder="1"/>
    <xf numFmtId="0" fontId="5" fillId="5" borderId="2" xfId="0" applyFont="1" applyFill="1" applyBorder="1"/>
    <xf numFmtId="0" fontId="5" fillId="5" borderId="3" xfId="0" applyFont="1" applyFill="1" applyBorder="1"/>
    <xf numFmtId="0" fontId="5" fillId="0" borderId="10" xfId="0" applyFont="1" applyFill="1" applyBorder="1"/>
    <xf numFmtId="0" fontId="0" fillId="6" borderId="4" xfId="0" applyFill="1" applyBorder="1" applyAlignment="1">
      <alignment horizontal="center"/>
    </xf>
    <xf numFmtId="0" fontId="0" fillId="6" borderId="5" xfId="0" applyFill="1" applyBorder="1"/>
    <xf numFmtId="0" fontId="0" fillId="6" borderId="5" xfId="0" applyFill="1" applyBorder="1" applyAlignment="1">
      <alignment horizontal="center"/>
    </xf>
    <xf numFmtId="0" fontId="0" fillId="6" borderId="6" xfId="0" applyFill="1" applyBorder="1"/>
    <xf numFmtId="0" fontId="0" fillId="6" borderId="7" xfId="0" applyFill="1" applyBorder="1" applyAlignment="1">
      <alignment horizontal="center"/>
    </xf>
    <xf numFmtId="0" fontId="0" fillId="6" borderId="8" xfId="0" applyFill="1" applyBorder="1"/>
    <xf numFmtId="0" fontId="0" fillId="6" borderId="8" xfId="0" applyFill="1" applyBorder="1" applyAlignment="1">
      <alignment horizontal="center"/>
    </xf>
    <xf numFmtId="0" fontId="0" fillId="6" borderId="9" xfId="0" applyFill="1" applyBorder="1"/>
    <xf numFmtId="0" fontId="0" fillId="8" borderId="4" xfId="0" applyFill="1" applyBorder="1" applyAlignment="1">
      <alignment horizontal="center"/>
    </xf>
    <xf numFmtId="0" fontId="0" fillId="8" borderId="5" xfId="0" applyFill="1" applyBorder="1"/>
    <xf numFmtId="0" fontId="0" fillId="8" borderId="5" xfId="0" applyFill="1" applyBorder="1" applyAlignment="1">
      <alignment horizontal="center"/>
    </xf>
    <xf numFmtId="0" fontId="0" fillId="8" borderId="6" xfId="0" applyFill="1" applyBorder="1"/>
    <xf numFmtId="0" fontId="0" fillId="7" borderId="7" xfId="0" applyFill="1" applyBorder="1"/>
    <xf numFmtId="0" fontId="0" fillId="7" borderId="8" xfId="0" applyFill="1" applyBorder="1"/>
    <xf numFmtId="0" fontId="0" fillId="7" borderId="8" xfId="0" applyFill="1" applyBorder="1" applyAlignment="1">
      <alignment horizontal="center"/>
    </xf>
    <xf numFmtId="0" fontId="0" fillId="7" borderId="9" xfId="0" applyFill="1" applyBorder="1" applyAlignment="1">
      <alignment horizontal="center"/>
    </xf>
  </cellXfs>
  <cellStyles count="1">
    <cellStyle name="Normal" xfId="0" builtinId="0"/>
  </cellStyles>
  <dxfs count="12">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8CBAD"/>
        </patternFill>
      </fill>
    </dxf>
    <dxf>
      <fill>
        <patternFill patternType="solid">
          <fgColor indexed="64"/>
          <bgColor rgb="FFFFF2CC"/>
        </patternFill>
      </fill>
    </dxf>
    <dxf>
      <fill>
        <patternFill patternType="solid">
          <fgColor indexed="64"/>
          <bgColor rgb="FFFFF2CC"/>
        </patternFill>
      </fill>
    </dxf>
    <dxf>
      <fill>
        <patternFill patternType="solid">
          <fgColor indexed="64"/>
          <bgColor rgb="FFFFF2CC"/>
        </patternFill>
      </fill>
    </dxf>
    <dxf>
      <fill>
        <patternFill patternType="solid">
          <fgColor indexed="64"/>
          <bgColor rgb="FFFFF2CC"/>
        </patternFill>
      </fill>
    </dxf>
    <dxf>
      <fill>
        <patternFill patternType="solid">
          <fgColor indexed="64"/>
          <bgColor rgb="FFFFF2CC"/>
        </patternFill>
      </fill>
    </dxf>
    <dxf>
      <fill>
        <patternFill patternType="solid">
          <fgColor indexed="64"/>
          <bgColor rgb="FFFFF2CC"/>
        </patternFill>
      </fill>
    </dxf>
    <dxf>
      <fill>
        <patternFill patternType="solid">
          <fgColor indexed="64"/>
          <bgColor rgb="FFFFF2CC"/>
        </patternFill>
      </fill>
    </dxf>
    <dxf>
      <fill>
        <patternFill patternType="solid">
          <fgColor indexed="64"/>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NV" id="{BEDBD508-2BEF-452F-8BDB-F7EC8AC925A5}">
    <nsvFilter filterId="{6DF9AD75-7CC3-4C18-A2F6-CD57E0F30872}" ref="A1:AA5120" tableId="0"/>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3A3673F-A799-4065-9B1A-D5EE17498326}">
  <we:reference id="WA200009404" version="1.0.0.8" store="Omex" storeType="OMEX"/>
  <we:alternateReferences>
    <we:reference id="WA200009404" version="1.0.0.8" store="WA200009404" storeType="OMEX"/>
  </we:alternateReferences>
  <we:properties>
    <we:property name="claude.fileId" value="&quot;ab879eba-f511-4dd4-a339-c9d8ec4ab742&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ACA0-3C14-419C-8C17-3CAA9E480376}">
  <dimension ref="A1:F16"/>
  <sheetViews>
    <sheetView workbookViewId="0"/>
  </sheetViews>
  <sheetFormatPr defaultRowHeight="14.4" x14ac:dyDescent="0.3"/>
  <cols>
    <col min="3" max="6" width="48.109375" customWidth="1"/>
  </cols>
  <sheetData>
    <row r="1" spans="1:6" x14ac:dyDescent="0.3">
      <c r="A1" s="9" t="s">
        <v>4824</v>
      </c>
      <c r="B1" s="9" t="s">
        <v>4825</v>
      </c>
      <c r="C1" s="9" t="s">
        <v>4826</v>
      </c>
      <c r="D1" s="9" t="s">
        <v>4827</v>
      </c>
      <c r="E1" s="9" t="s">
        <v>4828</v>
      </c>
      <c r="F1" s="9" t="s">
        <v>4829</v>
      </c>
    </row>
    <row r="2" spans="1:6" x14ac:dyDescent="0.3">
      <c r="A2">
        <v>1</v>
      </c>
      <c r="B2" s="21">
        <v>46254</v>
      </c>
      <c r="C2" t="s">
        <v>4830</v>
      </c>
      <c r="D2" t="s">
        <v>4831</v>
      </c>
      <c r="E2" t="s">
        <v>4832</v>
      </c>
      <c r="F2" t="s">
        <v>4833</v>
      </c>
    </row>
    <row r="3" spans="1:6" x14ac:dyDescent="0.3">
      <c r="A3">
        <v>2</v>
      </c>
      <c r="B3" s="21">
        <v>46254</v>
      </c>
      <c r="C3" t="s">
        <v>4836</v>
      </c>
      <c r="D3" t="s">
        <v>4837</v>
      </c>
      <c r="E3" t="s">
        <v>4838</v>
      </c>
      <c r="F3" t="s">
        <v>4839</v>
      </c>
    </row>
    <row r="4" spans="1:6" x14ac:dyDescent="0.3">
      <c r="A4">
        <v>3</v>
      </c>
      <c r="B4" s="21">
        <v>46254</v>
      </c>
      <c r="C4" t="s">
        <v>4869</v>
      </c>
      <c r="D4" t="s">
        <v>4870</v>
      </c>
      <c r="E4" t="s">
        <v>4871</v>
      </c>
      <c r="F4" t="s">
        <v>4872</v>
      </c>
    </row>
    <row r="5" spans="1:6" x14ac:dyDescent="0.3">
      <c r="A5">
        <v>4</v>
      </c>
      <c r="B5" s="21">
        <v>46254</v>
      </c>
      <c r="C5" t="s">
        <v>4883</v>
      </c>
      <c r="D5" t="s">
        <v>4884</v>
      </c>
      <c r="E5" t="s">
        <v>4885</v>
      </c>
      <c r="F5" t="s">
        <v>4886</v>
      </c>
    </row>
    <row r="6" spans="1:6" x14ac:dyDescent="0.3">
      <c r="A6">
        <v>5</v>
      </c>
      <c r="B6" s="21">
        <v>46254</v>
      </c>
      <c r="C6" t="s">
        <v>4912</v>
      </c>
      <c r="D6" t="s">
        <v>4913</v>
      </c>
      <c r="E6" t="s">
        <v>4914</v>
      </c>
      <c r="F6" t="s">
        <v>4915</v>
      </c>
    </row>
    <row r="7" spans="1:6" x14ac:dyDescent="0.3">
      <c r="A7">
        <v>6</v>
      </c>
      <c r="B7" s="21">
        <v>46254</v>
      </c>
      <c r="C7" t="s">
        <v>4950</v>
      </c>
      <c r="D7" t="s">
        <v>4951</v>
      </c>
      <c r="E7" t="s">
        <v>4952</v>
      </c>
      <c r="F7" t="s">
        <v>4953</v>
      </c>
    </row>
    <row r="8" spans="1:6" x14ac:dyDescent="0.3">
      <c r="A8">
        <v>7</v>
      </c>
      <c r="B8" s="21">
        <v>46254</v>
      </c>
      <c r="C8" t="s">
        <v>4954</v>
      </c>
      <c r="D8" t="s">
        <v>4955</v>
      </c>
      <c r="E8" t="s">
        <v>4956</v>
      </c>
      <c r="F8" t="s">
        <v>4957</v>
      </c>
    </row>
    <row r="9" spans="1:6" x14ac:dyDescent="0.3">
      <c r="A9">
        <v>8</v>
      </c>
      <c r="B9" s="21">
        <v>46254</v>
      </c>
      <c r="C9" t="s">
        <v>4991</v>
      </c>
      <c r="D9" t="s">
        <v>4992</v>
      </c>
      <c r="E9" t="s">
        <v>4993</v>
      </c>
      <c r="F9" t="s">
        <v>4994</v>
      </c>
    </row>
    <row r="10" spans="1:6" x14ac:dyDescent="0.3">
      <c r="A10">
        <v>9</v>
      </c>
      <c r="B10" s="21">
        <v>46254</v>
      </c>
      <c r="C10" t="s">
        <v>5042</v>
      </c>
      <c r="D10" t="s">
        <v>5043</v>
      </c>
      <c r="E10" t="s">
        <v>5044</v>
      </c>
      <c r="F10" t="s">
        <v>5045</v>
      </c>
    </row>
    <row r="11" spans="1:6" x14ac:dyDescent="0.3">
      <c r="A11">
        <v>10</v>
      </c>
      <c r="B11" s="21">
        <v>46254</v>
      </c>
      <c r="C11" t="s">
        <v>5088</v>
      </c>
      <c r="D11" t="s">
        <v>5089</v>
      </c>
      <c r="E11" t="s">
        <v>5090</v>
      </c>
      <c r="F11" t="s">
        <v>5091</v>
      </c>
    </row>
    <row r="12" spans="1:6" x14ac:dyDescent="0.3">
      <c r="A12">
        <v>11</v>
      </c>
      <c r="B12" s="21">
        <v>46254</v>
      </c>
      <c r="C12" t="s">
        <v>5118</v>
      </c>
      <c r="D12" t="s">
        <v>5119</v>
      </c>
      <c r="E12" t="s">
        <v>5120</v>
      </c>
      <c r="F12" t="s">
        <v>5121</v>
      </c>
    </row>
    <row r="13" spans="1:6" x14ac:dyDescent="0.3">
      <c r="A13">
        <v>12</v>
      </c>
      <c r="B13" s="21">
        <v>46254</v>
      </c>
      <c r="C13" t="s">
        <v>5280</v>
      </c>
      <c r="D13" t="s">
        <v>5281</v>
      </c>
      <c r="E13" t="s">
        <v>5282</v>
      </c>
      <c r="F13" t="s">
        <v>5283</v>
      </c>
    </row>
    <row r="14" spans="1:6" x14ac:dyDescent="0.3">
      <c r="A14">
        <v>13</v>
      </c>
      <c r="B14" s="21">
        <v>46254</v>
      </c>
      <c r="C14" t="s">
        <v>5289</v>
      </c>
      <c r="D14" t="s">
        <v>5290</v>
      </c>
      <c r="E14" t="s">
        <v>5291</v>
      </c>
      <c r="F14" t="s">
        <v>5292</v>
      </c>
    </row>
    <row r="15" spans="1:6" x14ac:dyDescent="0.3">
      <c r="A15">
        <v>14</v>
      </c>
      <c r="B15" s="21">
        <v>46254</v>
      </c>
      <c r="C15" t="s">
        <v>5293</v>
      </c>
      <c r="D15" t="s">
        <v>5294</v>
      </c>
      <c r="E15" t="s">
        <v>5295</v>
      </c>
      <c r="F15" t="s">
        <v>5296</v>
      </c>
    </row>
    <row r="16" spans="1:6" x14ac:dyDescent="0.3">
      <c r="A16">
        <v>15</v>
      </c>
      <c r="B16" s="21">
        <v>46254</v>
      </c>
      <c r="C16" t="s">
        <v>5324</v>
      </c>
      <c r="D16" t="s">
        <v>5325</v>
      </c>
      <c r="E16" t="s">
        <v>5326</v>
      </c>
      <c r="F16" t="s">
        <v>5327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77613-3EF4-4DBC-AC02-82A2485BDF29}">
  <sheetPr codeName="Sheet17"/>
  <dimension ref="A1:AA5120"/>
  <sheetViews>
    <sheetView workbookViewId="0">
      <pane ySplit="1" topLeftCell="A4977" activePane="bottomLeft" state="frozen"/>
      <selection pane="bottomLeft" activeCell="A4829" sqref="A4829:XFD4838"/>
    </sheetView>
  </sheetViews>
  <sheetFormatPr defaultRowHeight="14.4" x14ac:dyDescent="0.3"/>
  <cols>
    <col min="1" max="1" width="64.33203125" customWidth="1"/>
    <col min="2" max="2" width="34.5546875" bestFit="1" customWidth="1"/>
    <col min="3" max="3" width="26.88671875" bestFit="1" customWidth="1"/>
    <col min="4" max="4" width="71.109375" bestFit="1" customWidth="1"/>
    <col min="5" max="5" width="34.5546875" bestFit="1" customWidth="1"/>
    <col min="6" max="6" width="20.33203125" bestFit="1" customWidth="1"/>
    <col min="7" max="7" width="17.33203125" customWidth="1"/>
    <col min="8" max="8" width="19.33203125" bestFit="1" customWidth="1"/>
    <col min="9" max="9" width="44" bestFit="1" customWidth="1"/>
    <col min="10" max="10" width="20.33203125" bestFit="1" customWidth="1"/>
    <col min="11" max="11" width="67.33203125" bestFit="1" customWidth="1"/>
    <col min="12" max="12" width="19.33203125" bestFit="1" customWidth="1"/>
    <col min="13" max="13" width="17.5546875" bestFit="1" customWidth="1"/>
    <col min="14" max="14" width="20.33203125" bestFit="1" customWidth="1"/>
    <col min="15" max="15" width="17.6640625" bestFit="1" customWidth="1"/>
    <col min="16" max="16" width="19.33203125" bestFit="1" customWidth="1"/>
    <col min="17" max="17" width="16.6640625" bestFit="1" customWidth="1"/>
    <col min="18" max="18" width="20.33203125" bestFit="1" customWidth="1"/>
    <col min="19" max="19" width="17.6640625" bestFit="1" customWidth="1"/>
    <col min="20" max="20" width="19.33203125" bestFit="1" customWidth="1"/>
    <col min="21" max="21" width="16.6640625" bestFit="1" customWidth="1"/>
    <col min="22" max="22" width="20.33203125" bestFit="1" customWidth="1"/>
    <col min="23" max="23" width="17.6640625" bestFit="1" customWidth="1"/>
    <col min="24" max="24" width="19.33203125" bestFit="1" customWidth="1"/>
    <col min="25" max="25" width="16.6640625" bestFit="1" customWidth="1"/>
    <col min="26" max="26" width="20.33203125" bestFit="1" customWidth="1"/>
    <col min="27" max="27" width="17.6640625" bestFit="1" customWidth="1"/>
  </cols>
  <sheetData>
    <row r="1" spans="1:27" x14ac:dyDescent="0.3">
      <c r="A1" t="s">
        <v>0</v>
      </c>
      <c r="B1" t="s">
        <v>1</v>
      </c>
      <c r="C1" t="s">
        <v>2</v>
      </c>
      <c r="D1" t="s">
        <v>3</v>
      </c>
      <c r="E1" t="s">
        <v>4</v>
      </c>
      <c r="F1" t="s">
        <v>5</v>
      </c>
      <c r="G1" t="s">
        <v>6</v>
      </c>
      <c r="H1" t="s">
        <v>7</v>
      </c>
      <c r="I1" t="s">
        <v>8</v>
      </c>
      <c r="J1" t="s">
        <v>5</v>
      </c>
      <c r="K1" t="s">
        <v>6</v>
      </c>
      <c r="L1" t="s">
        <v>7</v>
      </c>
      <c r="M1" t="s">
        <v>8</v>
      </c>
      <c r="N1" t="s">
        <v>5</v>
      </c>
      <c r="O1" t="s">
        <v>6</v>
      </c>
      <c r="P1" t="s">
        <v>7</v>
      </c>
      <c r="Q1" t="s">
        <v>8</v>
      </c>
      <c r="R1" t="s">
        <v>5</v>
      </c>
      <c r="S1" t="s">
        <v>6</v>
      </c>
      <c r="T1" t="s">
        <v>7</v>
      </c>
      <c r="U1" t="s">
        <v>8</v>
      </c>
      <c r="V1" t="s">
        <v>5</v>
      </c>
      <c r="W1" t="s">
        <v>6</v>
      </c>
      <c r="X1" t="s">
        <v>7</v>
      </c>
      <c r="Y1" t="s">
        <v>8</v>
      </c>
      <c r="Z1" t="s">
        <v>5</v>
      </c>
      <c r="AA1" t="s">
        <v>6</v>
      </c>
    </row>
    <row r="2" spans="1:27" x14ac:dyDescent="0.3">
      <c r="A2" t="s">
        <v>9</v>
      </c>
      <c r="B2" t="s">
        <v>10</v>
      </c>
      <c r="C2" t="s">
        <v>11</v>
      </c>
      <c r="D2" t="s">
        <v>12</v>
      </c>
      <c r="E2" t="s">
        <v>13</v>
      </c>
      <c r="L2" t="s">
        <v>14</v>
      </c>
      <c r="M2" t="s">
        <v>15</v>
      </c>
    </row>
    <row r="3" spans="1:27" x14ac:dyDescent="0.3">
      <c r="A3" t="s">
        <v>9</v>
      </c>
      <c r="B3" t="s">
        <v>10</v>
      </c>
      <c r="C3" t="s">
        <v>16</v>
      </c>
      <c r="D3" t="s">
        <v>17</v>
      </c>
      <c r="E3" t="s">
        <v>18</v>
      </c>
      <c r="N3" t="s">
        <v>19</v>
      </c>
      <c r="O3" t="s">
        <v>15</v>
      </c>
    </row>
    <row r="4" spans="1:27" x14ac:dyDescent="0.3">
      <c r="A4" s="1" t="s">
        <v>20</v>
      </c>
      <c r="B4" t="s">
        <v>21</v>
      </c>
      <c r="C4" t="s">
        <v>22</v>
      </c>
      <c r="D4" t="s">
        <v>23</v>
      </c>
      <c r="E4" t="s">
        <v>24</v>
      </c>
      <c r="F4" t="s">
        <v>25</v>
      </c>
      <c r="G4" t="s">
        <v>26</v>
      </c>
    </row>
    <row r="5" spans="1:27" x14ac:dyDescent="0.3">
      <c r="A5" t="s">
        <v>27</v>
      </c>
      <c r="B5" t="s">
        <v>28</v>
      </c>
      <c r="C5" t="s">
        <v>22</v>
      </c>
      <c r="D5" t="s">
        <v>29</v>
      </c>
      <c r="E5" t="s">
        <v>30</v>
      </c>
      <c r="F5" t="s">
        <v>25</v>
      </c>
      <c r="G5" t="s">
        <v>31</v>
      </c>
    </row>
    <row r="6" spans="1:27" x14ac:dyDescent="0.3">
      <c r="A6" t="s">
        <v>23</v>
      </c>
      <c r="B6" t="s">
        <v>24</v>
      </c>
      <c r="C6" t="s">
        <v>22</v>
      </c>
      <c r="D6" t="s">
        <v>29</v>
      </c>
      <c r="E6" t="s">
        <v>30</v>
      </c>
      <c r="F6" t="s">
        <v>25</v>
      </c>
      <c r="G6" t="s">
        <v>32</v>
      </c>
    </row>
    <row r="7" spans="1:27" x14ac:dyDescent="0.3">
      <c r="A7" t="s">
        <v>17</v>
      </c>
      <c r="B7" t="s">
        <v>18</v>
      </c>
      <c r="C7" t="s">
        <v>33</v>
      </c>
      <c r="D7" t="s">
        <v>29</v>
      </c>
      <c r="E7" t="s">
        <v>30</v>
      </c>
      <c r="F7" t="s">
        <v>25</v>
      </c>
      <c r="G7" t="s">
        <v>34</v>
      </c>
      <c r="H7" t="s">
        <v>25</v>
      </c>
      <c r="I7" t="s">
        <v>35</v>
      </c>
    </row>
    <row r="8" spans="1:27" x14ac:dyDescent="0.3">
      <c r="A8" t="s">
        <v>36</v>
      </c>
      <c r="B8" t="s">
        <v>37</v>
      </c>
      <c r="C8" t="s">
        <v>33</v>
      </c>
      <c r="D8" t="s">
        <v>38</v>
      </c>
      <c r="E8" t="s">
        <v>39</v>
      </c>
      <c r="F8" t="s">
        <v>25</v>
      </c>
      <c r="G8" t="s">
        <v>40</v>
      </c>
    </row>
    <row r="9" spans="1:27" x14ac:dyDescent="0.3">
      <c r="A9" t="s">
        <v>41</v>
      </c>
      <c r="B9" t="s">
        <v>37</v>
      </c>
      <c r="C9" t="s">
        <v>33</v>
      </c>
      <c r="D9" t="s">
        <v>38</v>
      </c>
      <c r="E9" t="s">
        <v>39</v>
      </c>
      <c r="F9" t="s">
        <v>25</v>
      </c>
      <c r="G9" t="s">
        <v>42</v>
      </c>
    </row>
    <row r="10" spans="1:27" x14ac:dyDescent="0.3">
      <c r="A10" t="s">
        <v>43</v>
      </c>
      <c r="B10" t="s">
        <v>37</v>
      </c>
      <c r="C10" t="s">
        <v>33</v>
      </c>
      <c r="D10" t="s">
        <v>38</v>
      </c>
      <c r="E10" t="s">
        <v>39</v>
      </c>
      <c r="F10" t="s">
        <v>25</v>
      </c>
      <c r="G10" t="s">
        <v>44</v>
      </c>
    </row>
    <row r="11" spans="1:27" x14ac:dyDescent="0.3">
      <c r="A11" t="s">
        <v>45</v>
      </c>
      <c r="B11" t="s">
        <v>37</v>
      </c>
      <c r="C11" t="s">
        <v>33</v>
      </c>
      <c r="D11" t="s">
        <v>38</v>
      </c>
      <c r="E11" t="s">
        <v>39</v>
      </c>
      <c r="F11" t="s">
        <v>25</v>
      </c>
      <c r="G11" t="s">
        <v>46</v>
      </c>
    </row>
    <row r="12" spans="1:27" x14ac:dyDescent="0.3">
      <c r="A12" t="s">
        <v>47</v>
      </c>
      <c r="B12" t="s">
        <v>37</v>
      </c>
      <c r="C12" t="s">
        <v>33</v>
      </c>
      <c r="D12" t="s">
        <v>38</v>
      </c>
      <c r="E12" t="s">
        <v>39</v>
      </c>
      <c r="F12" t="s">
        <v>25</v>
      </c>
      <c r="G12" t="s">
        <v>48</v>
      </c>
    </row>
    <row r="13" spans="1:27" x14ac:dyDescent="0.3">
      <c r="A13" t="s">
        <v>49</v>
      </c>
      <c r="B13" t="s">
        <v>37</v>
      </c>
      <c r="C13" t="s">
        <v>33</v>
      </c>
      <c r="D13" t="s">
        <v>38</v>
      </c>
      <c r="E13" t="s">
        <v>39</v>
      </c>
      <c r="F13" t="s">
        <v>25</v>
      </c>
      <c r="G13" t="s">
        <v>50</v>
      </c>
    </row>
    <row r="14" spans="1:27" x14ac:dyDescent="0.3">
      <c r="A14" t="s">
        <v>51</v>
      </c>
      <c r="B14" t="s">
        <v>37</v>
      </c>
      <c r="C14" t="s">
        <v>33</v>
      </c>
      <c r="D14" t="s">
        <v>38</v>
      </c>
      <c r="E14" t="s">
        <v>39</v>
      </c>
      <c r="F14" t="s">
        <v>25</v>
      </c>
      <c r="G14" t="s">
        <v>52</v>
      </c>
    </row>
    <row r="15" spans="1:27" x14ac:dyDescent="0.3">
      <c r="A15" t="s">
        <v>53</v>
      </c>
      <c r="B15" t="s">
        <v>37</v>
      </c>
      <c r="C15" t="s">
        <v>33</v>
      </c>
      <c r="D15" t="s">
        <v>38</v>
      </c>
      <c r="E15" t="s">
        <v>39</v>
      </c>
      <c r="F15" t="s">
        <v>25</v>
      </c>
      <c r="G15" t="s">
        <v>54</v>
      </c>
    </row>
    <row r="16" spans="1:27" x14ac:dyDescent="0.3">
      <c r="A16" t="s">
        <v>55</v>
      </c>
      <c r="B16" t="s">
        <v>37</v>
      </c>
      <c r="C16" t="s">
        <v>33</v>
      </c>
      <c r="D16" t="s">
        <v>38</v>
      </c>
      <c r="E16" t="s">
        <v>39</v>
      </c>
      <c r="F16" t="s">
        <v>25</v>
      </c>
      <c r="G16" t="s">
        <v>56</v>
      </c>
    </row>
    <row r="17" spans="1:7" x14ac:dyDescent="0.3">
      <c r="A17" t="s">
        <v>57</v>
      </c>
      <c r="B17" t="s">
        <v>37</v>
      </c>
      <c r="C17" t="s">
        <v>33</v>
      </c>
      <c r="D17" t="s">
        <v>38</v>
      </c>
      <c r="E17" t="s">
        <v>39</v>
      </c>
      <c r="F17" t="s">
        <v>25</v>
      </c>
      <c r="G17" t="s">
        <v>58</v>
      </c>
    </row>
    <row r="18" spans="1:7" x14ac:dyDescent="0.3">
      <c r="A18" t="s">
        <v>59</v>
      </c>
      <c r="B18" t="s">
        <v>37</v>
      </c>
      <c r="C18" t="s">
        <v>33</v>
      </c>
      <c r="D18" t="s">
        <v>38</v>
      </c>
      <c r="E18" t="s">
        <v>39</v>
      </c>
      <c r="F18" t="s">
        <v>25</v>
      </c>
      <c r="G18" t="s">
        <v>60</v>
      </c>
    </row>
    <row r="19" spans="1:7" x14ac:dyDescent="0.3">
      <c r="A19" t="s">
        <v>61</v>
      </c>
      <c r="B19" t="s">
        <v>37</v>
      </c>
      <c r="C19" t="s">
        <v>33</v>
      </c>
      <c r="D19" t="s">
        <v>38</v>
      </c>
      <c r="E19" t="s">
        <v>39</v>
      </c>
      <c r="F19" t="s">
        <v>25</v>
      </c>
      <c r="G19" t="s">
        <v>62</v>
      </c>
    </row>
    <row r="20" spans="1:7" x14ac:dyDescent="0.3">
      <c r="A20" t="s">
        <v>63</v>
      </c>
      <c r="B20" t="s">
        <v>37</v>
      </c>
      <c r="C20" t="s">
        <v>33</v>
      </c>
      <c r="D20" t="s">
        <v>38</v>
      </c>
      <c r="E20" t="s">
        <v>39</v>
      </c>
      <c r="F20" t="s">
        <v>25</v>
      </c>
      <c r="G20" t="s">
        <v>64</v>
      </c>
    </row>
    <row r="21" spans="1:7" x14ac:dyDescent="0.3">
      <c r="A21" t="s">
        <v>65</v>
      </c>
      <c r="B21" t="s">
        <v>37</v>
      </c>
      <c r="C21" t="s">
        <v>33</v>
      </c>
      <c r="D21" t="s">
        <v>38</v>
      </c>
      <c r="E21" t="s">
        <v>39</v>
      </c>
      <c r="F21" t="s">
        <v>25</v>
      </c>
      <c r="G21" t="s">
        <v>66</v>
      </c>
    </row>
    <row r="22" spans="1:7" x14ac:dyDescent="0.3">
      <c r="A22" t="s">
        <v>67</v>
      </c>
      <c r="B22" t="s">
        <v>37</v>
      </c>
      <c r="C22" t="s">
        <v>33</v>
      </c>
      <c r="D22" t="s">
        <v>38</v>
      </c>
      <c r="E22" t="s">
        <v>39</v>
      </c>
      <c r="F22" t="s">
        <v>25</v>
      </c>
      <c r="G22" t="s">
        <v>68</v>
      </c>
    </row>
    <row r="23" spans="1:7" x14ac:dyDescent="0.3">
      <c r="A23" t="s">
        <v>69</v>
      </c>
      <c r="B23" t="s">
        <v>37</v>
      </c>
      <c r="C23" t="s">
        <v>33</v>
      </c>
      <c r="D23" t="s">
        <v>38</v>
      </c>
      <c r="E23" t="s">
        <v>39</v>
      </c>
      <c r="F23" t="s">
        <v>25</v>
      </c>
      <c r="G23" t="s">
        <v>70</v>
      </c>
    </row>
    <row r="24" spans="1:7" x14ac:dyDescent="0.3">
      <c r="A24" t="s">
        <v>71</v>
      </c>
      <c r="B24" t="s">
        <v>37</v>
      </c>
      <c r="C24" t="s">
        <v>33</v>
      </c>
      <c r="D24" t="s">
        <v>38</v>
      </c>
      <c r="E24" t="s">
        <v>39</v>
      </c>
      <c r="F24" t="s">
        <v>25</v>
      </c>
      <c r="G24" t="s">
        <v>72</v>
      </c>
    </row>
    <row r="25" spans="1:7" x14ac:dyDescent="0.3">
      <c r="A25" t="s">
        <v>73</v>
      </c>
      <c r="B25" t="s">
        <v>37</v>
      </c>
      <c r="C25" t="s">
        <v>33</v>
      </c>
      <c r="D25" t="s">
        <v>38</v>
      </c>
      <c r="E25" t="s">
        <v>39</v>
      </c>
      <c r="F25" t="s">
        <v>25</v>
      </c>
      <c r="G25" t="s">
        <v>74</v>
      </c>
    </row>
    <row r="26" spans="1:7" x14ac:dyDescent="0.3">
      <c r="A26" t="s">
        <v>75</v>
      </c>
      <c r="B26" t="s">
        <v>37</v>
      </c>
      <c r="C26" t="s">
        <v>33</v>
      </c>
      <c r="D26" t="s">
        <v>38</v>
      </c>
      <c r="E26" t="s">
        <v>39</v>
      </c>
      <c r="F26" t="s">
        <v>25</v>
      </c>
      <c r="G26" t="s">
        <v>76</v>
      </c>
    </row>
    <row r="27" spans="1:7" x14ac:dyDescent="0.3">
      <c r="A27" t="s">
        <v>77</v>
      </c>
      <c r="B27" t="s">
        <v>37</v>
      </c>
      <c r="C27" t="s">
        <v>33</v>
      </c>
      <c r="D27" t="s">
        <v>38</v>
      </c>
      <c r="E27" t="s">
        <v>39</v>
      </c>
      <c r="F27" t="s">
        <v>25</v>
      </c>
      <c r="G27" t="s">
        <v>78</v>
      </c>
    </row>
    <row r="28" spans="1:7" x14ac:dyDescent="0.3">
      <c r="A28" t="s">
        <v>79</v>
      </c>
      <c r="B28" t="s">
        <v>37</v>
      </c>
      <c r="C28" t="s">
        <v>33</v>
      </c>
      <c r="D28" t="s">
        <v>38</v>
      </c>
      <c r="E28" t="s">
        <v>39</v>
      </c>
      <c r="F28" t="s">
        <v>25</v>
      </c>
      <c r="G28" t="s">
        <v>80</v>
      </c>
    </row>
    <row r="29" spans="1:7" x14ac:dyDescent="0.3">
      <c r="A29" t="s">
        <v>81</v>
      </c>
      <c r="B29" t="s">
        <v>37</v>
      </c>
      <c r="C29" t="s">
        <v>33</v>
      </c>
      <c r="D29" t="s">
        <v>38</v>
      </c>
      <c r="E29" t="s">
        <v>39</v>
      </c>
      <c r="F29" t="s">
        <v>25</v>
      </c>
      <c r="G29" t="s">
        <v>82</v>
      </c>
    </row>
    <row r="30" spans="1:7" x14ac:dyDescent="0.3">
      <c r="A30" t="s">
        <v>83</v>
      </c>
      <c r="B30" t="s">
        <v>37</v>
      </c>
      <c r="C30" t="s">
        <v>33</v>
      </c>
      <c r="D30" t="s">
        <v>38</v>
      </c>
      <c r="E30" t="s">
        <v>39</v>
      </c>
      <c r="F30" t="s">
        <v>25</v>
      </c>
      <c r="G30" t="s">
        <v>84</v>
      </c>
    </row>
    <row r="31" spans="1:7" x14ac:dyDescent="0.3">
      <c r="A31" t="s">
        <v>85</v>
      </c>
      <c r="B31" t="s">
        <v>37</v>
      </c>
      <c r="C31" t="s">
        <v>33</v>
      </c>
      <c r="D31" t="s">
        <v>38</v>
      </c>
      <c r="E31" t="s">
        <v>39</v>
      </c>
      <c r="F31" t="s">
        <v>25</v>
      </c>
      <c r="G31" t="s">
        <v>86</v>
      </c>
    </row>
    <row r="32" spans="1:7" x14ac:dyDescent="0.3">
      <c r="A32" t="s">
        <v>87</v>
      </c>
      <c r="B32" t="s">
        <v>37</v>
      </c>
      <c r="C32" t="s">
        <v>33</v>
      </c>
      <c r="D32" t="s">
        <v>38</v>
      </c>
      <c r="E32" t="s">
        <v>39</v>
      </c>
      <c r="F32" t="s">
        <v>25</v>
      </c>
      <c r="G32" t="s">
        <v>88</v>
      </c>
    </row>
    <row r="33" spans="1:7" x14ac:dyDescent="0.3">
      <c r="A33" t="s">
        <v>89</v>
      </c>
      <c r="B33" t="s">
        <v>37</v>
      </c>
      <c r="C33" t="s">
        <v>33</v>
      </c>
      <c r="D33" t="s">
        <v>38</v>
      </c>
      <c r="E33" t="s">
        <v>39</v>
      </c>
      <c r="F33" t="s">
        <v>25</v>
      </c>
      <c r="G33" t="s">
        <v>90</v>
      </c>
    </row>
    <row r="34" spans="1:7" x14ac:dyDescent="0.3">
      <c r="A34" t="s">
        <v>91</v>
      </c>
      <c r="B34" t="s">
        <v>37</v>
      </c>
      <c r="C34" t="s">
        <v>33</v>
      </c>
      <c r="D34" t="s">
        <v>38</v>
      </c>
      <c r="E34" t="s">
        <v>39</v>
      </c>
      <c r="F34" t="s">
        <v>25</v>
      </c>
      <c r="G34" t="s">
        <v>92</v>
      </c>
    </row>
    <row r="35" spans="1:7" x14ac:dyDescent="0.3">
      <c r="A35" t="s">
        <v>93</v>
      </c>
      <c r="B35" t="s">
        <v>37</v>
      </c>
      <c r="C35" t="s">
        <v>33</v>
      </c>
      <c r="D35" t="s">
        <v>38</v>
      </c>
      <c r="E35" t="s">
        <v>39</v>
      </c>
      <c r="F35" t="s">
        <v>25</v>
      </c>
      <c r="G35" t="s">
        <v>94</v>
      </c>
    </row>
    <row r="36" spans="1:7" x14ac:dyDescent="0.3">
      <c r="A36" t="s">
        <v>95</v>
      </c>
      <c r="B36" t="s">
        <v>37</v>
      </c>
      <c r="C36" t="s">
        <v>33</v>
      </c>
      <c r="D36" t="s">
        <v>38</v>
      </c>
      <c r="E36" t="s">
        <v>39</v>
      </c>
      <c r="F36" t="s">
        <v>25</v>
      </c>
      <c r="G36" t="s">
        <v>96</v>
      </c>
    </row>
    <row r="37" spans="1:7" x14ac:dyDescent="0.3">
      <c r="A37" t="s">
        <v>97</v>
      </c>
      <c r="B37" t="s">
        <v>37</v>
      </c>
      <c r="C37" t="s">
        <v>33</v>
      </c>
      <c r="D37" t="s">
        <v>38</v>
      </c>
      <c r="E37" t="s">
        <v>39</v>
      </c>
      <c r="F37" t="s">
        <v>25</v>
      </c>
      <c r="G37" t="s">
        <v>96</v>
      </c>
    </row>
    <row r="38" spans="1:7" x14ac:dyDescent="0.3">
      <c r="A38" t="s">
        <v>98</v>
      </c>
      <c r="B38" t="s">
        <v>37</v>
      </c>
      <c r="C38" t="s">
        <v>33</v>
      </c>
      <c r="D38" t="s">
        <v>38</v>
      </c>
      <c r="E38" t="s">
        <v>39</v>
      </c>
      <c r="F38" t="s">
        <v>25</v>
      </c>
      <c r="G38" t="s">
        <v>96</v>
      </c>
    </row>
    <row r="39" spans="1:7" x14ac:dyDescent="0.3">
      <c r="A39" t="s">
        <v>99</v>
      </c>
      <c r="B39" t="s">
        <v>37</v>
      </c>
      <c r="C39" t="s">
        <v>33</v>
      </c>
      <c r="D39" t="s">
        <v>38</v>
      </c>
      <c r="E39" t="s">
        <v>39</v>
      </c>
      <c r="F39" t="s">
        <v>25</v>
      </c>
      <c r="G39" t="s">
        <v>96</v>
      </c>
    </row>
    <row r="40" spans="1:7" x14ac:dyDescent="0.3">
      <c r="A40" t="s">
        <v>100</v>
      </c>
      <c r="B40" t="s">
        <v>37</v>
      </c>
      <c r="C40" t="s">
        <v>33</v>
      </c>
      <c r="D40" t="s">
        <v>38</v>
      </c>
      <c r="E40" t="s">
        <v>39</v>
      </c>
      <c r="F40" t="s">
        <v>25</v>
      </c>
      <c r="G40" t="s">
        <v>101</v>
      </c>
    </row>
    <row r="41" spans="1:7" x14ac:dyDescent="0.3">
      <c r="A41" t="s">
        <v>102</v>
      </c>
      <c r="B41" t="s">
        <v>37</v>
      </c>
      <c r="C41" t="s">
        <v>33</v>
      </c>
      <c r="D41" t="s">
        <v>38</v>
      </c>
      <c r="E41" t="s">
        <v>39</v>
      </c>
      <c r="F41" t="s">
        <v>25</v>
      </c>
      <c r="G41" t="s">
        <v>103</v>
      </c>
    </row>
    <row r="42" spans="1:7" x14ac:dyDescent="0.3">
      <c r="A42" t="s">
        <v>104</v>
      </c>
      <c r="B42" t="s">
        <v>37</v>
      </c>
      <c r="C42" t="s">
        <v>33</v>
      </c>
      <c r="D42" t="s">
        <v>38</v>
      </c>
      <c r="E42" t="s">
        <v>39</v>
      </c>
      <c r="F42" t="s">
        <v>25</v>
      </c>
      <c r="G42" t="s">
        <v>105</v>
      </c>
    </row>
    <row r="43" spans="1:7" x14ac:dyDescent="0.3">
      <c r="A43" t="s">
        <v>106</v>
      </c>
      <c r="B43" t="s">
        <v>37</v>
      </c>
      <c r="C43" t="s">
        <v>33</v>
      </c>
      <c r="D43" t="s">
        <v>38</v>
      </c>
      <c r="E43" t="s">
        <v>39</v>
      </c>
      <c r="F43" t="s">
        <v>25</v>
      </c>
      <c r="G43" t="s">
        <v>107</v>
      </c>
    </row>
    <row r="44" spans="1:7" x14ac:dyDescent="0.3">
      <c r="A44" t="s">
        <v>108</v>
      </c>
      <c r="B44" t="s">
        <v>37</v>
      </c>
      <c r="C44" t="s">
        <v>33</v>
      </c>
      <c r="D44" t="s">
        <v>38</v>
      </c>
      <c r="E44" t="s">
        <v>39</v>
      </c>
      <c r="F44" t="s">
        <v>25</v>
      </c>
      <c r="G44" t="s">
        <v>109</v>
      </c>
    </row>
    <row r="45" spans="1:7" x14ac:dyDescent="0.3">
      <c r="A45" t="s">
        <v>110</v>
      </c>
      <c r="B45" t="s">
        <v>37</v>
      </c>
      <c r="C45" t="s">
        <v>33</v>
      </c>
      <c r="D45" t="s">
        <v>38</v>
      </c>
      <c r="E45" t="s">
        <v>39</v>
      </c>
      <c r="F45" t="s">
        <v>25</v>
      </c>
      <c r="G45" t="s">
        <v>111</v>
      </c>
    </row>
    <row r="46" spans="1:7" x14ac:dyDescent="0.3">
      <c r="A46" t="s">
        <v>112</v>
      </c>
      <c r="B46" t="s">
        <v>37</v>
      </c>
      <c r="C46" t="s">
        <v>33</v>
      </c>
      <c r="D46" t="s">
        <v>38</v>
      </c>
      <c r="E46" t="s">
        <v>39</v>
      </c>
      <c r="F46" t="s">
        <v>25</v>
      </c>
      <c r="G46" t="s">
        <v>113</v>
      </c>
    </row>
    <row r="47" spans="1:7" x14ac:dyDescent="0.3">
      <c r="A47" t="s">
        <v>114</v>
      </c>
      <c r="B47" t="s">
        <v>37</v>
      </c>
      <c r="C47" t="s">
        <v>33</v>
      </c>
      <c r="D47" t="s">
        <v>38</v>
      </c>
      <c r="E47" t="s">
        <v>39</v>
      </c>
      <c r="F47" t="s">
        <v>25</v>
      </c>
      <c r="G47" t="s">
        <v>115</v>
      </c>
    </row>
    <row r="48" spans="1:7" x14ac:dyDescent="0.3">
      <c r="A48" t="s">
        <v>116</v>
      </c>
      <c r="B48" t="s">
        <v>37</v>
      </c>
      <c r="C48" t="s">
        <v>33</v>
      </c>
      <c r="D48" t="s">
        <v>38</v>
      </c>
      <c r="E48" t="s">
        <v>39</v>
      </c>
      <c r="F48" t="s">
        <v>25</v>
      </c>
      <c r="G48" t="s">
        <v>117</v>
      </c>
    </row>
    <row r="49" spans="1:7" x14ac:dyDescent="0.3">
      <c r="A49" t="s">
        <v>118</v>
      </c>
      <c r="B49" t="s">
        <v>37</v>
      </c>
      <c r="C49" t="s">
        <v>33</v>
      </c>
      <c r="D49" t="s">
        <v>38</v>
      </c>
      <c r="E49" t="s">
        <v>39</v>
      </c>
      <c r="F49" t="s">
        <v>25</v>
      </c>
      <c r="G49" t="s">
        <v>119</v>
      </c>
    </row>
    <row r="50" spans="1:7" x14ac:dyDescent="0.3">
      <c r="A50" t="s">
        <v>120</v>
      </c>
      <c r="B50" t="s">
        <v>37</v>
      </c>
      <c r="C50" t="s">
        <v>33</v>
      </c>
      <c r="D50" t="s">
        <v>38</v>
      </c>
      <c r="E50" t="s">
        <v>39</v>
      </c>
      <c r="F50" t="s">
        <v>25</v>
      </c>
      <c r="G50" t="s">
        <v>121</v>
      </c>
    </row>
    <row r="51" spans="1:7" x14ac:dyDescent="0.3">
      <c r="A51" t="s">
        <v>122</v>
      </c>
      <c r="B51" t="s">
        <v>37</v>
      </c>
      <c r="C51" t="s">
        <v>33</v>
      </c>
      <c r="D51" t="s">
        <v>38</v>
      </c>
      <c r="E51" t="s">
        <v>39</v>
      </c>
      <c r="F51" t="s">
        <v>25</v>
      </c>
      <c r="G51" t="s">
        <v>123</v>
      </c>
    </row>
    <row r="52" spans="1:7" x14ac:dyDescent="0.3">
      <c r="A52" t="s">
        <v>124</v>
      </c>
      <c r="B52" t="s">
        <v>37</v>
      </c>
      <c r="C52" t="s">
        <v>33</v>
      </c>
      <c r="D52" t="s">
        <v>38</v>
      </c>
      <c r="E52" t="s">
        <v>39</v>
      </c>
      <c r="F52" t="s">
        <v>25</v>
      </c>
      <c r="G52" t="s">
        <v>125</v>
      </c>
    </row>
    <row r="53" spans="1:7" x14ac:dyDescent="0.3">
      <c r="A53" t="s">
        <v>126</v>
      </c>
      <c r="B53" t="s">
        <v>37</v>
      </c>
      <c r="C53" t="s">
        <v>33</v>
      </c>
      <c r="D53" t="s">
        <v>38</v>
      </c>
      <c r="E53" t="s">
        <v>39</v>
      </c>
      <c r="F53" t="s">
        <v>25</v>
      </c>
      <c r="G53" t="s">
        <v>127</v>
      </c>
    </row>
    <row r="54" spans="1:7" x14ac:dyDescent="0.3">
      <c r="A54" t="s">
        <v>128</v>
      </c>
      <c r="B54" t="s">
        <v>37</v>
      </c>
      <c r="C54" t="s">
        <v>33</v>
      </c>
      <c r="D54" t="s">
        <v>38</v>
      </c>
      <c r="E54" t="s">
        <v>39</v>
      </c>
      <c r="F54" t="s">
        <v>25</v>
      </c>
      <c r="G54" t="s">
        <v>129</v>
      </c>
    </row>
    <row r="55" spans="1:7" x14ac:dyDescent="0.3">
      <c r="A55" t="s">
        <v>130</v>
      </c>
      <c r="B55" t="s">
        <v>37</v>
      </c>
      <c r="C55" t="s">
        <v>33</v>
      </c>
      <c r="D55" t="s">
        <v>38</v>
      </c>
      <c r="E55" t="s">
        <v>39</v>
      </c>
      <c r="F55" t="s">
        <v>25</v>
      </c>
      <c r="G55" t="s">
        <v>131</v>
      </c>
    </row>
    <row r="56" spans="1:7" x14ac:dyDescent="0.3">
      <c r="A56" t="s">
        <v>132</v>
      </c>
      <c r="B56" t="s">
        <v>37</v>
      </c>
      <c r="C56" t="s">
        <v>33</v>
      </c>
      <c r="D56" t="s">
        <v>38</v>
      </c>
      <c r="E56" t="s">
        <v>39</v>
      </c>
      <c r="F56" t="s">
        <v>25</v>
      </c>
      <c r="G56" t="s">
        <v>133</v>
      </c>
    </row>
    <row r="57" spans="1:7" x14ac:dyDescent="0.3">
      <c r="A57" t="s">
        <v>134</v>
      </c>
      <c r="B57" t="s">
        <v>37</v>
      </c>
      <c r="C57" t="s">
        <v>33</v>
      </c>
      <c r="D57" t="s">
        <v>38</v>
      </c>
      <c r="E57" t="s">
        <v>39</v>
      </c>
      <c r="F57" t="s">
        <v>25</v>
      </c>
      <c r="G57" t="s">
        <v>135</v>
      </c>
    </row>
    <row r="58" spans="1:7" x14ac:dyDescent="0.3">
      <c r="A58" t="s">
        <v>136</v>
      </c>
      <c r="B58" t="s">
        <v>37</v>
      </c>
      <c r="C58" t="s">
        <v>33</v>
      </c>
      <c r="D58" t="s">
        <v>38</v>
      </c>
      <c r="E58" t="s">
        <v>39</v>
      </c>
      <c r="F58" t="s">
        <v>25</v>
      </c>
      <c r="G58" t="s">
        <v>137</v>
      </c>
    </row>
    <row r="59" spans="1:7" x14ac:dyDescent="0.3">
      <c r="A59" t="s">
        <v>138</v>
      </c>
      <c r="B59" t="s">
        <v>37</v>
      </c>
      <c r="C59" t="s">
        <v>33</v>
      </c>
      <c r="D59" t="s">
        <v>38</v>
      </c>
      <c r="E59" t="s">
        <v>39</v>
      </c>
      <c r="F59" t="s">
        <v>25</v>
      </c>
      <c r="G59" t="s">
        <v>139</v>
      </c>
    </row>
    <row r="60" spans="1:7" x14ac:dyDescent="0.3">
      <c r="A60" t="s">
        <v>140</v>
      </c>
      <c r="B60" t="s">
        <v>37</v>
      </c>
      <c r="C60" t="s">
        <v>33</v>
      </c>
      <c r="D60" t="s">
        <v>141</v>
      </c>
      <c r="E60" t="s">
        <v>39</v>
      </c>
      <c r="F60" t="s">
        <v>25</v>
      </c>
      <c r="G60" t="s">
        <v>142</v>
      </c>
    </row>
    <row r="61" spans="1:7" x14ac:dyDescent="0.3">
      <c r="A61" t="s">
        <v>143</v>
      </c>
      <c r="B61" t="s">
        <v>37</v>
      </c>
      <c r="C61" t="s">
        <v>33</v>
      </c>
      <c r="D61" t="s">
        <v>141</v>
      </c>
      <c r="E61" t="s">
        <v>39</v>
      </c>
      <c r="F61" t="s">
        <v>25</v>
      </c>
      <c r="G61" t="s">
        <v>144</v>
      </c>
    </row>
    <row r="62" spans="1:7" x14ac:dyDescent="0.3">
      <c r="A62" t="s">
        <v>145</v>
      </c>
      <c r="B62" t="s">
        <v>37</v>
      </c>
      <c r="C62" t="s">
        <v>33</v>
      </c>
      <c r="D62" t="s">
        <v>141</v>
      </c>
      <c r="E62" t="s">
        <v>39</v>
      </c>
      <c r="F62" t="s">
        <v>25</v>
      </c>
      <c r="G62" t="s">
        <v>146</v>
      </c>
    </row>
    <row r="63" spans="1:7" x14ac:dyDescent="0.3">
      <c r="A63" t="s">
        <v>147</v>
      </c>
      <c r="B63" t="s">
        <v>37</v>
      </c>
      <c r="C63" t="s">
        <v>33</v>
      </c>
      <c r="D63" t="s">
        <v>141</v>
      </c>
      <c r="E63" t="s">
        <v>39</v>
      </c>
      <c r="F63" t="s">
        <v>25</v>
      </c>
      <c r="G63" t="s">
        <v>148</v>
      </c>
    </row>
    <row r="64" spans="1:7" x14ac:dyDescent="0.3">
      <c r="A64" t="s">
        <v>149</v>
      </c>
      <c r="B64" t="s">
        <v>37</v>
      </c>
      <c r="C64" t="s">
        <v>33</v>
      </c>
      <c r="D64" t="s">
        <v>141</v>
      </c>
      <c r="E64" t="s">
        <v>39</v>
      </c>
      <c r="F64" t="s">
        <v>25</v>
      </c>
      <c r="G64" t="s">
        <v>150</v>
      </c>
    </row>
    <row r="65" spans="1:7" x14ac:dyDescent="0.3">
      <c r="A65" t="s">
        <v>151</v>
      </c>
      <c r="B65" t="s">
        <v>37</v>
      </c>
      <c r="C65" t="s">
        <v>33</v>
      </c>
      <c r="D65" t="s">
        <v>141</v>
      </c>
      <c r="E65" t="s">
        <v>39</v>
      </c>
      <c r="F65" t="s">
        <v>25</v>
      </c>
      <c r="G65" t="s">
        <v>152</v>
      </c>
    </row>
    <row r="66" spans="1:7" x14ac:dyDescent="0.3">
      <c r="A66" t="s">
        <v>153</v>
      </c>
      <c r="B66" t="s">
        <v>37</v>
      </c>
      <c r="C66" t="s">
        <v>33</v>
      </c>
      <c r="D66" t="s">
        <v>141</v>
      </c>
      <c r="E66" t="s">
        <v>39</v>
      </c>
      <c r="F66" t="s">
        <v>25</v>
      </c>
      <c r="G66" t="s">
        <v>154</v>
      </c>
    </row>
    <row r="67" spans="1:7" x14ac:dyDescent="0.3">
      <c r="A67" t="s">
        <v>155</v>
      </c>
      <c r="B67" t="s">
        <v>37</v>
      </c>
      <c r="C67" t="s">
        <v>33</v>
      </c>
      <c r="D67" t="s">
        <v>141</v>
      </c>
      <c r="E67" t="s">
        <v>39</v>
      </c>
      <c r="F67" t="s">
        <v>25</v>
      </c>
      <c r="G67" t="s">
        <v>156</v>
      </c>
    </row>
    <row r="68" spans="1:7" x14ac:dyDescent="0.3">
      <c r="A68" t="s">
        <v>157</v>
      </c>
      <c r="B68" t="s">
        <v>37</v>
      </c>
      <c r="C68" t="s">
        <v>33</v>
      </c>
      <c r="D68" t="s">
        <v>141</v>
      </c>
      <c r="E68" t="s">
        <v>39</v>
      </c>
      <c r="F68" t="s">
        <v>25</v>
      </c>
      <c r="G68" t="s">
        <v>158</v>
      </c>
    </row>
    <row r="69" spans="1:7" x14ac:dyDescent="0.3">
      <c r="A69" t="s">
        <v>159</v>
      </c>
      <c r="B69" t="s">
        <v>37</v>
      </c>
      <c r="C69" t="s">
        <v>33</v>
      </c>
      <c r="D69" t="s">
        <v>141</v>
      </c>
      <c r="E69" t="s">
        <v>39</v>
      </c>
      <c r="F69" t="s">
        <v>25</v>
      </c>
      <c r="G69" t="s">
        <v>160</v>
      </c>
    </row>
    <row r="70" spans="1:7" x14ac:dyDescent="0.3">
      <c r="A70" t="s">
        <v>161</v>
      </c>
      <c r="B70" t="s">
        <v>37</v>
      </c>
      <c r="C70" t="s">
        <v>33</v>
      </c>
      <c r="D70" t="s">
        <v>141</v>
      </c>
      <c r="E70" t="s">
        <v>39</v>
      </c>
      <c r="F70" t="s">
        <v>25</v>
      </c>
      <c r="G70" t="s">
        <v>162</v>
      </c>
    </row>
    <row r="71" spans="1:7" x14ac:dyDescent="0.3">
      <c r="A71" t="s">
        <v>163</v>
      </c>
      <c r="B71" t="s">
        <v>37</v>
      </c>
      <c r="C71" t="s">
        <v>33</v>
      </c>
      <c r="D71" t="s">
        <v>141</v>
      </c>
      <c r="E71" t="s">
        <v>39</v>
      </c>
      <c r="F71" t="s">
        <v>25</v>
      </c>
      <c r="G71" t="s">
        <v>164</v>
      </c>
    </row>
    <row r="72" spans="1:7" x14ac:dyDescent="0.3">
      <c r="A72" t="s">
        <v>165</v>
      </c>
      <c r="B72" t="s">
        <v>37</v>
      </c>
      <c r="C72" t="s">
        <v>33</v>
      </c>
      <c r="D72" t="s">
        <v>141</v>
      </c>
      <c r="E72" t="s">
        <v>39</v>
      </c>
      <c r="F72" t="s">
        <v>25</v>
      </c>
      <c r="G72" t="s">
        <v>166</v>
      </c>
    </row>
    <row r="73" spans="1:7" x14ac:dyDescent="0.3">
      <c r="A73" t="s">
        <v>167</v>
      </c>
      <c r="B73" t="s">
        <v>37</v>
      </c>
      <c r="C73" t="s">
        <v>33</v>
      </c>
      <c r="D73" t="s">
        <v>141</v>
      </c>
      <c r="E73" t="s">
        <v>39</v>
      </c>
      <c r="F73" t="s">
        <v>25</v>
      </c>
      <c r="G73" t="s">
        <v>168</v>
      </c>
    </row>
    <row r="74" spans="1:7" x14ac:dyDescent="0.3">
      <c r="A74" t="s">
        <v>169</v>
      </c>
      <c r="B74" t="s">
        <v>37</v>
      </c>
      <c r="C74" t="s">
        <v>33</v>
      </c>
      <c r="D74" t="s">
        <v>170</v>
      </c>
      <c r="E74" t="s">
        <v>39</v>
      </c>
      <c r="F74" t="s">
        <v>25</v>
      </c>
      <c r="G74" t="s">
        <v>171</v>
      </c>
    </row>
    <row r="75" spans="1:7" x14ac:dyDescent="0.3">
      <c r="A75" t="s">
        <v>172</v>
      </c>
      <c r="B75" t="s">
        <v>37</v>
      </c>
      <c r="C75" t="s">
        <v>33</v>
      </c>
      <c r="D75" t="s">
        <v>170</v>
      </c>
      <c r="E75" t="s">
        <v>39</v>
      </c>
      <c r="F75" t="s">
        <v>25</v>
      </c>
      <c r="G75" t="s">
        <v>173</v>
      </c>
    </row>
    <row r="76" spans="1:7" x14ac:dyDescent="0.3">
      <c r="A76" t="s">
        <v>174</v>
      </c>
      <c r="B76" t="s">
        <v>37</v>
      </c>
      <c r="C76" t="s">
        <v>33</v>
      </c>
      <c r="D76" t="s">
        <v>170</v>
      </c>
      <c r="E76" t="s">
        <v>39</v>
      </c>
      <c r="F76" t="s">
        <v>25</v>
      </c>
      <c r="G76" t="s">
        <v>175</v>
      </c>
    </row>
    <row r="77" spans="1:7" x14ac:dyDescent="0.3">
      <c r="A77" t="s">
        <v>176</v>
      </c>
      <c r="B77" t="s">
        <v>37</v>
      </c>
      <c r="C77" t="s">
        <v>33</v>
      </c>
      <c r="D77" t="s">
        <v>170</v>
      </c>
      <c r="E77" t="s">
        <v>39</v>
      </c>
      <c r="F77" t="s">
        <v>25</v>
      </c>
      <c r="G77" t="s">
        <v>177</v>
      </c>
    </row>
    <row r="78" spans="1:7" x14ac:dyDescent="0.3">
      <c r="A78" t="s">
        <v>178</v>
      </c>
      <c r="B78" t="s">
        <v>37</v>
      </c>
      <c r="C78" t="s">
        <v>33</v>
      </c>
      <c r="D78" t="s">
        <v>170</v>
      </c>
      <c r="E78" t="s">
        <v>39</v>
      </c>
      <c r="F78" t="s">
        <v>25</v>
      </c>
      <c r="G78" t="s">
        <v>179</v>
      </c>
    </row>
    <row r="79" spans="1:7" x14ac:dyDescent="0.3">
      <c r="A79" t="s">
        <v>180</v>
      </c>
      <c r="B79" t="s">
        <v>37</v>
      </c>
      <c r="C79" t="s">
        <v>33</v>
      </c>
      <c r="D79" t="s">
        <v>170</v>
      </c>
      <c r="E79" t="s">
        <v>39</v>
      </c>
      <c r="F79" t="s">
        <v>25</v>
      </c>
      <c r="G79" t="s">
        <v>181</v>
      </c>
    </row>
    <row r="80" spans="1:7" x14ac:dyDescent="0.3">
      <c r="A80" t="s">
        <v>182</v>
      </c>
      <c r="B80" t="s">
        <v>37</v>
      </c>
      <c r="C80" t="s">
        <v>33</v>
      </c>
      <c r="D80" t="s">
        <v>170</v>
      </c>
      <c r="E80" t="s">
        <v>39</v>
      </c>
      <c r="F80" t="s">
        <v>25</v>
      </c>
      <c r="G80" t="s">
        <v>183</v>
      </c>
    </row>
    <row r="81" spans="1:7" x14ac:dyDescent="0.3">
      <c r="A81" t="s">
        <v>184</v>
      </c>
      <c r="B81" t="s">
        <v>37</v>
      </c>
      <c r="C81" t="s">
        <v>33</v>
      </c>
      <c r="D81" t="s">
        <v>170</v>
      </c>
      <c r="E81" t="s">
        <v>39</v>
      </c>
      <c r="F81" t="s">
        <v>25</v>
      </c>
      <c r="G81" t="s">
        <v>185</v>
      </c>
    </row>
    <row r="82" spans="1:7" x14ac:dyDescent="0.3">
      <c r="A82" t="s">
        <v>186</v>
      </c>
      <c r="B82" t="s">
        <v>37</v>
      </c>
      <c r="C82" t="s">
        <v>33</v>
      </c>
      <c r="D82" t="s">
        <v>170</v>
      </c>
      <c r="E82" t="s">
        <v>39</v>
      </c>
      <c r="F82" t="s">
        <v>25</v>
      </c>
      <c r="G82" t="s">
        <v>187</v>
      </c>
    </row>
    <row r="83" spans="1:7" x14ac:dyDescent="0.3">
      <c r="A83" t="s">
        <v>188</v>
      </c>
      <c r="B83" t="s">
        <v>37</v>
      </c>
      <c r="C83" t="s">
        <v>33</v>
      </c>
      <c r="D83" t="s">
        <v>170</v>
      </c>
      <c r="E83" t="s">
        <v>39</v>
      </c>
      <c r="F83" t="s">
        <v>25</v>
      </c>
      <c r="G83" t="s">
        <v>189</v>
      </c>
    </row>
    <row r="84" spans="1:7" x14ac:dyDescent="0.3">
      <c r="A84" t="s">
        <v>190</v>
      </c>
      <c r="B84" t="s">
        <v>37</v>
      </c>
      <c r="C84" t="s">
        <v>33</v>
      </c>
      <c r="D84" t="s">
        <v>170</v>
      </c>
      <c r="E84" t="s">
        <v>39</v>
      </c>
      <c r="F84" t="s">
        <v>25</v>
      </c>
      <c r="G84" t="s">
        <v>191</v>
      </c>
    </row>
    <row r="85" spans="1:7" x14ac:dyDescent="0.3">
      <c r="A85" t="s">
        <v>192</v>
      </c>
      <c r="B85" t="s">
        <v>37</v>
      </c>
      <c r="C85" t="s">
        <v>33</v>
      </c>
      <c r="D85" t="s">
        <v>170</v>
      </c>
      <c r="E85" t="s">
        <v>39</v>
      </c>
      <c r="F85" t="s">
        <v>25</v>
      </c>
      <c r="G85" t="s">
        <v>193</v>
      </c>
    </row>
    <row r="86" spans="1:7" x14ac:dyDescent="0.3">
      <c r="A86" t="s">
        <v>194</v>
      </c>
      <c r="B86" t="s">
        <v>37</v>
      </c>
      <c r="C86" t="s">
        <v>33</v>
      </c>
      <c r="D86" t="s">
        <v>170</v>
      </c>
      <c r="E86" t="s">
        <v>39</v>
      </c>
      <c r="F86" t="s">
        <v>25</v>
      </c>
      <c r="G86" t="s">
        <v>195</v>
      </c>
    </row>
    <row r="87" spans="1:7" x14ac:dyDescent="0.3">
      <c r="A87" t="s">
        <v>196</v>
      </c>
      <c r="B87" t="s">
        <v>37</v>
      </c>
      <c r="C87" t="s">
        <v>33</v>
      </c>
      <c r="D87" t="s">
        <v>170</v>
      </c>
      <c r="E87" t="s">
        <v>39</v>
      </c>
      <c r="F87" t="s">
        <v>25</v>
      </c>
      <c r="G87" t="s">
        <v>197</v>
      </c>
    </row>
    <row r="88" spans="1:7" x14ac:dyDescent="0.3">
      <c r="A88" t="s">
        <v>198</v>
      </c>
      <c r="B88" t="s">
        <v>37</v>
      </c>
      <c r="C88" t="s">
        <v>33</v>
      </c>
      <c r="D88" t="s">
        <v>170</v>
      </c>
      <c r="E88" t="s">
        <v>39</v>
      </c>
      <c r="F88" t="s">
        <v>25</v>
      </c>
      <c r="G88" t="s">
        <v>199</v>
      </c>
    </row>
    <row r="89" spans="1:7" x14ac:dyDescent="0.3">
      <c r="A89" t="s">
        <v>200</v>
      </c>
      <c r="B89" t="s">
        <v>37</v>
      </c>
      <c r="C89" t="s">
        <v>33</v>
      </c>
      <c r="D89" t="s">
        <v>170</v>
      </c>
      <c r="E89" t="s">
        <v>39</v>
      </c>
      <c r="F89" t="s">
        <v>25</v>
      </c>
      <c r="G89" t="s">
        <v>201</v>
      </c>
    </row>
    <row r="90" spans="1:7" x14ac:dyDescent="0.3">
      <c r="A90" t="s">
        <v>202</v>
      </c>
      <c r="B90" t="s">
        <v>37</v>
      </c>
      <c r="C90" t="s">
        <v>33</v>
      </c>
      <c r="D90" t="s">
        <v>170</v>
      </c>
      <c r="E90" t="s">
        <v>39</v>
      </c>
      <c r="F90" t="s">
        <v>25</v>
      </c>
      <c r="G90" t="s">
        <v>203</v>
      </c>
    </row>
    <row r="91" spans="1:7" x14ac:dyDescent="0.3">
      <c r="A91" t="s">
        <v>204</v>
      </c>
      <c r="B91" t="s">
        <v>37</v>
      </c>
      <c r="C91" t="s">
        <v>33</v>
      </c>
      <c r="D91" t="s">
        <v>170</v>
      </c>
      <c r="E91" t="s">
        <v>39</v>
      </c>
      <c r="F91" t="s">
        <v>25</v>
      </c>
      <c r="G91" t="s">
        <v>205</v>
      </c>
    </row>
    <row r="92" spans="1:7" x14ac:dyDescent="0.3">
      <c r="A92" t="s">
        <v>206</v>
      </c>
      <c r="B92" t="s">
        <v>37</v>
      </c>
      <c r="C92" t="s">
        <v>33</v>
      </c>
      <c r="D92" t="s">
        <v>170</v>
      </c>
      <c r="E92" t="s">
        <v>39</v>
      </c>
      <c r="F92" t="s">
        <v>25</v>
      </c>
      <c r="G92" t="s">
        <v>207</v>
      </c>
    </row>
    <row r="93" spans="1:7" x14ac:dyDescent="0.3">
      <c r="A93" t="s">
        <v>208</v>
      </c>
      <c r="B93" t="s">
        <v>37</v>
      </c>
      <c r="C93" t="s">
        <v>33</v>
      </c>
      <c r="D93" t="s">
        <v>170</v>
      </c>
      <c r="E93" t="s">
        <v>39</v>
      </c>
      <c r="F93" t="s">
        <v>25</v>
      </c>
      <c r="G93" t="s">
        <v>209</v>
      </c>
    </row>
    <row r="94" spans="1:7" x14ac:dyDescent="0.3">
      <c r="A94" t="s">
        <v>210</v>
      </c>
      <c r="B94" t="s">
        <v>37</v>
      </c>
      <c r="C94" t="s">
        <v>33</v>
      </c>
      <c r="D94" t="s">
        <v>170</v>
      </c>
      <c r="E94" t="s">
        <v>39</v>
      </c>
      <c r="F94" t="s">
        <v>25</v>
      </c>
      <c r="G94" t="s">
        <v>211</v>
      </c>
    </row>
    <row r="95" spans="1:7" x14ac:dyDescent="0.3">
      <c r="A95" t="s">
        <v>212</v>
      </c>
      <c r="B95" t="s">
        <v>37</v>
      </c>
      <c r="C95" t="s">
        <v>33</v>
      </c>
      <c r="D95" t="s">
        <v>170</v>
      </c>
      <c r="E95" t="s">
        <v>39</v>
      </c>
      <c r="F95" t="s">
        <v>25</v>
      </c>
      <c r="G95" t="s">
        <v>213</v>
      </c>
    </row>
    <row r="96" spans="1:7" x14ac:dyDescent="0.3">
      <c r="A96" t="s">
        <v>214</v>
      </c>
      <c r="B96" t="s">
        <v>37</v>
      </c>
      <c r="C96" t="s">
        <v>33</v>
      </c>
      <c r="D96" t="s">
        <v>170</v>
      </c>
      <c r="E96" t="s">
        <v>39</v>
      </c>
      <c r="F96" t="s">
        <v>25</v>
      </c>
      <c r="G96" t="s">
        <v>215</v>
      </c>
    </row>
    <row r="97" spans="1:7" x14ac:dyDescent="0.3">
      <c r="A97" t="s">
        <v>216</v>
      </c>
      <c r="B97" t="s">
        <v>37</v>
      </c>
      <c r="C97" t="s">
        <v>33</v>
      </c>
      <c r="D97" t="s">
        <v>170</v>
      </c>
      <c r="E97" t="s">
        <v>39</v>
      </c>
      <c r="F97" t="s">
        <v>25</v>
      </c>
      <c r="G97" t="s">
        <v>217</v>
      </c>
    </row>
    <row r="98" spans="1:7" x14ac:dyDescent="0.3">
      <c r="A98" t="s">
        <v>218</v>
      </c>
      <c r="B98" t="s">
        <v>37</v>
      </c>
      <c r="C98" t="s">
        <v>33</v>
      </c>
      <c r="D98" t="s">
        <v>170</v>
      </c>
      <c r="E98" t="s">
        <v>39</v>
      </c>
      <c r="F98" t="s">
        <v>25</v>
      </c>
      <c r="G98" t="s">
        <v>219</v>
      </c>
    </row>
    <row r="99" spans="1:7" x14ac:dyDescent="0.3">
      <c r="A99" t="s">
        <v>220</v>
      </c>
      <c r="B99" t="s">
        <v>37</v>
      </c>
      <c r="C99" t="s">
        <v>33</v>
      </c>
      <c r="D99" t="s">
        <v>170</v>
      </c>
      <c r="E99" t="s">
        <v>39</v>
      </c>
      <c r="F99" t="s">
        <v>25</v>
      </c>
      <c r="G99" t="s">
        <v>221</v>
      </c>
    </row>
    <row r="100" spans="1:7" x14ac:dyDescent="0.3">
      <c r="A100" t="s">
        <v>222</v>
      </c>
      <c r="B100" t="s">
        <v>37</v>
      </c>
      <c r="C100" t="s">
        <v>33</v>
      </c>
      <c r="D100" t="s">
        <v>170</v>
      </c>
      <c r="E100" t="s">
        <v>39</v>
      </c>
      <c r="F100" t="s">
        <v>25</v>
      </c>
      <c r="G100" t="s">
        <v>223</v>
      </c>
    </row>
    <row r="101" spans="1:7" x14ac:dyDescent="0.3">
      <c r="A101" t="s">
        <v>224</v>
      </c>
      <c r="B101" t="s">
        <v>37</v>
      </c>
      <c r="C101" t="s">
        <v>33</v>
      </c>
      <c r="D101" t="s">
        <v>170</v>
      </c>
      <c r="E101" t="s">
        <v>39</v>
      </c>
      <c r="F101" t="s">
        <v>25</v>
      </c>
      <c r="G101" t="s">
        <v>225</v>
      </c>
    </row>
    <row r="102" spans="1:7" x14ac:dyDescent="0.3">
      <c r="A102" t="s">
        <v>226</v>
      </c>
      <c r="B102" t="s">
        <v>37</v>
      </c>
      <c r="C102" t="s">
        <v>33</v>
      </c>
      <c r="D102" t="s">
        <v>170</v>
      </c>
      <c r="E102" t="s">
        <v>39</v>
      </c>
      <c r="F102" t="s">
        <v>25</v>
      </c>
      <c r="G102" t="s">
        <v>227</v>
      </c>
    </row>
    <row r="103" spans="1:7" x14ac:dyDescent="0.3">
      <c r="A103" t="s">
        <v>228</v>
      </c>
      <c r="B103" t="s">
        <v>37</v>
      </c>
      <c r="C103" t="s">
        <v>33</v>
      </c>
      <c r="D103" t="s">
        <v>170</v>
      </c>
      <c r="E103" t="s">
        <v>39</v>
      </c>
      <c r="F103" t="s">
        <v>25</v>
      </c>
      <c r="G103" t="s">
        <v>229</v>
      </c>
    </row>
    <row r="104" spans="1:7" x14ac:dyDescent="0.3">
      <c r="A104" t="s">
        <v>230</v>
      </c>
      <c r="B104" t="s">
        <v>37</v>
      </c>
      <c r="C104" t="s">
        <v>33</v>
      </c>
      <c r="D104" t="s">
        <v>170</v>
      </c>
      <c r="E104" t="s">
        <v>39</v>
      </c>
      <c r="F104" t="s">
        <v>25</v>
      </c>
      <c r="G104" t="s">
        <v>231</v>
      </c>
    </row>
    <row r="105" spans="1:7" x14ac:dyDescent="0.3">
      <c r="A105" t="s">
        <v>232</v>
      </c>
      <c r="B105" t="s">
        <v>37</v>
      </c>
      <c r="C105" t="s">
        <v>33</v>
      </c>
      <c r="D105" t="s">
        <v>170</v>
      </c>
      <c r="E105" t="s">
        <v>39</v>
      </c>
      <c r="F105" t="s">
        <v>25</v>
      </c>
      <c r="G105" t="s">
        <v>233</v>
      </c>
    </row>
    <row r="106" spans="1:7" x14ac:dyDescent="0.3">
      <c r="A106" t="s">
        <v>234</v>
      </c>
      <c r="B106" t="s">
        <v>37</v>
      </c>
      <c r="C106" t="s">
        <v>33</v>
      </c>
      <c r="D106" t="s">
        <v>170</v>
      </c>
      <c r="E106" t="s">
        <v>39</v>
      </c>
      <c r="F106" t="s">
        <v>25</v>
      </c>
      <c r="G106" t="s">
        <v>235</v>
      </c>
    </row>
    <row r="107" spans="1:7" x14ac:dyDescent="0.3">
      <c r="A107" t="s">
        <v>236</v>
      </c>
      <c r="B107" t="s">
        <v>37</v>
      </c>
      <c r="C107" t="s">
        <v>33</v>
      </c>
      <c r="D107" t="s">
        <v>170</v>
      </c>
      <c r="E107" t="s">
        <v>39</v>
      </c>
      <c r="F107" t="s">
        <v>25</v>
      </c>
      <c r="G107" t="s">
        <v>237</v>
      </c>
    </row>
    <row r="108" spans="1:7" x14ac:dyDescent="0.3">
      <c r="A108" t="s">
        <v>238</v>
      </c>
      <c r="B108" t="s">
        <v>37</v>
      </c>
      <c r="C108" t="s">
        <v>33</v>
      </c>
      <c r="D108" t="s">
        <v>170</v>
      </c>
      <c r="E108" t="s">
        <v>39</v>
      </c>
      <c r="F108" t="s">
        <v>25</v>
      </c>
      <c r="G108" t="s">
        <v>239</v>
      </c>
    </row>
    <row r="109" spans="1:7" x14ac:dyDescent="0.3">
      <c r="A109" t="s">
        <v>240</v>
      </c>
      <c r="B109" t="s">
        <v>37</v>
      </c>
      <c r="C109" t="s">
        <v>33</v>
      </c>
      <c r="D109" t="s">
        <v>170</v>
      </c>
      <c r="E109" t="s">
        <v>39</v>
      </c>
      <c r="F109" t="s">
        <v>25</v>
      </c>
      <c r="G109" t="s">
        <v>241</v>
      </c>
    </row>
    <row r="110" spans="1:7" x14ac:dyDescent="0.3">
      <c r="A110" t="s">
        <v>242</v>
      </c>
      <c r="B110" t="s">
        <v>37</v>
      </c>
      <c r="C110" t="s">
        <v>33</v>
      </c>
      <c r="D110" t="s">
        <v>170</v>
      </c>
      <c r="E110" t="s">
        <v>39</v>
      </c>
      <c r="F110" t="s">
        <v>25</v>
      </c>
      <c r="G110" t="s">
        <v>243</v>
      </c>
    </row>
    <row r="111" spans="1:7" x14ac:dyDescent="0.3">
      <c r="A111" t="s">
        <v>244</v>
      </c>
      <c r="B111" t="s">
        <v>37</v>
      </c>
      <c r="C111" t="s">
        <v>33</v>
      </c>
      <c r="D111" t="s">
        <v>170</v>
      </c>
      <c r="E111" t="s">
        <v>39</v>
      </c>
      <c r="F111" t="s">
        <v>25</v>
      </c>
      <c r="G111" t="s">
        <v>245</v>
      </c>
    </row>
    <row r="112" spans="1:7" x14ac:dyDescent="0.3">
      <c r="A112" t="s">
        <v>246</v>
      </c>
      <c r="B112" t="s">
        <v>37</v>
      </c>
      <c r="C112" t="s">
        <v>33</v>
      </c>
      <c r="D112" t="s">
        <v>170</v>
      </c>
      <c r="E112" t="s">
        <v>39</v>
      </c>
      <c r="F112" t="s">
        <v>25</v>
      </c>
      <c r="G112" t="s">
        <v>247</v>
      </c>
    </row>
    <row r="113" spans="1:9" x14ac:dyDescent="0.3">
      <c r="A113" t="s">
        <v>248</v>
      </c>
      <c r="B113" t="s">
        <v>37</v>
      </c>
      <c r="C113" t="s">
        <v>33</v>
      </c>
      <c r="D113" t="s">
        <v>170</v>
      </c>
      <c r="E113" t="s">
        <v>39</v>
      </c>
      <c r="F113" t="s">
        <v>25</v>
      </c>
      <c r="G113" t="s">
        <v>249</v>
      </c>
    </row>
    <row r="114" spans="1:9" x14ac:dyDescent="0.3">
      <c r="A114" t="s">
        <v>250</v>
      </c>
      <c r="B114" t="s">
        <v>37</v>
      </c>
      <c r="C114" t="s">
        <v>33</v>
      </c>
      <c r="D114" t="s">
        <v>170</v>
      </c>
      <c r="E114" t="s">
        <v>39</v>
      </c>
      <c r="F114" t="s">
        <v>25</v>
      </c>
      <c r="G114" t="s">
        <v>251</v>
      </c>
    </row>
    <row r="115" spans="1:9" x14ac:dyDescent="0.3">
      <c r="A115" t="s">
        <v>252</v>
      </c>
      <c r="B115" t="s">
        <v>37</v>
      </c>
      <c r="C115" t="s">
        <v>33</v>
      </c>
      <c r="D115" t="s">
        <v>170</v>
      </c>
      <c r="E115" t="s">
        <v>39</v>
      </c>
      <c r="F115" t="s">
        <v>25</v>
      </c>
      <c r="G115" t="s">
        <v>253</v>
      </c>
    </row>
    <row r="116" spans="1:9" x14ac:dyDescent="0.3">
      <c r="A116" t="s">
        <v>254</v>
      </c>
      <c r="B116" t="s">
        <v>37</v>
      </c>
      <c r="C116" t="s">
        <v>33</v>
      </c>
      <c r="D116" t="s">
        <v>170</v>
      </c>
      <c r="E116" t="s">
        <v>39</v>
      </c>
      <c r="F116" t="s">
        <v>25</v>
      </c>
      <c r="G116" t="s">
        <v>255</v>
      </c>
    </row>
    <row r="117" spans="1:9" x14ac:dyDescent="0.3">
      <c r="A117" t="s">
        <v>256</v>
      </c>
      <c r="B117" t="s">
        <v>37</v>
      </c>
      <c r="C117" t="s">
        <v>33</v>
      </c>
      <c r="D117" t="s">
        <v>170</v>
      </c>
      <c r="E117" t="s">
        <v>39</v>
      </c>
      <c r="F117" t="s">
        <v>25</v>
      </c>
      <c r="G117" t="s">
        <v>257</v>
      </c>
    </row>
    <row r="118" spans="1:9" x14ac:dyDescent="0.3">
      <c r="A118" t="s">
        <v>258</v>
      </c>
      <c r="B118" t="s">
        <v>37</v>
      </c>
      <c r="C118" t="s">
        <v>33</v>
      </c>
      <c r="D118" t="s">
        <v>170</v>
      </c>
      <c r="E118" t="s">
        <v>39</v>
      </c>
      <c r="F118" t="s">
        <v>25</v>
      </c>
      <c r="G118" t="s">
        <v>259</v>
      </c>
    </row>
    <row r="119" spans="1:9" x14ac:dyDescent="0.3">
      <c r="A119" t="s">
        <v>260</v>
      </c>
      <c r="B119" t="s">
        <v>37</v>
      </c>
      <c r="C119" t="s">
        <v>33</v>
      </c>
      <c r="D119" t="s">
        <v>170</v>
      </c>
      <c r="E119" t="s">
        <v>39</v>
      </c>
      <c r="F119" t="s">
        <v>25</v>
      </c>
      <c r="G119" t="s">
        <v>261</v>
      </c>
    </row>
    <row r="120" spans="1:9" x14ac:dyDescent="0.3">
      <c r="A120" t="s">
        <v>262</v>
      </c>
      <c r="B120" t="s">
        <v>37</v>
      </c>
      <c r="C120" t="s">
        <v>33</v>
      </c>
      <c r="D120" t="s">
        <v>170</v>
      </c>
      <c r="E120" t="s">
        <v>39</v>
      </c>
      <c r="F120" t="s">
        <v>25</v>
      </c>
      <c r="G120" t="s">
        <v>263</v>
      </c>
    </row>
    <row r="121" spans="1:9" x14ac:dyDescent="0.3">
      <c r="A121" t="s">
        <v>264</v>
      </c>
      <c r="B121" t="s">
        <v>37</v>
      </c>
      <c r="C121" t="s">
        <v>33</v>
      </c>
      <c r="D121" t="s">
        <v>170</v>
      </c>
      <c r="E121" t="s">
        <v>39</v>
      </c>
      <c r="F121" t="s">
        <v>25</v>
      </c>
      <c r="G121" t="s">
        <v>265</v>
      </c>
    </row>
    <row r="122" spans="1:9" x14ac:dyDescent="0.3">
      <c r="A122" t="s">
        <v>266</v>
      </c>
      <c r="B122" t="s">
        <v>37</v>
      </c>
      <c r="C122" t="s">
        <v>33</v>
      </c>
      <c r="D122" t="s">
        <v>170</v>
      </c>
      <c r="E122" t="s">
        <v>39</v>
      </c>
      <c r="F122" t="s">
        <v>25</v>
      </c>
      <c r="G122" t="s">
        <v>267</v>
      </c>
    </row>
    <row r="123" spans="1:9" x14ac:dyDescent="0.3">
      <c r="A123" t="s">
        <v>268</v>
      </c>
      <c r="B123" t="s">
        <v>37</v>
      </c>
      <c r="C123" t="s">
        <v>33</v>
      </c>
      <c r="D123" t="s">
        <v>170</v>
      </c>
      <c r="E123" t="s">
        <v>39</v>
      </c>
      <c r="F123" t="s">
        <v>25</v>
      </c>
      <c r="G123" t="s">
        <v>269</v>
      </c>
    </row>
    <row r="124" spans="1:9" x14ac:dyDescent="0.3">
      <c r="A124" t="s">
        <v>270</v>
      </c>
      <c r="B124" t="s">
        <v>37</v>
      </c>
      <c r="C124" t="s">
        <v>33</v>
      </c>
      <c r="D124" t="s">
        <v>170</v>
      </c>
      <c r="E124" t="s">
        <v>39</v>
      </c>
      <c r="F124" t="s">
        <v>25</v>
      </c>
      <c r="G124" t="s">
        <v>271</v>
      </c>
    </row>
    <row r="125" spans="1:9" x14ac:dyDescent="0.3">
      <c r="A125" t="s">
        <v>272</v>
      </c>
      <c r="B125" t="s">
        <v>37</v>
      </c>
      <c r="C125" t="s">
        <v>33</v>
      </c>
      <c r="D125" t="s">
        <v>170</v>
      </c>
      <c r="E125" t="s">
        <v>39</v>
      </c>
      <c r="F125" t="s">
        <v>25</v>
      </c>
      <c r="G125" t="s">
        <v>273</v>
      </c>
    </row>
    <row r="126" spans="1:9" x14ac:dyDescent="0.3">
      <c r="A126" t="s">
        <v>274</v>
      </c>
      <c r="B126" t="s">
        <v>37</v>
      </c>
      <c r="C126" t="s">
        <v>33</v>
      </c>
      <c r="D126" t="s">
        <v>170</v>
      </c>
      <c r="E126" t="s">
        <v>39</v>
      </c>
      <c r="F126" t="s">
        <v>25</v>
      </c>
      <c r="G126" t="s">
        <v>275</v>
      </c>
    </row>
    <row r="127" spans="1:9" x14ac:dyDescent="0.3">
      <c r="A127" t="s">
        <v>276</v>
      </c>
      <c r="B127" t="s">
        <v>37</v>
      </c>
      <c r="C127" t="s">
        <v>33</v>
      </c>
      <c r="D127" t="s">
        <v>170</v>
      </c>
      <c r="E127" t="s">
        <v>39</v>
      </c>
      <c r="F127" t="s">
        <v>25</v>
      </c>
      <c r="G127" t="s">
        <v>277</v>
      </c>
    </row>
    <row r="128" spans="1:9" x14ac:dyDescent="0.3">
      <c r="A128" t="s">
        <v>278</v>
      </c>
      <c r="B128" t="s">
        <v>279</v>
      </c>
      <c r="C128" t="s">
        <v>280</v>
      </c>
      <c r="D128" t="s">
        <v>281</v>
      </c>
      <c r="E128" t="s">
        <v>282</v>
      </c>
      <c r="H128" t="s">
        <v>25</v>
      </c>
      <c r="I128" t="s">
        <v>283</v>
      </c>
    </row>
    <row r="129" spans="1:13" x14ac:dyDescent="0.3">
      <c r="A129" t="s">
        <v>278</v>
      </c>
      <c r="B129" t="s">
        <v>279</v>
      </c>
      <c r="C129" t="s">
        <v>280</v>
      </c>
      <c r="D129" t="s">
        <v>284</v>
      </c>
      <c r="E129" t="s">
        <v>285</v>
      </c>
      <c r="H129" t="s">
        <v>25</v>
      </c>
      <c r="I129" t="s">
        <v>286</v>
      </c>
    </row>
    <row r="130" spans="1:13" x14ac:dyDescent="0.3">
      <c r="A130" t="s">
        <v>278</v>
      </c>
      <c r="B130" t="s">
        <v>279</v>
      </c>
      <c r="C130" t="s">
        <v>280</v>
      </c>
      <c r="D130" t="s">
        <v>287</v>
      </c>
      <c r="E130" t="s">
        <v>288</v>
      </c>
      <c r="H130" t="s">
        <v>25</v>
      </c>
      <c r="I130" t="s">
        <v>289</v>
      </c>
    </row>
    <row r="131" spans="1:13" x14ac:dyDescent="0.3">
      <c r="A131" t="s">
        <v>278</v>
      </c>
      <c r="B131" t="s">
        <v>279</v>
      </c>
      <c r="C131" t="s">
        <v>280</v>
      </c>
      <c r="D131" t="s">
        <v>290</v>
      </c>
      <c r="E131" t="s">
        <v>291</v>
      </c>
      <c r="H131" t="s">
        <v>25</v>
      </c>
      <c r="I131" t="s">
        <v>292</v>
      </c>
    </row>
    <row r="132" spans="1:13" x14ac:dyDescent="0.3">
      <c r="A132" t="s">
        <v>278</v>
      </c>
      <c r="B132" t="s">
        <v>279</v>
      </c>
      <c r="C132" t="s">
        <v>280</v>
      </c>
      <c r="D132" t="s">
        <v>293</v>
      </c>
      <c r="E132" t="s">
        <v>294</v>
      </c>
      <c r="H132" t="s">
        <v>25</v>
      </c>
      <c r="I132" t="s">
        <v>295</v>
      </c>
    </row>
    <row r="133" spans="1:13" x14ac:dyDescent="0.3">
      <c r="A133" t="s">
        <v>278</v>
      </c>
      <c r="B133" t="s">
        <v>279</v>
      </c>
      <c r="C133" t="s">
        <v>280</v>
      </c>
      <c r="D133" t="s">
        <v>296</v>
      </c>
      <c r="E133" t="s">
        <v>297</v>
      </c>
      <c r="H133" t="s">
        <v>25</v>
      </c>
      <c r="I133" t="s">
        <v>298</v>
      </c>
    </row>
    <row r="134" spans="1:13" x14ac:dyDescent="0.3">
      <c r="A134" t="s">
        <v>278</v>
      </c>
      <c r="B134" t="s">
        <v>279</v>
      </c>
      <c r="C134" t="s">
        <v>280</v>
      </c>
      <c r="D134" t="s">
        <v>299</v>
      </c>
      <c r="E134" t="s">
        <v>300</v>
      </c>
      <c r="H134" t="s">
        <v>25</v>
      </c>
      <c r="I134" t="s">
        <v>301</v>
      </c>
    </row>
    <row r="135" spans="1:13" x14ac:dyDescent="0.3">
      <c r="A135" t="s">
        <v>278</v>
      </c>
      <c r="B135" t="s">
        <v>279</v>
      </c>
      <c r="C135" t="s">
        <v>280</v>
      </c>
      <c r="D135" t="s">
        <v>302</v>
      </c>
      <c r="E135" t="s">
        <v>303</v>
      </c>
      <c r="H135" t="s">
        <v>25</v>
      </c>
      <c r="I135" t="s">
        <v>304</v>
      </c>
    </row>
    <row r="136" spans="1:13" x14ac:dyDescent="0.3">
      <c r="A136" t="s">
        <v>278</v>
      </c>
      <c r="B136" t="s">
        <v>279</v>
      </c>
      <c r="C136" t="s">
        <v>280</v>
      </c>
      <c r="D136" t="s">
        <v>305</v>
      </c>
      <c r="E136" t="s">
        <v>306</v>
      </c>
      <c r="H136" t="s">
        <v>25</v>
      </c>
      <c r="I136" t="s">
        <v>307</v>
      </c>
    </row>
    <row r="137" spans="1:13" x14ac:dyDescent="0.3">
      <c r="A137" t="s">
        <v>278</v>
      </c>
      <c r="B137" t="s">
        <v>279</v>
      </c>
      <c r="C137" t="s">
        <v>308</v>
      </c>
      <c r="D137" t="s">
        <v>309</v>
      </c>
      <c r="E137" t="s">
        <v>310</v>
      </c>
      <c r="H137" t="s">
        <v>25</v>
      </c>
      <c r="I137" t="s">
        <v>311</v>
      </c>
      <c r="L137" t="s">
        <v>312</v>
      </c>
      <c r="M137" t="s">
        <v>313</v>
      </c>
    </row>
    <row r="138" spans="1:13" x14ac:dyDescent="0.3">
      <c r="A138" t="s">
        <v>278</v>
      </c>
      <c r="B138" t="s">
        <v>279</v>
      </c>
      <c r="C138" t="s">
        <v>308</v>
      </c>
      <c r="D138" t="s">
        <v>314</v>
      </c>
      <c r="E138" t="s">
        <v>315</v>
      </c>
      <c r="H138" t="s">
        <v>25</v>
      </c>
      <c r="I138" t="s">
        <v>316</v>
      </c>
      <c r="L138" t="s">
        <v>312</v>
      </c>
      <c r="M138" t="s">
        <v>317</v>
      </c>
    </row>
    <row r="139" spans="1:13" x14ac:dyDescent="0.3">
      <c r="A139" t="s">
        <v>278</v>
      </c>
      <c r="B139" t="s">
        <v>279</v>
      </c>
      <c r="C139" t="s">
        <v>308</v>
      </c>
      <c r="D139" t="s">
        <v>318</v>
      </c>
      <c r="E139" t="s">
        <v>319</v>
      </c>
      <c r="H139" t="s">
        <v>25</v>
      </c>
      <c r="I139" t="s">
        <v>320</v>
      </c>
      <c r="L139" t="s">
        <v>312</v>
      </c>
      <c r="M139" t="s">
        <v>313</v>
      </c>
    </row>
    <row r="140" spans="1:13" x14ac:dyDescent="0.3">
      <c r="A140" t="s">
        <v>278</v>
      </c>
      <c r="B140" t="s">
        <v>279</v>
      </c>
      <c r="C140" t="s">
        <v>308</v>
      </c>
      <c r="D140" t="s">
        <v>321</v>
      </c>
      <c r="E140" t="s">
        <v>322</v>
      </c>
      <c r="H140" t="s">
        <v>25</v>
      </c>
      <c r="I140" t="s">
        <v>323</v>
      </c>
      <c r="L140" t="s">
        <v>312</v>
      </c>
      <c r="M140" t="s">
        <v>317</v>
      </c>
    </row>
    <row r="141" spans="1:13" x14ac:dyDescent="0.3">
      <c r="A141" t="s">
        <v>278</v>
      </c>
      <c r="B141" t="s">
        <v>279</v>
      </c>
      <c r="C141" t="s">
        <v>308</v>
      </c>
      <c r="D141" t="s">
        <v>324</v>
      </c>
      <c r="E141" t="s">
        <v>325</v>
      </c>
      <c r="H141" t="s">
        <v>25</v>
      </c>
      <c r="I141" t="s">
        <v>326</v>
      </c>
      <c r="L141" t="s">
        <v>312</v>
      </c>
      <c r="M141" t="s">
        <v>327</v>
      </c>
    </row>
    <row r="142" spans="1:13" x14ac:dyDescent="0.3">
      <c r="A142" t="s">
        <v>278</v>
      </c>
      <c r="B142" t="s">
        <v>279</v>
      </c>
      <c r="C142" t="s">
        <v>308</v>
      </c>
      <c r="D142" t="s">
        <v>328</v>
      </c>
      <c r="E142" t="s">
        <v>329</v>
      </c>
      <c r="H142" t="s">
        <v>25</v>
      </c>
      <c r="I142" t="s">
        <v>330</v>
      </c>
      <c r="L142" t="s">
        <v>312</v>
      </c>
      <c r="M142" t="s">
        <v>317</v>
      </c>
    </row>
    <row r="143" spans="1:13" x14ac:dyDescent="0.3">
      <c r="A143" t="s">
        <v>278</v>
      </c>
      <c r="B143" t="s">
        <v>279</v>
      </c>
      <c r="C143" t="s">
        <v>308</v>
      </c>
      <c r="D143" t="s">
        <v>331</v>
      </c>
      <c r="E143" t="s">
        <v>332</v>
      </c>
      <c r="H143" t="s">
        <v>25</v>
      </c>
      <c r="I143" t="s">
        <v>333</v>
      </c>
      <c r="L143" t="s">
        <v>312</v>
      </c>
      <c r="M143" t="s">
        <v>327</v>
      </c>
    </row>
    <row r="144" spans="1:13" x14ac:dyDescent="0.3">
      <c r="A144" t="s">
        <v>278</v>
      </c>
      <c r="B144" t="s">
        <v>279</v>
      </c>
      <c r="C144" t="s">
        <v>308</v>
      </c>
      <c r="D144" t="s">
        <v>334</v>
      </c>
      <c r="E144" t="s">
        <v>335</v>
      </c>
      <c r="H144" t="s">
        <v>25</v>
      </c>
      <c r="I144" t="s">
        <v>336</v>
      </c>
      <c r="L144" t="s">
        <v>312</v>
      </c>
      <c r="M144" t="s">
        <v>313</v>
      </c>
    </row>
    <row r="145" spans="1:13" x14ac:dyDescent="0.3">
      <c r="A145" t="s">
        <v>278</v>
      </c>
      <c r="B145" t="s">
        <v>279</v>
      </c>
      <c r="C145" t="s">
        <v>308</v>
      </c>
      <c r="D145" t="s">
        <v>337</v>
      </c>
      <c r="E145" t="s">
        <v>338</v>
      </c>
      <c r="H145" t="s">
        <v>25</v>
      </c>
      <c r="I145" t="s">
        <v>339</v>
      </c>
      <c r="L145" t="s">
        <v>312</v>
      </c>
      <c r="M145" t="s">
        <v>317</v>
      </c>
    </row>
    <row r="146" spans="1:13" x14ac:dyDescent="0.3">
      <c r="A146" t="s">
        <v>278</v>
      </c>
      <c r="B146" t="s">
        <v>279</v>
      </c>
      <c r="C146" t="s">
        <v>308</v>
      </c>
      <c r="D146" t="s">
        <v>340</v>
      </c>
      <c r="E146" t="s">
        <v>341</v>
      </c>
      <c r="H146" t="s">
        <v>25</v>
      </c>
      <c r="I146" t="s">
        <v>342</v>
      </c>
      <c r="L146" t="s">
        <v>312</v>
      </c>
      <c r="M146" t="s">
        <v>343</v>
      </c>
    </row>
    <row r="147" spans="1:13" x14ac:dyDescent="0.3">
      <c r="A147" t="s">
        <v>278</v>
      </c>
      <c r="B147" t="s">
        <v>279</v>
      </c>
      <c r="C147" t="s">
        <v>308</v>
      </c>
      <c r="D147" t="s">
        <v>344</v>
      </c>
      <c r="E147" t="s">
        <v>345</v>
      </c>
      <c r="H147" t="s">
        <v>25</v>
      </c>
      <c r="I147" t="s">
        <v>346</v>
      </c>
      <c r="L147" t="s">
        <v>312</v>
      </c>
      <c r="M147" t="s">
        <v>313</v>
      </c>
    </row>
    <row r="148" spans="1:13" x14ac:dyDescent="0.3">
      <c r="A148" t="s">
        <v>278</v>
      </c>
      <c r="B148" t="s">
        <v>279</v>
      </c>
      <c r="C148" t="s">
        <v>308</v>
      </c>
      <c r="D148" t="s">
        <v>347</v>
      </c>
      <c r="E148" t="s">
        <v>348</v>
      </c>
      <c r="H148" t="s">
        <v>25</v>
      </c>
      <c r="I148" t="s">
        <v>349</v>
      </c>
      <c r="L148" t="s">
        <v>312</v>
      </c>
      <c r="M148" t="s">
        <v>317</v>
      </c>
    </row>
    <row r="149" spans="1:13" x14ac:dyDescent="0.3">
      <c r="A149" t="s">
        <v>278</v>
      </c>
      <c r="B149" t="s">
        <v>279</v>
      </c>
      <c r="C149" t="s">
        <v>308</v>
      </c>
      <c r="D149" t="s">
        <v>350</v>
      </c>
      <c r="E149" t="s">
        <v>351</v>
      </c>
      <c r="H149" t="s">
        <v>25</v>
      </c>
      <c r="I149" t="s">
        <v>352</v>
      </c>
      <c r="L149" t="s">
        <v>312</v>
      </c>
      <c r="M149" t="s">
        <v>353</v>
      </c>
    </row>
    <row r="150" spans="1:13" x14ac:dyDescent="0.3">
      <c r="A150" t="s">
        <v>278</v>
      </c>
      <c r="B150" t="s">
        <v>279</v>
      </c>
      <c r="C150" t="s">
        <v>308</v>
      </c>
      <c r="D150" t="s">
        <v>354</v>
      </c>
      <c r="E150" t="s">
        <v>355</v>
      </c>
      <c r="H150" t="s">
        <v>25</v>
      </c>
      <c r="I150" t="s">
        <v>356</v>
      </c>
      <c r="L150" t="s">
        <v>312</v>
      </c>
      <c r="M150" t="s">
        <v>317</v>
      </c>
    </row>
    <row r="151" spans="1:13" x14ac:dyDescent="0.3">
      <c r="A151" t="s">
        <v>278</v>
      </c>
      <c r="B151" t="s">
        <v>279</v>
      </c>
      <c r="C151" t="s">
        <v>308</v>
      </c>
      <c r="D151" t="s">
        <v>357</v>
      </c>
      <c r="E151" t="s">
        <v>358</v>
      </c>
      <c r="H151" t="s">
        <v>25</v>
      </c>
      <c r="I151" t="s">
        <v>359</v>
      </c>
      <c r="L151" t="s">
        <v>312</v>
      </c>
      <c r="M151" t="s">
        <v>343</v>
      </c>
    </row>
    <row r="152" spans="1:13" x14ac:dyDescent="0.3">
      <c r="A152" t="s">
        <v>278</v>
      </c>
      <c r="B152" t="s">
        <v>279</v>
      </c>
      <c r="C152" t="s">
        <v>308</v>
      </c>
      <c r="D152" t="s">
        <v>360</v>
      </c>
      <c r="E152" t="s">
        <v>361</v>
      </c>
      <c r="H152" t="s">
        <v>25</v>
      </c>
      <c r="I152" t="s">
        <v>362</v>
      </c>
      <c r="L152" t="s">
        <v>312</v>
      </c>
      <c r="M152" t="s">
        <v>343</v>
      </c>
    </row>
    <row r="153" spans="1:13" x14ac:dyDescent="0.3">
      <c r="A153" t="s">
        <v>278</v>
      </c>
      <c r="B153" t="s">
        <v>279</v>
      </c>
      <c r="C153" t="s">
        <v>308</v>
      </c>
      <c r="D153" t="s">
        <v>363</v>
      </c>
      <c r="E153" t="s">
        <v>364</v>
      </c>
      <c r="H153" t="s">
        <v>25</v>
      </c>
      <c r="I153" t="s">
        <v>365</v>
      </c>
      <c r="L153" t="s">
        <v>312</v>
      </c>
      <c r="M153" t="s">
        <v>343</v>
      </c>
    </row>
    <row r="154" spans="1:13" x14ac:dyDescent="0.3">
      <c r="A154" t="s">
        <v>278</v>
      </c>
      <c r="B154" t="s">
        <v>279</v>
      </c>
      <c r="C154" t="s">
        <v>308</v>
      </c>
      <c r="D154" t="s">
        <v>366</v>
      </c>
      <c r="E154" t="s">
        <v>367</v>
      </c>
      <c r="H154" t="s">
        <v>25</v>
      </c>
      <c r="I154" t="s">
        <v>368</v>
      </c>
      <c r="L154" t="s">
        <v>312</v>
      </c>
      <c r="M154" t="s">
        <v>353</v>
      </c>
    </row>
    <row r="155" spans="1:13" x14ac:dyDescent="0.3">
      <c r="A155" t="s">
        <v>278</v>
      </c>
      <c r="B155" t="s">
        <v>279</v>
      </c>
      <c r="C155" t="s">
        <v>308</v>
      </c>
      <c r="D155" t="s">
        <v>369</v>
      </c>
      <c r="E155" t="s">
        <v>370</v>
      </c>
      <c r="H155" t="s">
        <v>25</v>
      </c>
      <c r="I155" t="s">
        <v>371</v>
      </c>
      <c r="L155" t="s">
        <v>312</v>
      </c>
      <c r="M155" t="s">
        <v>353</v>
      </c>
    </row>
    <row r="156" spans="1:13" x14ac:dyDescent="0.3">
      <c r="A156" t="s">
        <v>278</v>
      </c>
      <c r="B156" t="s">
        <v>279</v>
      </c>
      <c r="C156" t="s">
        <v>22</v>
      </c>
      <c r="D156" t="s">
        <v>23</v>
      </c>
      <c r="E156" t="s">
        <v>28</v>
      </c>
      <c r="F156" t="s">
        <v>25</v>
      </c>
      <c r="G156" t="s">
        <v>372</v>
      </c>
      <c r="J156" t="s">
        <v>373</v>
      </c>
      <c r="K156" t="s">
        <v>374</v>
      </c>
    </row>
    <row r="157" spans="1:13" x14ac:dyDescent="0.3">
      <c r="A157" t="s">
        <v>278</v>
      </c>
      <c r="B157" t="s">
        <v>279</v>
      </c>
      <c r="C157" t="s">
        <v>375</v>
      </c>
      <c r="D157" t="s">
        <v>12</v>
      </c>
      <c r="E157" t="s">
        <v>12</v>
      </c>
      <c r="H157" t="s">
        <v>376</v>
      </c>
      <c r="I157" t="s">
        <v>377</v>
      </c>
      <c r="L157" t="s">
        <v>312</v>
      </c>
      <c r="M157" t="s">
        <v>327</v>
      </c>
    </row>
    <row r="158" spans="1:13" x14ac:dyDescent="0.3">
      <c r="A158" t="s">
        <v>278</v>
      </c>
      <c r="B158" t="s">
        <v>279</v>
      </c>
      <c r="C158" t="s">
        <v>378</v>
      </c>
      <c r="D158" t="s">
        <v>12</v>
      </c>
      <c r="E158" t="s">
        <v>12</v>
      </c>
      <c r="H158" t="s">
        <v>376</v>
      </c>
      <c r="I158" t="s">
        <v>379</v>
      </c>
      <c r="L158" t="s">
        <v>312</v>
      </c>
      <c r="M158" t="s">
        <v>327</v>
      </c>
    </row>
    <row r="159" spans="1:13" x14ac:dyDescent="0.3">
      <c r="A159" t="s">
        <v>278</v>
      </c>
      <c r="B159" t="s">
        <v>279</v>
      </c>
      <c r="C159" t="s">
        <v>380</v>
      </c>
      <c r="D159" t="s">
        <v>9</v>
      </c>
      <c r="E159" t="s">
        <v>10</v>
      </c>
    </row>
    <row r="160" spans="1:13" x14ac:dyDescent="0.3">
      <c r="A160" t="s">
        <v>278</v>
      </c>
      <c r="B160" t="s">
        <v>279</v>
      </c>
      <c r="C160" t="s">
        <v>16</v>
      </c>
      <c r="D160" t="s">
        <v>381</v>
      </c>
      <c r="E160" t="s">
        <v>37</v>
      </c>
    </row>
    <row r="161" spans="1:13" x14ac:dyDescent="0.3">
      <c r="A161" t="s">
        <v>278</v>
      </c>
      <c r="B161" t="s">
        <v>279</v>
      </c>
      <c r="C161" t="s">
        <v>11</v>
      </c>
      <c r="D161" t="s">
        <v>12</v>
      </c>
      <c r="E161" t="s">
        <v>13</v>
      </c>
      <c r="H161" t="s">
        <v>382</v>
      </c>
      <c r="I161" t="s">
        <v>383</v>
      </c>
      <c r="L161" t="s">
        <v>14</v>
      </c>
      <c r="M161" t="s">
        <v>383</v>
      </c>
    </row>
    <row r="162" spans="1:13" x14ac:dyDescent="0.3">
      <c r="A162" t="s">
        <v>281</v>
      </c>
      <c r="B162" t="s">
        <v>282</v>
      </c>
      <c r="C162" t="s">
        <v>384</v>
      </c>
      <c r="D162" t="s">
        <v>12</v>
      </c>
      <c r="E162" t="s">
        <v>12</v>
      </c>
      <c r="H162" t="s">
        <v>376</v>
      </c>
      <c r="I162">
        <v>29.5</v>
      </c>
      <c r="L162" t="s">
        <v>312</v>
      </c>
      <c r="M162" t="s">
        <v>385</v>
      </c>
    </row>
    <row r="163" spans="1:13" x14ac:dyDescent="0.3">
      <c r="A163" t="s">
        <v>281</v>
      </c>
      <c r="B163" t="s">
        <v>282</v>
      </c>
      <c r="C163" t="s">
        <v>280</v>
      </c>
      <c r="D163" t="s">
        <v>386</v>
      </c>
      <c r="E163" t="s">
        <v>387</v>
      </c>
      <c r="H163" t="s">
        <v>25</v>
      </c>
      <c r="I163" t="s">
        <v>388</v>
      </c>
    </row>
    <row r="164" spans="1:13" x14ac:dyDescent="0.3">
      <c r="A164" t="s">
        <v>389</v>
      </c>
      <c r="B164" t="s">
        <v>390</v>
      </c>
      <c r="C164" t="s">
        <v>11</v>
      </c>
      <c r="D164" t="s">
        <v>12</v>
      </c>
      <c r="E164" t="s">
        <v>391</v>
      </c>
      <c r="H164" t="s">
        <v>392</v>
      </c>
      <c r="I164" t="s">
        <v>393</v>
      </c>
      <c r="L164" t="s">
        <v>394</v>
      </c>
      <c r="M164" t="s">
        <v>383</v>
      </c>
    </row>
    <row r="165" spans="1:13" x14ac:dyDescent="0.3">
      <c r="A165" t="s">
        <v>395</v>
      </c>
      <c r="B165" t="s">
        <v>396</v>
      </c>
      <c r="C165" t="s">
        <v>11</v>
      </c>
      <c r="D165" t="s">
        <v>12</v>
      </c>
      <c r="E165" t="s">
        <v>391</v>
      </c>
      <c r="H165" t="s">
        <v>392</v>
      </c>
      <c r="I165" t="s">
        <v>397</v>
      </c>
      <c r="L165" t="s">
        <v>394</v>
      </c>
      <c r="M165" t="s">
        <v>383</v>
      </c>
    </row>
    <row r="166" spans="1:13" x14ac:dyDescent="0.3">
      <c r="A166" t="s">
        <v>386</v>
      </c>
      <c r="B166" t="s">
        <v>387</v>
      </c>
      <c r="C166" t="s">
        <v>280</v>
      </c>
      <c r="D166" t="s">
        <v>398</v>
      </c>
      <c r="E166" t="s">
        <v>399</v>
      </c>
      <c r="H166" t="s">
        <v>25</v>
      </c>
      <c r="I166" t="s">
        <v>400</v>
      </c>
    </row>
    <row r="167" spans="1:13" x14ac:dyDescent="0.3">
      <c r="A167" t="s">
        <v>386</v>
      </c>
      <c r="B167" t="s">
        <v>387</v>
      </c>
      <c r="C167" t="s">
        <v>308</v>
      </c>
      <c r="D167" t="s">
        <v>401</v>
      </c>
      <c r="E167" t="s">
        <v>402</v>
      </c>
      <c r="H167" t="s">
        <v>25</v>
      </c>
      <c r="I167" t="s">
        <v>403</v>
      </c>
      <c r="L167" t="s">
        <v>312</v>
      </c>
      <c r="M167" t="s">
        <v>404</v>
      </c>
    </row>
    <row r="168" spans="1:13" x14ac:dyDescent="0.3">
      <c r="A168" t="s">
        <v>386</v>
      </c>
      <c r="B168" t="s">
        <v>387</v>
      </c>
      <c r="C168" t="s">
        <v>308</v>
      </c>
      <c r="D168" t="s">
        <v>405</v>
      </c>
      <c r="E168" t="s">
        <v>406</v>
      </c>
      <c r="H168" t="s">
        <v>25</v>
      </c>
      <c r="I168" t="s">
        <v>407</v>
      </c>
      <c r="L168" t="s">
        <v>312</v>
      </c>
      <c r="M168" t="s">
        <v>404</v>
      </c>
    </row>
    <row r="169" spans="1:13" x14ac:dyDescent="0.3">
      <c r="A169" t="s">
        <v>401</v>
      </c>
      <c r="B169" t="s">
        <v>402</v>
      </c>
      <c r="C169" t="s">
        <v>11</v>
      </c>
      <c r="D169" t="s">
        <v>12</v>
      </c>
      <c r="E169" t="s">
        <v>391</v>
      </c>
      <c r="H169" t="s">
        <v>392</v>
      </c>
      <c r="I169" t="s">
        <v>408</v>
      </c>
      <c r="L169" t="s">
        <v>394</v>
      </c>
      <c r="M169" t="s">
        <v>383</v>
      </c>
    </row>
    <row r="170" spans="1:13" x14ac:dyDescent="0.3">
      <c r="A170" t="s">
        <v>405</v>
      </c>
      <c r="B170" t="s">
        <v>406</v>
      </c>
      <c r="C170" t="s">
        <v>11</v>
      </c>
      <c r="D170" t="s">
        <v>12</v>
      </c>
      <c r="E170" t="s">
        <v>391</v>
      </c>
      <c r="H170" t="s">
        <v>392</v>
      </c>
      <c r="I170" t="s">
        <v>409</v>
      </c>
      <c r="L170" t="s">
        <v>394</v>
      </c>
      <c r="M170" t="s">
        <v>383</v>
      </c>
    </row>
    <row r="171" spans="1:13" x14ac:dyDescent="0.3">
      <c r="A171" t="s">
        <v>398</v>
      </c>
      <c r="B171" t="s">
        <v>399</v>
      </c>
      <c r="C171" t="s">
        <v>308</v>
      </c>
      <c r="D171" t="s">
        <v>389</v>
      </c>
      <c r="E171" t="s">
        <v>390</v>
      </c>
      <c r="H171" t="s">
        <v>25</v>
      </c>
      <c r="I171" t="s">
        <v>410</v>
      </c>
      <c r="L171" t="s">
        <v>312</v>
      </c>
      <c r="M171" t="s">
        <v>411</v>
      </c>
    </row>
    <row r="172" spans="1:13" x14ac:dyDescent="0.3">
      <c r="A172" t="s">
        <v>398</v>
      </c>
      <c r="B172" t="s">
        <v>399</v>
      </c>
      <c r="C172" t="s">
        <v>308</v>
      </c>
      <c r="D172" t="s">
        <v>395</v>
      </c>
      <c r="E172" t="s">
        <v>396</v>
      </c>
      <c r="H172" t="s">
        <v>25</v>
      </c>
      <c r="I172" t="s">
        <v>412</v>
      </c>
      <c r="L172" t="s">
        <v>312</v>
      </c>
      <c r="M172" t="s">
        <v>413</v>
      </c>
    </row>
    <row r="173" spans="1:13" x14ac:dyDescent="0.3">
      <c r="A173" t="s">
        <v>344</v>
      </c>
      <c r="B173" t="s">
        <v>345</v>
      </c>
      <c r="C173" t="s">
        <v>11</v>
      </c>
      <c r="D173" t="s">
        <v>12</v>
      </c>
      <c r="E173" t="s">
        <v>391</v>
      </c>
      <c r="H173" t="s">
        <v>392</v>
      </c>
      <c r="I173" t="s">
        <v>414</v>
      </c>
      <c r="L173" t="s">
        <v>394</v>
      </c>
      <c r="M173" t="s">
        <v>383</v>
      </c>
    </row>
    <row r="174" spans="1:13" x14ac:dyDescent="0.3">
      <c r="A174" t="s">
        <v>296</v>
      </c>
      <c r="B174" t="s">
        <v>297</v>
      </c>
      <c r="C174" t="s">
        <v>308</v>
      </c>
      <c r="D174" t="s">
        <v>415</v>
      </c>
      <c r="E174" t="s">
        <v>402</v>
      </c>
      <c r="H174" t="s">
        <v>25</v>
      </c>
      <c r="I174" t="s">
        <v>416</v>
      </c>
      <c r="L174" t="s">
        <v>312</v>
      </c>
      <c r="M174" t="s">
        <v>404</v>
      </c>
    </row>
    <row r="175" spans="1:13" x14ac:dyDescent="0.3">
      <c r="A175" t="s">
        <v>296</v>
      </c>
      <c r="B175" t="s">
        <v>297</v>
      </c>
      <c r="C175" t="s">
        <v>308</v>
      </c>
      <c r="D175" t="s">
        <v>417</v>
      </c>
      <c r="E175" t="s">
        <v>406</v>
      </c>
      <c r="H175" t="s">
        <v>25</v>
      </c>
      <c r="I175" t="s">
        <v>418</v>
      </c>
      <c r="L175" t="s">
        <v>312</v>
      </c>
      <c r="M175" t="s">
        <v>404</v>
      </c>
    </row>
    <row r="176" spans="1:13" x14ac:dyDescent="0.3">
      <c r="A176" t="s">
        <v>296</v>
      </c>
      <c r="B176" t="s">
        <v>297</v>
      </c>
      <c r="C176" t="s">
        <v>308</v>
      </c>
      <c r="D176" t="s">
        <v>419</v>
      </c>
      <c r="E176" t="s">
        <v>420</v>
      </c>
      <c r="H176" t="s">
        <v>25</v>
      </c>
      <c r="I176" t="s">
        <v>421</v>
      </c>
      <c r="L176" t="s">
        <v>312</v>
      </c>
      <c r="M176" t="s">
        <v>343</v>
      </c>
    </row>
    <row r="177" spans="1:13" x14ac:dyDescent="0.3">
      <c r="A177" t="s">
        <v>415</v>
      </c>
      <c r="B177" t="s">
        <v>402</v>
      </c>
      <c r="C177" t="s">
        <v>11</v>
      </c>
      <c r="D177" t="s">
        <v>12</v>
      </c>
      <c r="E177" t="s">
        <v>391</v>
      </c>
      <c r="H177" t="s">
        <v>392</v>
      </c>
      <c r="I177" t="s">
        <v>422</v>
      </c>
      <c r="L177" t="s">
        <v>394</v>
      </c>
      <c r="M177" t="s">
        <v>383</v>
      </c>
    </row>
    <row r="178" spans="1:13" x14ac:dyDescent="0.3">
      <c r="A178" t="s">
        <v>417</v>
      </c>
      <c r="B178" t="s">
        <v>406</v>
      </c>
      <c r="C178" t="s">
        <v>11</v>
      </c>
      <c r="D178" t="s">
        <v>12</v>
      </c>
      <c r="E178" t="s">
        <v>391</v>
      </c>
      <c r="H178" t="s">
        <v>392</v>
      </c>
      <c r="I178" t="s">
        <v>423</v>
      </c>
      <c r="L178" t="s">
        <v>394</v>
      </c>
      <c r="M178" t="s">
        <v>383</v>
      </c>
    </row>
    <row r="179" spans="1:13" x14ac:dyDescent="0.3">
      <c r="A179" t="s">
        <v>419</v>
      </c>
      <c r="B179" t="s">
        <v>420</v>
      </c>
      <c r="C179" t="s">
        <v>11</v>
      </c>
      <c r="D179" t="s">
        <v>12</v>
      </c>
      <c r="E179" t="s">
        <v>391</v>
      </c>
      <c r="H179" t="s">
        <v>392</v>
      </c>
      <c r="I179" t="s">
        <v>424</v>
      </c>
      <c r="L179" t="s">
        <v>394</v>
      </c>
      <c r="M179" t="s">
        <v>383</v>
      </c>
    </row>
    <row r="180" spans="1:13" x14ac:dyDescent="0.3">
      <c r="A180" t="s">
        <v>357</v>
      </c>
      <c r="B180" t="s">
        <v>358</v>
      </c>
      <c r="C180" t="s">
        <v>11</v>
      </c>
      <c r="D180" t="s">
        <v>12</v>
      </c>
      <c r="E180" t="s">
        <v>391</v>
      </c>
      <c r="H180" t="s">
        <v>392</v>
      </c>
      <c r="I180" t="s">
        <v>425</v>
      </c>
      <c r="L180" t="s">
        <v>394</v>
      </c>
      <c r="M180" t="s">
        <v>383</v>
      </c>
    </row>
    <row r="181" spans="1:13" x14ac:dyDescent="0.3">
      <c r="A181" t="s">
        <v>305</v>
      </c>
      <c r="B181" t="s">
        <v>306</v>
      </c>
      <c r="C181" t="s">
        <v>308</v>
      </c>
      <c r="D181" t="s">
        <v>426</v>
      </c>
      <c r="E181" t="s">
        <v>427</v>
      </c>
      <c r="H181" t="s">
        <v>25</v>
      </c>
      <c r="I181" t="s">
        <v>428</v>
      </c>
      <c r="L181" t="s">
        <v>312</v>
      </c>
      <c r="M181" t="s">
        <v>404</v>
      </c>
    </row>
    <row r="182" spans="1:13" x14ac:dyDescent="0.3">
      <c r="A182" t="s">
        <v>426</v>
      </c>
      <c r="B182" t="s">
        <v>427</v>
      </c>
      <c r="C182" t="s">
        <v>11</v>
      </c>
      <c r="D182" t="s">
        <v>12</v>
      </c>
      <c r="E182" t="s">
        <v>391</v>
      </c>
      <c r="H182" t="s">
        <v>392</v>
      </c>
      <c r="I182" t="s">
        <v>429</v>
      </c>
      <c r="L182" t="s">
        <v>394</v>
      </c>
      <c r="M182" t="s">
        <v>383</v>
      </c>
    </row>
    <row r="183" spans="1:13" x14ac:dyDescent="0.3">
      <c r="A183" t="s">
        <v>363</v>
      </c>
      <c r="B183" t="s">
        <v>364</v>
      </c>
      <c r="C183" t="s">
        <v>11</v>
      </c>
      <c r="D183" t="s">
        <v>12</v>
      </c>
      <c r="E183" t="s">
        <v>391</v>
      </c>
      <c r="H183" t="s">
        <v>392</v>
      </c>
      <c r="I183" t="s">
        <v>430</v>
      </c>
      <c r="L183" t="s">
        <v>394</v>
      </c>
      <c r="M183" t="s">
        <v>383</v>
      </c>
    </row>
    <row r="184" spans="1:13" x14ac:dyDescent="0.3">
      <c r="A184" t="s">
        <v>328</v>
      </c>
      <c r="B184" t="s">
        <v>329</v>
      </c>
      <c r="C184" t="s">
        <v>11</v>
      </c>
      <c r="D184" t="s">
        <v>12</v>
      </c>
      <c r="E184" t="s">
        <v>391</v>
      </c>
      <c r="H184" t="s">
        <v>392</v>
      </c>
      <c r="I184" t="s">
        <v>431</v>
      </c>
      <c r="L184" t="s">
        <v>394</v>
      </c>
      <c r="M184" t="s">
        <v>383</v>
      </c>
    </row>
    <row r="185" spans="1:13" x14ac:dyDescent="0.3">
      <c r="A185" t="s">
        <v>293</v>
      </c>
      <c r="B185" t="s">
        <v>294</v>
      </c>
      <c r="C185" t="s">
        <v>308</v>
      </c>
      <c r="D185" t="s">
        <v>432</v>
      </c>
      <c r="E185" t="s">
        <v>402</v>
      </c>
      <c r="H185" t="s">
        <v>25</v>
      </c>
      <c r="I185" t="s">
        <v>433</v>
      </c>
      <c r="L185" t="s">
        <v>312</v>
      </c>
      <c r="M185" t="s">
        <v>404</v>
      </c>
    </row>
    <row r="186" spans="1:13" x14ac:dyDescent="0.3">
      <c r="A186" t="s">
        <v>293</v>
      </c>
      <c r="B186" t="s">
        <v>294</v>
      </c>
      <c r="C186" t="s">
        <v>308</v>
      </c>
      <c r="D186" t="s">
        <v>434</v>
      </c>
      <c r="E186" t="s">
        <v>406</v>
      </c>
      <c r="H186" t="s">
        <v>25</v>
      </c>
      <c r="I186" t="s">
        <v>435</v>
      </c>
      <c r="L186" t="s">
        <v>312</v>
      </c>
      <c r="M186" t="s">
        <v>404</v>
      </c>
    </row>
    <row r="187" spans="1:13" x14ac:dyDescent="0.3">
      <c r="A187" t="s">
        <v>432</v>
      </c>
      <c r="B187" t="s">
        <v>402</v>
      </c>
      <c r="C187" t="s">
        <v>11</v>
      </c>
      <c r="D187" t="s">
        <v>12</v>
      </c>
      <c r="E187" t="s">
        <v>391</v>
      </c>
      <c r="H187" t="s">
        <v>392</v>
      </c>
      <c r="I187" t="s">
        <v>436</v>
      </c>
      <c r="L187" t="s">
        <v>394</v>
      </c>
      <c r="M187" t="s">
        <v>383</v>
      </c>
    </row>
    <row r="188" spans="1:13" x14ac:dyDescent="0.3">
      <c r="A188" t="s">
        <v>434</v>
      </c>
      <c r="B188" t="s">
        <v>406</v>
      </c>
      <c r="C188" t="s">
        <v>11</v>
      </c>
      <c r="D188" t="s">
        <v>12</v>
      </c>
      <c r="E188" t="s">
        <v>391</v>
      </c>
      <c r="H188" t="s">
        <v>392</v>
      </c>
      <c r="I188" t="s">
        <v>437</v>
      </c>
      <c r="L188" t="s">
        <v>394</v>
      </c>
      <c r="M188" t="s">
        <v>383</v>
      </c>
    </row>
    <row r="189" spans="1:13" x14ac:dyDescent="0.3">
      <c r="A189" t="s">
        <v>309</v>
      </c>
      <c r="B189" t="s">
        <v>310</v>
      </c>
      <c r="C189" t="s">
        <v>11</v>
      </c>
      <c r="D189" t="s">
        <v>12</v>
      </c>
      <c r="E189" t="s">
        <v>391</v>
      </c>
      <c r="H189" t="s">
        <v>392</v>
      </c>
      <c r="I189" t="s">
        <v>438</v>
      </c>
      <c r="L189" t="s">
        <v>394</v>
      </c>
      <c r="M189" t="s">
        <v>383</v>
      </c>
    </row>
    <row r="190" spans="1:13" x14ac:dyDescent="0.3">
      <c r="A190" t="s">
        <v>314</v>
      </c>
      <c r="B190" t="s">
        <v>315</v>
      </c>
      <c r="C190" t="s">
        <v>11</v>
      </c>
      <c r="D190" t="s">
        <v>12</v>
      </c>
      <c r="E190" t="s">
        <v>391</v>
      </c>
      <c r="H190" t="s">
        <v>392</v>
      </c>
      <c r="I190" t="s">
        <v>439</v>
      </c>
      <c r="L190" t="s">
        <v>394</v>
      </c>
      <c r="M190" t="s">
        <v>383</v>
      </c>
    </row>
    <row r="191" spans="1:13" x14ac:dyDescent="0.3">
      <c r="A191" t="s">
        <v>287</v>
      </c>
      <c r="B191" t="s">
        <v>288</v>
      </c>
      <c r="C191" t="s">
        <v>308</v>
      </c>
      <c r="D191" t="s">
        <v>440</v>
      </c>
      <c r="E191" t="s">
        <v>402</v>
      </c>
      <c r="H191" t="s">
        <v>25</v>
      </c>
      <c r="I191" t="s">
        <v>441</v>
      </c>
      <c r="L191" t="s">
        <v>312</v>
      </c>
      <c r="M191" t="s">
        <v>404</v>
      </c>
    </row>
    <row r="192" spans="1:13" x14ac:dyDescent="0.3">
      <c r="A192" t="s">
        <v>287</v>
      </c>
      <c r="B192" t="s">
        <v>288</v>
      </c>
      <c r="C192" t="s">
        <v>308</v>
      </c>
      <c r="D192" t="s">
        <v>442</v>
      </c>
      <c r="E192" t="s">
        <v>406</v>
      </c>
      <c r="H192" t="s">
        <v>25</v>
      </c>
      <c r="I192" t="s">
        <v>443</v>
      </c>
      <c r="L192" t="s">
        <v>312</v>
      </c>
      <c r="M192" t="s">
        <v>404</v>
      </c>
    </row>
    <row r="193" spans="1:13" x14ac:dyDescent="0.3">
      <c r="A193" t="s">
        <v>287</v>
      </c>
      <c r="B193" t="s">
        <v>288</v>
      </c>
      <c r="C193" t="s">
        <v>308</v>
      </c>
      <c r="D193" t="s">
        <v>444</v>
      </c>
      <c r="E193" t="s">
        <v>420</v>
      </c>
      <c r="H193" t="s">
        <v>25</v>
      </c>
      <c r="I193" t="s">
        <v>445</v>
      </c>
      <c r="L193" t="s">
        <v>312</v>
      </c>
      <c r="M193" t="s">
        <v>343</v>
      </c>
    </row>
    <row r="194" spans="1:13" x14ac:dyDescent="0.3">
      <c r="A194" t="s">
        <v>440</v>
      </c>
      <c r="B194" t="s">
        <v>402</v>
      </c>
      <c r="C194" t="s">
        <v>11</v>
      </c>
      <c r="D194" t="s">
        <v>12</v>
      </c>
      <c r="E194" t="s">
        <v>391</v>
      </c>
      <c r="H194" t="s">
        <v>392</v>
      </c>
      <c r="I194" t="s">
        <v>446</v>
      </c>
      <c r="L194" t="s">
        <v>394</v>
      </c>
      <c r="M194" t="s">
        <v>383</v>
      </c>
    </row>
    <row r="195" spans="1:13" x14ac:dyDescent="0.3">
      <c r="A195" t="s">
        <v>442</v>
      </c>
      <c r="B195" t="s">
        <v>406</v>
      </c>
      <c r="C195" t="s">
        <v>11</v>
      </c>
      <c r="D195" t="s">
        <v>12</v>
      </c>
      <c r="E195" t="s">
        <v>391</v>
      </c>
      <c r="H195" t="s">
        <v>392</v>
      </c>
      <c r="I195" t="s">
        <v>447</v>
      </c>
      <c r="L195" t="s">
        <v>394</v>
      </c>
      <c r="M195" t="s">
        <v>383</v>
      </c>
    </row>
    <row r="196" spans="1:13" x14ac:dyDescent="0.3">
      <c r="A196" t="s">
        <v>444</v>
      </c>
      <c r="B196" t="s">
        <v>420</v>
      </c>
      <c r="C196" t="s">
        <v>11</v>
      </c>
      <c r="D196" t="s">
        <v>12</v>
      </c>
      <c r="E196" t="s">
        <v>391</v>
      </c>
      <c r="H196" t="s">
        <v>392</v>
      </c>
      <c r="I196" t="s">
        <v>448</v>
      </c>
      <c r="L196" t="s">
        <v>394</v>
      </c>
      <c r="M196" t="s">
        <v>383</v>
      </c>
    </row>
    <row r="197" spans="1:13" x14ac:dyDescent="0.3">
      <c r="A197" t="s">
        <v>347</v>
      </c>
      <c r="B197" t="s">
        <v>348</v>
      </c>
      <c r="C197" t="s">
        <v>11</v>
      </c>
      <c r="D197" t="s">
        <v>12</v>
      </c>
      <c r="E197" t="s">
        <v>391</v>
      </c>
      <c r="H197" t="s">
        <v>392</v>
      </c>
      <c r="I197" t="s">
        <v>449</v>
      </c>
      <c r="L197" t="s">
        <v>394</v>
      </c>
      <c r="M197" t="s">
        <v>383</v>
      </c>
    </row>
    <row r="198" spans="1:13" x14ac:dyDescent="0.3">
      <c r="A198" t="s">
        <v>340</v>
      </c>
      <c r="B198" t="s">
        <v>341</v>
      </c>
      <c r="C198" t="s">
        <v>11</v>
      </c>
      <c r="D198" t="s">
        <v>12</v>
      </c>
      <c r="E198" t="s">
        <v>391</v>
      </c>
      <c r="H198" t="s">
        <v>392</v>
      </c>
      <c r="I198" t="s">
        <v>450</v>
      </c>
      <c r="L198" t="s">
        <v>394</v>
      </c>
      <c r="M198" t="s">
        <v>383</v>
      </c>
    </row>
    <row r="199" spans="1:13" x14ac:dyDescent="0.3">
      <c r="A199" t="s">
        <v>360</v>
      </c>
      <c r="B199" t="s">
        <v>361</v>
      </c>
      <c r="C199" t="s">
        <v>11</v>
      </c>
      <c r="D199" t="s">
        <v>12</v>
      </c>
      <c r="E199" t="s">
        <v>391</v>
      </c>
      <c r="H199" t="s">
        <v>392</v>
      </c>
      <c r="I199" t="s">
        <v>451</v>
      </c>
      <c r="L199" t="s">
        <v>394</v>
      </c>
      <c r="M199" t="s">
        <v>383</v>
      </c>
    </row>
    <row r="200" spans="1:13" x14ac:dyDescent="0.3">
      <c r="A200" t="s">
        <v>324</v>
      </c>
      <c r="B200" t="s">
        <v>325</v>
      </c>
      <c r="C200" t="s">
        <v>11</v>
      </c>
      <c r="D200" t="s">
        <v>12</v>
      </c>
      <c r="E200" t="s">
        <v>391</v>
      </c>
      <c r="H200" t="s">
        <v>392</v>
      </c>
      <c r="I200" t="s">
        <v>452</v>
      </c>
      <c r="L200" t="s">
        <v>394</v>
      </c>
      <c r="M200" t="s">
        <v>383</v>
      </c>
    </row>
    <row r="201" spans="1:13" x14ac:dyDescent="0.3">
      <c r="A201" t="s">
        <v>369</v>
      </c>
      <c r="B201" t="s">
        <v>453</v>
      </c>
      <c r="C201" t="s">
        <v>11</v>
      </c>
      <c r="D201" t="s">
        <v>12</v>
      </c>
      <c r="E201" t="s">
        <v>391</v>
      </c>
      <c r="H201" t="s">
        <v>392</v>
      </c>
      <c r="I201" t="s">
        <v>454</v>
      </c>
      <c r="L201" t="s">
        <v>394</v>
      </c>
      <c r="M201" t="s">
        <v>383</v>
      </c>
    </row>
    <row r="202" spans="1:13" x14ac:dyDescent="0.3">
      <c r="A202" t="s">
        <v>318</v>
      </c>
      <c r="B202" t="s">
        <v>319</v>
      </c>
      <c r="C202" t="s">
        <v>11</v>
      </c>
      <c r="D202" t="s">
        <v>12</v>
      </c>
      <c r="E202" t="s">
        <v>391</v>
      </c>
      <c r="H202" t="s">
        <v>392</v>
      </c>
      <c r="I202" t="s">
        <v>455</v>
      </c>
      <c r="L202" t="s">
        <v>394</v>
      </c>
      <c r="M202" t="s">
        <v>383</v>
      </c>
    </row>
    <row r="203" spans="1:13" x14ac:dyDescent="0.3">
      <c r="A203" t="s">
        <v>321</v>
      </c>
      <c r="B203" t="s">
        <v>322</v>
      </c>
      <c r="C203" t="s">
        <v>11</v>
      </c>
      <c r="D203" t="s">
        <v>12</v>
      </c>
      <c r="E203" t="s">
        <v>391</v>
      </c>
      <c r="H203" t="s">
        <v>392</v>
      </c>
      <c r="I203" t="s">
        <v>456</v>
      </c>
      <c r="L203" t="s">
        <v>394</v>
      </c>
      <c r="M203" t="s">
        <v>383</v>
      </c>
    </row>
    <row r="204" spans="1:13" x14ac:dyDescent="0.3">
      <c r="A204" t="s">
        <v>290</v>
      </c>
      <c r="B204" t="s">
        <v>291</v>
      </c>
      <c r="C204" t="s">
        <v>308</v>
      </c>
      <c r="D204" t="s">
        <v>457</v>
      </c>
      <c r="E204" t="s">
        <v>458</v>
      </c>
      <c r="H204" t="s">
        <v>25</v>
      </c>
      <c r="I204" t="s">
        <v>459</v>
      </c>
      <c r="L204" t="s">
        <v>312</v>
      </c>
      <c r="M204" t="s">
        <v>404</v>
      </c>
    </row>
    <row r="205" spans="1:13" x14ac:dyDescent="0.3">
      <c r="A205" t="s">
        <v>290</v>
      </c>
      <c r="B205" t="s">
        <v>291</v>
      </c>
      <c r="C205" t="s">
        <v>308</v>
      </c>
      <c r="D205" t="s">
        <v>460</v>
      </c>
      <c r="E205" t="s">
        <v>461</v>
      </c>
      <c r="H205" t="s">
        <v>25</v>
      </c>
      <c r="I205" t="s">
        <v>462</v>
      </c>
      <c r="L205" t="s">
        <v>312</v>
      </c>
      <c r="M205" t="s">
        <v>404</v>
      </c>
    </row>
    <row r="206" spans="1:13" x14ac:dyDescent="0.3">
      <c r="A206" t="s">
        <v>290</v>
      </c>
      <c r="B206" t="s">
        <v>291</v>
      </c>
      <c r="C206" t="s">
        <v>308</v>
      </c>
      <c r="D206" t="s">
        <v>463</v>
      </c>
      <c r="E206" t="s">
        <v>464</v>
      </c>
      <c r="H206" t="s">
        <v>25</v>
      </c>
      <c r="I206" t="s">
        <v>465</v>
      </c>
      <c r="L206" t="s">
        <v>312</v>
      </c>
      <c r="M206" t="s">
        <v>404</v>
      </c>
    </row>
    <row r="207" spans="1:13" x14ac:dyDescent="0.3">
      <c r="A207" t="s">
        <v>290</v>
      </c>
      <c r="B207" t="s">
        <v>291</v>
      </c>
      <c r="C207" t="s">
        <v>308</v>
      </c>
      <c r="D207" t="s">
        <v>466</v>
      </c>
      <c r="E207" t="s">
        <v>467</v>
      </c>
      <c r="H207" t="s">
        <v>25</v>
      </c>
      <c r="I207" t="s">
        <v>468</v>
      </c>
      <c r="L207" t="s">
        <v>312</v>
      </c>
      <c r="M207" t="s">
        <v>404</v>
      </c>
    </row>
    <row r="208" spans="1:13" x14ac:dyDescent="0.3">
      <c r="A208" t="s">
        <v>290</v>
      </c>
      <c r="B208" t="s">
        <v>291</v>
      </c>
      <c r="C208" t="s">
        <v>308</v>
      </c>
      <c r="D208" t="s">
        <v>469</v>
      </c>
      <c r="E208" t="s">
        <v>470</v>
      </c>
      <c r="H208" t="s">
        <v>25</v>
      </c>
      <c r="I208" t="s">
        <v>471</v>
      </c>
      <c r="L208" t="s">
        <v>312</v>
      </c>
      <c r="M208" t="s">
        <v>404</v>
      </c>
    </row>
    <row r="209" spans="1:13" x14ac:dyDescent="0.3">
      <c r="A209" t="s">
        <v>457</v>
      </c>
      <c r="B209" t="s">
        <v>458</v>
      </c>
      <c r="C209" t="s">
        <v>11</v>
      </c>
      <c r="D209" t="s">
        <v>12</v>
      </c>
      <c r="E209" t="s">
        <v>391</v>
      </c>
      <c r="H209" t="s">
        <v>392</v>
      </c>
      <c r="I209" t="s">
        <v>472</v>
      </c>
      <c r="L209" t="s">
        <v>394</v>
      </c>
      <c r="M209" t="s">
        <v>383</v>
      </c>
    </row>
    <row r="210" spans="1:13" x14ac:dyDescent="0.3">
      <c r="A210" t="s">
        <v>460</v>
      </c>
      <c r="B210" t="s">
        <v>461</v>
      </c>
      <c r="C210" t="s">
        <v>11</v>
      </c>
      <c r="D210" t="s">
        <v>12</v>
      </c>
      <c r="E210" t="s">
        <v>391</v>
      </c>
      <c r="H210" t="s">
        <v>392</v>
      </c>
      <c r="I210" t="s">
        <v>473</v>
      </c>
      <c r="L210" t="s">
        <v>394</v>
      </c>
      <c r="M210" t="s">
        <v>383</v>
      </c>
    </row>
    <row r="211" spans="1:13" x14ac:dyDescent="0.3">
      <c r="A211" t="s">
        <v>463</v>
      </c>
      <c r="B211" t="s">
        <v>464</v>
      </c>
      <c r="C211" t="s">
        <v>11</v>
      </c>
      <c r="D211" t="s">
        <v>12</v>
      </c>
      <c r="E211" t="s">
        <v>391</v>
      </c>
      <c r="H211" t="s">
        <v>392</v>
      </c>
      <c r="I211" t="s">
        <v>474</v>
      </c>
      <c r="L211" t="s">
        <v>394</v>
      </c>
      <c r="M211" t="s">
        <v>383</v>
      </c>
    </row>
    <row r="212" spans="1:13" x14ac:dyDescent="0.3">
      <c r="A212" t="s">
        <v>466</v>
      </c>
      <c r="B212" t="s">
        <v>467</v>
      </c>
      <c r="C212" t="s">
        <v>11</v>
      </c>
      <c r="D212" t="s">
        <v>12</v>
      </c>
      <c r="E212" t="s">
        <v>391</v>
      </c>
      <c r="H212" t="s">
        <v>392</v>
      </c>
      <c r="I212" t="s">
        <v>475</v>
      </c>
      <c r="L212" t="s">
        <v>394</v>
      </c>
      <c r="M212" t="s">
        <v>383</v>
      </c>
    </row>
    <row r="213" spans="1:13" x14ac:dyDescent="0.3">
      <c r="A213" t="s">
        <v>469</v>
      </c>
      <c r="B213" t="s">
        <v>470</v>
      </c>
      <c r="C213" t="s">
        <v>11</v>
      </c>
      <c r="D213" t="s">
        <v>12</v>
      </c>
      <c r="E213" t="s">
        <v>391</v>
      </c>
      <c r="H213" t="s">
        <v>392</v>
      </c>
      <c r="I213" t="s">
        <v>476</v>
      </c>
      <c r="L213" t="s">
        <v>394</v>
      </c>
      <c r="M213" t="s">
        <v>383</v>
      </c>
    </row>
    <row r="214" spans="1:13" x14ac:dyDescent="0.3">
      <c r="A214" t="s">
        <v>299</v>
      </c>
      <c r="B214" t="s">
        <v>300</v>
      </c>
      <c r="C214" t="s">
        <v>280</v>
      </c>
      <c r="D214" t="s">
        <v>477</v>
      </c>
      <c r="E214" t="s">
        <v>478</v>
      </c>
      <c r="H214" t="s">
        <v>25</v>
      </c>
      <c r="I214" t="s">
        <v>479</v>
      </c>
    </row>
    <row r="215" spans="1:13" x14ac:dyDescent="0.3">
      <c r="A215" t="s">
        <v>299</v>
      </c>
      <c r="B215" t="s">
        <v>300</v>
      </c>
      <c r="C215" t="s">
        <v>308</v>
      </c>
      <c r="D215" t="s">
        <v>480</v>
      </c>
      <c r="E215" t="s">
        <v>481</v>
      </c>
      <c r="H215" t="s">
        <v>25</v>
      </c>
      <c r="I215" t="s">
        <v>482</v>
      </c>
      <c r="L215" t="s">
        <v>312</v>
      </c>
      <c r="M215" t="s">
        <v>343</v>
      </c>
    </row>
    <row r="216" spans="1:13" x14ac:dyDescent="0.3">
      <c r="A216" t="s">
        <v>299</v>
      </c>
      <c r="B216" t="s">
        <v>300</v>
      </c>
      <c r="C216" t="s">
        <v>308</v>
      </c>
      <c r="D216" t="s">
        <v>483</v>
      </c>
      <c r="E216" t="s">
        <v>484</v>
      </c>
      <c r="H216" t="s">
        <v>25</v>
      </c>
      <c r="I216" t="s">
        <v>485</v>
      </c>
      <c r="L216" t="s">
        <v>312</v>
      </c>
      <c r="M216" t="s">
        <v>343</v>
      </c>
    </row>
    <row r="217" spans="1:13" x14ac:dyDescent="0.3">
      <c r="A217" t="s">
        <v>480</v>
      </c>
      <c r="B217" t="s">
        <v>481</v>
      </c>
      <c r="C217" t="s">
        <v>11</v>
      </c>
      <c r="D217" t="s">
        <v>12</v>
      </c>
      <c r="E217" t="s">
        <v>391</v>
      </c>
      <c r="H217" t="s">
        <v>392</v>
      </c>
      <c r="I217" t="s">
        <v>486</v>
      </c>
      <c r="L217" t="s">
        <v>394</v>
      </c>
      <c r="M217" t="s">
        <v>383</v>
      </c>
    </row>
    <row r="218" spans="1:13" x14ac:dyDescent="0.3">
      <c r="A218" t="s">
        <v>477</v>
      </c>
      <c r="B218" t="s">
        <v>478</v>
      </c>
      <c r="C218" t="s">
        <v>280</v>
      </c>
      <c r="D218" t="s">
        <v>487</v>
      </c>
      <c r="E218" t="s">
        <v>488</v>
      </c>
      <c r="H218" t="s">
        <v>25</v>
      </c>
      <c r="I218" t="s">
        <v>489</v>
      </c>
    </row>
    <row r="219" spans="1:13" x14ac:dyDescent="0.3">
      <c r="A219" t="s">
        <v>477</v>
      </c>
      <c r="B219" t="s">
        <v>478</v>
      </c>
      <c r="C219" t="s">
        <v>308</v>
      </c>
      <c r="D219" t="s">
        <v>490</v>
      </c>
      <c r="E219" t="s">
        <v>491</v>
      </c>
      <c r="H219" t="s">
        <v>25</v>
      </c>
      <c r="I219" t="s">
        <v>492</v>
      </c>
      <c r="L219" t="s">
        <v>312</v>
      </c>
      <c r="M219" t="s">
        <v>404</v>
      </c>
    </row>
    <row r="220" spans="1:13" x14ac:dyDescent="0.3">
      <c r="A220" t="s">
        <v>477</v>
      </c>
      <c r="B220" t="s">
        <v>478</v>
      </c>
      <c r="C220" t="s">
        <v>308</v>
      </c>
      <c r="D220" t="s">
        <v>493</v>
      </c>
      <c r="E220" t="s">
        <v>494</v>
      </c>
      <c r="H220" t="s">
        <v>25</v>
      </c>
      <c r="I220" t="s">
        <v>495</v>
      </c>
      <c r="L220" t="s">
        <v>312</v>
      </c>
      <c r="M220" t="s">
        <v>496</v>
      </c>
    </row>
    <row r="221" spans="1:13" x14ac:dyDescent="0.3">
      <c r="A221" t="s">
        <v>487</v>
      </c>
      <c r="B221" t="s">
        <v>488</v>
      </c>
      <c r="C221" t="s">
        <v>308</v>
      </c>
      <c r="D221" t="s">
        <v>497</v>
      </c>
      <c r="E221" t="s">
        <v>498</v>
      </c>
      <c r="H221" t="s">
        <v>25</v>
      </c>
      <c r="I221" t="s">
        <v>499</v>
      </c>
      <c r="L221" t="s">
        <v>312</v>
      </c>
      <c r="M221" t="s">
        <v>385</v>
      </c>
    </row>
    <row r="222" spans="1:13" x14ac:dyDescent="0.3">
      <c r="A222" t="s">
        <v>487</v>
      </c>
      <c r="B222" t="s">
        <v>488</v>
      </c>
      <c r="C222" t="s">
        <v>308</v>
      </c>
      <c r="D222" t="s">
        <v>500</v>
      </c>
      <c r="E222" t="s">
        <v>501</v>
      </c>
      <c r="H222" t="s">
        <v>25</v>
      </c>
      <c r="I222" t="s">
        <v>502</v>
      </c>
      <c r="L222" t="s">
        <v>312</v>
      </c>
      <c r="M222" t="s">
        <v>503</v>
      </c>
    </row>
    <row r="223" spans="1:13" x14ac:dyDescent="0.3">
      <c r="A223" t="s">
        <v>500</v>
      </c>
      <c r="B223" t="s">
        <v>501</v>
      </c>
      <c r="C223" t="s">
        <v>11</v>
      </c>
      <c r="D223" t="s">
        <v>12</v>
      </c>
      <c r="E223" t="s">
        <v>391</v>
      </c>
      <c r="H223" t="s">
        <v>392</v>
      </c>
      <c r="I223" t="s">
        <v>504</v>
      </c>
      <c r="L223" t="s">
        <v>394</v>
      </c>
      <c r="M223" t="s">
        <v>383</v>
      </c>
    </row>
    <row r="224" spans="1:13" x14ac:dyDescent="0.3">
      <c r="A224" t="s">
        <v>497</v>
      </c>
      <c r="B224" t="s">
        <v>498</v>
      </c>
      <c r="C224" t="s">
        <v>11</v>
      </c>
      <c r="D224" t="s">
        <v>12</v>
      </c>
      <c r="E224" t="s">
        <v>391</v>
      </c>
      <c r="H224" t="s">
        <v>392</v>
      </c>
      <c r="I224" t="s">
        <v>505</v>
      </c>
      <c r="L224" t="s">
        <v>394</v>
      </c>
      <c r="M224" t="s">
        <v>383</v>
      </c>
    </row>
    <row r="225" spans="1:13" x14ac:dyDescent="0.3">
      <c r="A225" t="s">
        <v>490</v>
      </c>
      <c r="B225" t="s">
        <v>491</v>
      </c>
      <c r="C225" t="s">
        <v>11</v>
      </c>
      <c r="D225" t="s">
        <v>12</v>
      </c>
      <c r="E225" t="s">
        <v>391</v>
      </c>
      <c r="H225" t="s">
        <v>392</v>
      </c>
      <c r="I225" t="s">
        <v>506</v>
      </c>
      <c r="L225" t="s">
        <v>394</v>
      </c>
      <c r="M225" t="s">
        <v>383</v>
      </c>
    </row>
    <row r="226" spans="1:13" x14ac:dyDescent="0.3">
      <c r="A226" t="s">
        <v>493</v>
      </c>
      <c r="B226" t="s">
        <v>494</v>
      </c>
      <c r="C226" t="s">
        <v>11</v>
      </c>
      <c r="D226" t="s">
        <v>12</v>
      </c>
      <c r="E226" t="s">
        <v>391</v>
      </c>
      <c r="H226" t="s">
        <v>392</v>
      </c>
      <c r="I226" t="s">
        <v>507</v>
      </c>
      <c r="L226" t="s">
        <v>394</v>
      </c>
      <c r="M226" t="s">
        <v>383</v>
      </c>
    </row>
    <row r="227" spans="1:13" x14ac:dyDescent="0.3">
      <c r="A227" t="s">
        <v>483</v>
      </c>
      <c r="B227" t="s">
        <v>484</v>
      </c>
      <c r="C227" t="s">
        <v>11</v>
      </c>
      <c r="D227" t="s">
        <v>12</v>
      </c>
      <c r="E227" t="s">
        <v>391</v>
      </c>
      <c r="H227" t="s">
        <v>392</v>
      </c>
      <c r="I227" t="s">
        <v>508</v>
      </c>
      <c r="L227" t="s">
        <v>394</v>
      </c>
      <c r="M227" t="s">
        <v>383</v>
      </c>
    </row>
    <row r="228" spans="1:13" x14ac:dyDescent="0.3">
      <c r="A228" t="s">
        <v>331</v>
      </c>
      <c r="B228" t="s">
        <v>332</v>
      </c>
      <c r="C228" t="s">
        <v>11</v>
      </c>
      <c r="D228" t="s">
        <v>12</v>
      </c>
      <c r="E228" t="s">
        <v>391</v>
      </c>
      <c r="H228" t="s">
        <v>392</v>
      </c>
      <c r="I228" t="s">
        <v>509</v>
      </c>
      <c r="L228" t="s">
        <v>394</v>
      </c>
      <c r="M228" t="s">
        <v>383</v>
      </c>
    </row>
    <row r="229" spans="1:13" x14ac:dyDescent="0.3">
      <c r="A229" s="1" t="s">
        <v>366</v>
      </c>
      <c r="B229" s="1" t="s">
        <v>367</v>
      </c>
      <c r="C229" t="s">
        <v>11</v>
      </c>
      <c r="D229" t="s">
        <v>12</v>
      </c>
      <c r="E229" t="s">
        <v>391</v>
      </c>
      <c r="H229" t="s">
        <v>392</v>
      </c>
      <c r="I229" t="s">
        <v>510</v>
      </c>
      <c r="L229" t="s">
        <v>394</v>
      </c>
      <c r="M229" t="s">
        <v>383</v>
      </c>
    </row>
    <row r="230" spans="1:13" x14ac:dyDescent="0.3">
      <c r="A230" t="s">
        <v>334</v>
      </c>
      <c r="B230" t="s">
        <v>335</v>
      </c>
      <c r="C230" t="s">
        <v>11</v>
      </c>
      <c r="D230" t="s">
        <v>12</v>
      </c>
      <c r="E230" t="s">
        <v>391</v>
      </c>
      <c r="H230" t="s">
        <v>392</v>
      </c>
      <c r="I230" t="s">
        <v>511</v>
      </c>
      <c r="L230" t="s">
        <v>394</v>
      </c>
      <c r="M230" t="s">
        <v>383</v>
      </c>
    </row>
    <row r="231" spans="1:13" x14ac:dyDescent="0.3">
      <c r="A231" t="s">
        <v>350</v>
      </c>
      <c r="B231" t="s">
        <v>351</v>
      </c>
      <c r="C231" t="s">
        <v>11</v>
      </c>
      <c r="D231" t="s">
        <v>12</v>
      </c>
      <c r="E231" t="s">
        <v>391</v>
      </c>
      <c r="H231" t="s">
        <v>392</v>
      </c>
      <c r="I231" t="s">
        <v>512</v>
      </c>
      <c r="L231" t="s">
        <v>394</v>
      </c>
      <c r="M231" t="s">
        <v>383</v>
      </c>
    </row>
    <row r="232" spans="1:13" x14ac:dyDescent="0.3">
      <c r="A232" t="s">
        <v>337</v>
      </c>
      <c r="B232" t="s">
        <v>338</v>
      </c>
      <c r="C232" t="s">
        <v>11</v>
      </c>
      <c r="D232" t="s">
        <v>12</v>
      </c>
      <c r="E232" t="s">
        <v>391</v>
      </c>
      <c r="H232" t="s">
        <v>392</v>
      </c>
      <c r="I232" t="s">
        <v>513</v>
      </c>
      <c r="L232" t="s">
        <v>394</v>
      </c>
      <c r="M232" t="s">
        <v>383</v>
      </c>
    </row>
    <row r="233" spans="1:13" x14ac:dyDescent="0.3">
      <c r="A233" t="s">
        <v>302</v>
      </c>
      <c r="B233" t="s">
        <v>303</v>
      </c>
      <c r="C233" t="s">
        <v>280</v>
      </c>
      <c r="D233" t="s">
        <v>514</v>
      </c>
      <c r="E233" t="s">
        <v>478</v>
      </c>
      <c r="H233" t="s">
        <v>25</v>
      </c>
      <c r="I233" t="s">
        <v>515</v>
      </c>
    </row>
    <row r="234" spans="1:13" x14ac:dyDescent="0.3">
      <c r="A234" t="s">
        <v>302</v>
      </c>
      <c r="B234" t="s">
        <v>303</v>
      </c>
      <c r="C234" t="s">
        <v>308</v>
      </c>
      <c r="D234" t="s">
        <v>516</v>
      </c>
      <c r="E234" t="s">
        <v>484</v>
      </c>
      <c r="H234" t="s">
        <v>25</v>
      </c>
      <c r="I234" t="s">
        <v>517</v>
      </c>
      <c r="L234" t="s">
        <v>312</v>
      </c>
      <c r="M234" t="s">
        <v>343</v>
      </c>
    </row>
    <row r="235" spans="1:13" x14ac:dyDescent="0.3">
      <c r="A235" t="s">
        <v>302</v>
      </c>
      <c r="B235" t="s">
        <v>303</v>
      </c>
      <c r="C235" t="s">
        <v>308</v>
      </c>
      <c r="D235" t="s">
        <v>518</v>
      </c>
      <c r="E235" t="s">
        <v>481</v>
      </c>
      <c r="H235" t="s">
        <v>25</v>
      </c>
      <c r="I235" t="s">
        <v>519</v>
      </c>
      <c r="L235" t="s">
        <v>312</v>
      </c>
      <c r="M235" t="s">
        <v>343</v>
      </c>
    </row>
    <row r="236" spans="1:13" x14ac:dyDescent="0.3">
      <c r="A236" t="s">
        <v>302</v>
      </c>
      <c r="B236" t="s">
        <v>303</v>
      </c>
      <c r="C236" t="s">
        <v>308</v>
      </c>
      <c r="D236" t="s">
        <v>520</v>
      </c>
      <c r="E236" t="s">
        <v>521</v>
      </c>
      <c r="H236" t="s">
        <v>25</v>
      </c>
      <c r="I236" t="s">
        <v>522</v>
      </c>
      <c r="L236" t="s">
        <v>312</v>
      </c>
      <c r="M236" t="s">
        <v>343</v>
      </c>
    </row>
    <row r="237" spans="1:13" x14ac:dyDescent="0.3">
      <c r="A237" t="s">
        <v>302</v>
      </c>
      <c r="B237" t="s">
        <v>303</v>
      </c>
      <c r="C237" t="s">
        <v>308</v>
      </c>
      <c r="D237" t="s">
        <v>523</v>
      </c>
      <c r="E237" s="1" t="s">
        <v>524</v>
      </c>
      <c r="H237" t="s">
        <v>25</v>
      </c>
      <c r="I237" t="s">
        <v>525</v>
      </c>
      <c r="L237" t="s">
        <v>312</v>
      </c>
      <c r="M237" t="s">
        <v>343</v>
      </c>
    </row>
    <row r="238" spans="1:13" x14ac:dyDescent="0.3">
      <c r="A238" t="s">
        <v>302</v>
      </c>
      <c r="B238" t="s">
        <v>303</v>
      </c>
      <c r="C238" t="s">
        <v>308</v>
      </c>
      <c r="D238" t="s">
        <v>526</v>
      </c>
      <c r="E238" t="s">
        <v>527</v>
      </c>
      <c r="H238" t="s">
        <v>25</v>
      </c>
      <c r="I238" t="s">
        <v>528</v>
      </c>
      <c r="L238" t="s">
        <v>312</v>
      </c>
      <c r="M238" t="s">
        <v>343</v>
      </c>
    </row>
    <row r="239" spans="1:13" x14ac:dyDescent="0.3">
      <c r="A239" t="s">
        <v>518</v>
      </c>
      <c r="B239" t="s">
        <v>481</v>
      </c>
      <c r="C239" t="s">
        <v>11</v>
      </c>
      <c r="D239" t="s">
        <v>12</v>
      </c>
      <c r="E239" t="s">
        <v>391</v>
      </c>
      <c r="H239" t="s">
        <v>392</v>
      </c>
      <c r="I239" t="s">
        <v>529</v>
      </c>
      <c r="L239" t="s">
        <v>394</v>
      </c>
      <c r="M239" t="s">
        <v>383</v>
      </c>
    </row>
    <row r="240" spans="1:13" x14ac:dyDescent="0.3">
      <c r="A240" t="s">
        <v>523</v>
      </c>
      <c r="B240" s="1" t="s">
        <v>524</v>
      </c>
      <c r="C240" t="s">
        <v>11</v>
      </c>
      <c r="D240" t="s">
        <v>12</v>
      </c>
      <c r="E240" t="s">
        <v>391</v>
      </c>
      <c r="H240" t="s">
        <v>392</v>
      </c>
      <c r="I240" t="s">
        <v>530</v>
      </c>
      <c r="L240" t="s">
        <v>394</v>
      </c>
      <c r="M240" t="s">
        <v>383</v>
      </c>
    </row>
    <row r="241" spans="1:13" x14ac:dyDescent="0.3">
      <c r="A241" t="s">
        <v>520</v>
      </c>
      <c r="B241" s="1" t="s">
        <v>521</v>
      </c>
      <c r="C241" t="s">
        <v>11</v>
      </c>
      <c r="D241" t="s">
        <v>12</v>
      </c>
      <c r="E241" t="s">
        <v>391</v>
      </c>
      <c r="H241" t="s">
        <v>392</v>
      </c>
      <c r="I241" t="s">
        <v>531</v>
      </c>
      <c r="L241" t="s">
        <v>394</v>
      </c>
      <c r="M241" t="s">
        <v>383</v>
      </c>
    </row>
    <row r="242" spans="1:13" x14ac:dyDescent="0.3">
      <c r="A242" t="s">
        <v>514</v>
      </c>
      <c r="B242" t="s">
        <v>478</v>
      </c>
      <c r="C242" t="s">
        <v>280</v>
      </c>
      <c r="D242" t="s">
        <v>532</v>
      </c>
      <c r="E242" t="s">
        <v>488</v>
      </c>
      <c r="H242" t="s">
        <v>25</v>
      </c>
      <c r="I242" t="s">
        <v>489</v>
      </c>
    </row>
    <row r="243" spans="1:13" x14ac:dyDescent="0.3">
      <c r="A243" t="s">
        <v>514</v>
      </c>
      <c r="B243" t="s">
        <v>478</v>
      </c>
      <c r="C243" t="s">
        <v>308</v>
      </c>
      <c r="D243" t="s">
        <v>533</v>
      </c>
      <c r="E243" t="s">
        <v>491</v>
      </c>
      <c r="H243" t="s">
        <v>25</v>
      </c>
      <c r="I243" t="s">
        <v>534</v>
      </c>
      <c r="L243" t="s">
        <v>312</v>
      </c>
      <c r="M243" t="s">
        <v>404</v>
      </c>
    </row>
    <row r="244" spans="1:13" x14ac:dyDescent="0.3">
      <c r="A244" t="s">
        <v>514</v>
      </c>
      <c r="B244" t="s">
        <v>478</v>
      </c>
      <c r="C244" t="s">
        <v>308</v>
      </c>
      <c r="D244" t="s">
        <v>535</v>
      </c>
      <c r="E244" t="s">
        <v>494</v>
      </c>
      <c r="H244" t="s">
        <v>25</v>
      </c>
      <c r="I244" t="s">
        <v>536</v>
      </c>
      <c r="L244" t="s">
        <v>312</v>
      </c>
      <c r="M244" t="s">
        <v>496</v>
      </c>
    </row>
    <row r="245" spans="1:13" x14ac:dyDescent="0.3">
      <c r="A245" t="s">
        <v>514</v>
      </c>
      <c r="B245" t="s">
        <v>478</v>
      </c>
      <c r="C245" t="s">
        <v>537</v>
      </c>
      <c r="D245" t="s">
        <v>12</v>
      </c>
      <c r="E245" t="s">
        <v>12</v>
      </c>
      <c r="H245" t="s">
        <v>376</v>
      </c>
      <c r="I245">
        <v>50</v>
      </c>
      <c r="L245" t="s">
        <v>312</v>
      </c>
      <c r="M245" t="s">
        <v>538</v>
      </c>
    </row>
    <row r="246" spans="1:13" x14ac:dyDescent="0.3">
      <c r="A246" t="s">
        <v>514</v>
      </c>
      <c r="B246" t="s">
        <v>478</v>
      </c>
      <c r="C246" t="s">
        <v>539</v>
      </c>
      <c r="D246" t="s">
        <v>12</v>
      </c>
      <c r="E246" t="s">
        <v>12</v>
      </c>
      <c r="H246" t="s">
        <v>376</v>
      </c>
      <c r="I246">
        <v>11</v>
      </c>
      <c r="L246" t="s">
        <v>312</v>
      </c>
      <c r="M246" t="s">
        <v>385</v>
      </c>
    </row>
    <row r="247" spans="1:13" x14ac:dyDescent="0.3">
      <c r="A247" t="s">
        <v>514</v>
      </c>
      <c r="B247" t="s">
        <v>478</v>
      </c>
      <c r="C247" t="s">
        <v>540</v>
      </c>
      <c r="D247" t="s">
        <v>12</v>
      </c>
      <c r="E247" t="s">
        <v>12</v>
      </c>
      <c r="H247" t="s">
        <v>376</v>
      </c>
      <c r="I247">
        <v>415</v>
      </c>
      <c r="L247" t="s">
        <v>312</v>
      </c>
      <c r="M247" t="s">
        <v>541</v>
      </c>
    </row>
    <row r="248" spans="1:13" x14ac:dyDescent="0.3">
      <c r="A248" t="s">
        <v>542</v>
      </c>
      <c r="B248" t="s">
        <v>501</v>
      </c>
      <c r="C248" t="s">
        <v>11</v>
      </c>
      <c r="D248" t="s">
        <v>12</v>
      </c>
      <c r="E248" t="s">
        <v>391</v>
      </c>
      <c r="H248" t="s">
        <v>392</v>
      </c>
      <c r="I248" t="s">
        <v>543</v>
      </c>
      <c r="L248" t="s">
        <v>394</v>
      </c>
      <c r="M248" t="s">
        <v>383</v>
      </c>
    </row>
    <row r="249" spans="1:13" x14ac:dyDescent="0.3">
      <c r="A249" t="s">
        <v>532</v>
      </c>
      <c r="B249" t="s">
        <v>488</v>
      </c>
      <c r="C249" t="s">
        <v>308</v>
      </c>
      <c r="D249" t="s">
        <v>544</v>
      </c>
      <c r="E249" t="s">
        <v>498</v>
      </c>
      <c r="H249" t="s">
        <v>25</v>
      </c>
      <c r="I249" t="s">
        <v>545</v>
      </c>
      <c r="L249" t="s">
        <v>312</v>
      </c>
      <c r="M249" t="s">
        <v>385</v>
      </c>
    </row>
    <row r="250" spans="1:13" x14ac:dyDescent="0.3">
      <c r="A250" t="s">
        <v>532</v>
      </c>
      <c r="B250" t="s">
        <v>488</v>
      </c>
      <c r="C250" t="s">
        <v>308</v>
      </c>
      <c r="D250" t="s">
        <v>542</v>
      </c>
      <c r="E250" t="s">
        <v>501</v>
      </c>
      <c r="H250" t="s">
        <v>25</v>
      </c>
      <c r="I250" t="s">
        <v>546</v>
      </c>
      <c r="L250" t="s">
        <v>312</v>
      </c>
      <c r="M250" t="s">
        <v>503</v>
      </c>
    </row>
    <row r="251" spans="1:13" x14ac:dyDescent="0.3">
      <c r="A251" t="s">
        <v>544</v>
      </c>
      <c r="B251" t="s">
        <v>498</v>
      </c>
      <c r="C251" t="s">
        <v>11</v>
      </c>
      <c r="D251" t="s">
        <v>12</v>
      </c>
      <c r="E251" t="s">
        <v>391</v>
      </c>
      <c r="H251" t="s">
        <v>392</v>
      </c>
      <c r="I251" t="s">
        <v>547</v>
      </c>
      <c r="L251" t="s">
        <v>394</v>
      </c>
      <c r="M251" t="s">
        <v>383</v>
      </c>
    </row>
    <row r="252" spans="1:13" x14ac:dyDescent="0.3">
      <c r="A252" t="s">
        <v>533</v>
      </c>
      <c r="B252" t="s">
        <v>491</v>
      </c>
      <c r="C252" t="s">
        <v>11</v>
      </c>
      <c r="D252" t="s">
        <v>12</v>
      </c>
      <c r="E252" t="s">
        <v>391</v>
      </c>
      <c r="H252" t="s">
        <v>392</v>
      </c>
      <c r="I252" t="s">
        <v>548</v>
      </c>
      <c r="L252" t="s">
        <v>394</v>
      </c>
      <c r="M252" t="s">
        <v>383</v>
      </c>
    </row>
    <row r="253" spans="1:13" x14ac:dyDescent="0.3">
      <c r="A253" t="s">
        <v>535</v>
      </c>
      <c r="B253" t="s">
        <v>494</v>
      </c>
      <c r="C253" t="s">
        <v>11</v>
      </c>
      <c r="D253" t="s">
        <v>12</v>
      </c>
      <c r="E253" t="s">
        <v>391</v>
      </c>
      <c r="H253" t="s">
        <v>392</v>
      </c>
      <c r="I253" t="s">
        <v>549</v>
      </c>
      <c r="L253" t="s">
        <v>394</v>
      </c>
      <c r="M253" t="s">
        <v>383</v>
      </c>
    </row>
    <row r="254" spans="1:13" x14ac:dyDescent="0.3">
      <c r="A254" t="s">
        <v>526</v>
      </c>
      <c r="B254" t="s">
        <v>550</v>
      </c>
      <c r="C254" t="s">
        <v>11</v>
      </c>
      <c r="D254" t="s">
        <v>12</v>
      </c>
      <c r="E254" t="s">
        <v>391</v>
      </c>
      <c r="H254" t="s">
        <v>392</v>
      </c>
      <c r="I254" t="s">
        <v>551</v>
      </c>
      <c r="L254" t="s">
        <v>394</v>
      </c>
      <c r="M254" t="s">
        <v>383</v>
      </c>
    </row>
    <row r="255" spans="1:13" x14ac:dyDescent="0.3">
      <c r="A255" t="s">
        <v>516</v>
      </c>
      <c r="B255" t="s">
        <v>484</v>
      </c>
      <c r="C255" t="s">
        <v>11</v>
      </c>
      <c r="D255" t="s">
        <v>12</v>
      </c>
      <c r="E255" t="s">
        <v>391</v>
      </c>
      <c r="H255" t="s">
        <v>392</v>
      </c>
      <c r="I255" t="s">
        <v>552</v>
      </c>
      <c r="L255" t="s">
        <v>394</v>
      </c>
      <c r="M255" t="s">
        <v>383</v>
      </c>
    </row>
    <row r="256" spans="1:13" x14ac:dyDescent="0.3">
      <c r="A256" t="s">
        <v>354</v>
      </c>
      <c r="B256" t="s">
        <v>355</v>
      </c>
      <c r="C256" t="s">
        <v>11</v>
      </c>
      <c r="D256" t="s">
        <v>12</v>
      </c>
      <c r="E256" t="s">
        <v>391</v>
      </c>
      <c r="H256" t="s">
        <v>392</v>
      </c>
      <c r="I256" t="s">
        <v>553</v>
      </c>
      <c r="L256" t="s">
        <v>394</v>
      </c>
      <c r="M256" t="s">
        <v>383</v>
      </c>
    </row>
    <row r="257" spans="1:13" x14ac:dyDescent="0.3">
      <c r="A257" t="s">
        <v>554</v>
      </c>
      <c r="B257" t="s">
        <v>279</v>
      </c>
      <c r="C257" t="s">
        <v>280</v>
      </c>
      <c r="D257" t="s">
        <v>555</v>
      </c>
      <c r="E257" t="s">
        <v>282</v>
      </c>
      <c r="H257" t="s">
        <v>25</v>
      </c>
      <c r="I257" t="s">
        <v>283</v>
      </c>
    </row>
    <row r="258" spans="1:13" x14ac:dyDescent="0.3">
      <c r="A258" t="s">
        <v>554</v>
      </c>
      <c r="B258" t="s">
        <v>279</v>
      </c>
      <c r="C258" t="s">
        <v>280</v>
      </c>
      <c r="D258" t="s">
        <v>556</v>
      </c>
      <c r="E258" t="s">
        <v>285</v>
      </c>
      <c r="H258" t="s">
        <v>25</v>
      </c>
      <c r="I258" t="s">
        <v>286</v>
      </c>
    </row>
    <row r="259" spans="1:13" x14ac:dyDescent="0.3">
      <c r="A259" t="s">
        <v>554</v>
      </c>
      <c r="B259" t="s">
        <v>279</v>
      </c>
      <c r="C259" t="s">
        <v>280</v>
      </c>
      <c r="D259" t="s">
        <v>557</v>
      </c>
      <c r="E259" t="s">
        <v>288</v>
      </c>
      <c r="H259" t="s">
        <v>25</v>
      </c>
      <c r="I259" t="s">
        <v>289</v>
      </c>
    </row>
    <row r="260" spans="1:13" x14ac:dyDescent="0.3">
      <c r="A260" t="s">
        <v>554</v>
      </c>
      <c r="B260" t="s">
        <v>279</v>
      </c>
      <c r="C260" t="s">
        <v>280</v>
      </c>
      <c r="D260" t="s">
        <v>558</v>
      </c>
      <c r="E260" t="s">
        <v>291</v>
      </c>
      <c r="H260" t="s">
        <v>25</v>
      </c>
      <c r="I260" t="s">
        <v>292</v>
      </c>
    </row>
    <row r="261" spans="1:13" x14ac:dyDescent="0.3">
      <c r="A261" t="s">
        <v>554</v>
      </c>
      <c r="B261" t="s">
        <v>279</v>
      </c>
      <c r="C261" t="s">
        <v>280</v>
      </c>
      <c r="D261" t="s">
        <v>559</v>
      </c>
      <c r="E261" t="s">
        <v>294</v>
      </c>
      <c r="H261" t="s">
        <v>25</v>
      </c>
      <c r="I261" t="s">
        <v>295</v>
      </c>
    </row>
    <row r="262" spans="1:13" x14ac:dyDescent="0.3">
      <c r="A262" t="s">
        <v>554</v>
      </c>
      <c r="B262" t="s">
        <v>279</v>
      </c>
      <c r="C262" t="s">
        <v>280</v>
      </c>
      <c r="D262" t="s">
        <v>560</v>
      </c>
      <c r="E262" t="s">
        <v>297</v>
      </c>
      <c r="H262" t="s">
        <v>25</v>
      </c>
      <c r="I262" t="s">
        <v>298</v>
      </c>
    </row>
    <row r="263" spans="1:13" x14ac:dyDescent="0.3">
      <c r="A263" t="s">
        <v>554</v>
      </c>
      <c r="B263" t="s">
        <v>279</v>
      </c>
      <c r="C263" t="s">
        <v>280</v>
      </c>
      <c r="D263" t="s">
        <v>561</v>
      </c>
      <c r="E263" t="s">
        <v>300</v>
      </c>
      <c r="H263" t="s">
        <v>25</v>
      </c>
      <c r="I263" t="s">
        <v>301</v>
      </c>
    </row>
    <row r="264" spans="1:13" x14ac:dyDescent="0.3">
      <c r="A264" t="s">
        <v>554</v>
      </c>
      <c r="B264" t="s">
        <v>279</v>
      </c>
      <c r="C264" t="s">
        <v>280</v>
      </c>
      <c r="D264" t="s">
        <v>562</v>
      </c>
      <c r="E264" t="s">
        <v>303</v>
      </c>
      <c r="H264" t="s">
        <v>25</v>
      </c>
      <c r="I264" t="s">
        <v>304</v>
      </c>
    </row>
    <row r="265" spans="1:13" x14ac:dyDescent="0.3">
      <c r="A265" t="s">
        <v>554</v>
      </c>
      <c r="B265" t="s">
        <v>279</v>
      </c>
      <c r="C265" t="s">
        <v>280</v>
      </c>
      <c r="D265" t="s">
        <v>563</v>
      </c>
      <c r="E265" t="s">
        <v>306</v>
      </c>
      <c r="H265" t="s">
        <v>25</v>
      </c>
      <c r="I265" t="s">
        <v>307</v>
      </c>
    </row>
    <row r="266" spans="1:13" x14ac:dyDescent="0.3">
      <c r="A266" t="s">
        <v>554</v>
      </c>
      <c r="B266" t="s">
        <v>279</v>
      </c>
      <c r="C266" t="s">
        <v>308</v>
      </c>
      <c r="D266" t="s">
        <v>564</v>
      </c>
      <c r="E266" t="s">
        <v>310</v>
      </c>
      <c r="H266" t="s">
        <v>25</v>
      </c>
      <c r="I266" t="s">
        <v>311</v>
      </c>
      <c r="L266" t="s">
        <v>312</v>
      </c>
      <c r="M266" t="s">
        <v>313</v>
      </c>
    </row>
    <row r="267" spans="1:13" x14ac:dyDescent="0.3">
      <c r="A267" t="s">
        <v>554</v>
      </c>
      <c r="B267" t="s">
        <v>279</v>
      </c>
      <c r="C267" t="s">
        <v>308</v>
      </c>
      <c r="D267" t="s">
        <v>565</v>
      </c>
      <c r="E267" t="s">
        <v>315</v>
      </c>
      <c r="H267" t="s">
        <v>25</v>
      </c>
      <c r="I267" t="s">
        <v>316</v>
      </c>
      <c r="L267" t="s">
        <v>312</v>
      </c>
      <c r="M267" t="s">
        <v>317</v>
      </c>
    </row>
    <row r="268" spans="1:13" x14ac:dyDescent="0.3">
      <c r="A268" t="s">
        <v>554</v>
      </c>
      <c r="B268" t="s">
        <v>279</v>
      </c>
      <c r="C268" t="s">
        <v>308</v>
      </c>
      <c r="D268" t="s">
        <v>566</v>
      </c>
      <c r="E268" t="s">
        <v>319</v>
      </c>
      <c r="H268" t="s">
        <v>25</v>
      </c>
      <c r="I268" t="s">
        <v>320</v>
      </c>
      <c r="L268" t="s">
        <v>312</v>
      </c>
      <c r="M268" t="s">
        <v>313</v>
      </c>
    </row>
    <row r="269" spans="1:13" x14ac:dyDescent="0.3">
      <c r="A269" t="s">
        <v>554</v>
      </c>
      <c r="B269" t="s">
        <v>279</v>
      </c>
      <c r="C269" t="s">
        <v>308</v>
      </c>
      <c r="D269" t="s">
        <v>567</v>
      </c>
      <c r="E269" t="s">
        <v>322</v>
      </c>
      <c r="H269" t="s">
        <v>25</v>
      </c>
      <c r="I269" t="s">
        <v>323</v>
      </c>
      <c r="L269" t="s">
        <v>312</v>
      </c>
      <c r="M269" t="s">
        <v>317</v>
      </c>
    </row>
    <row r="270" spans="1:13" x14ac:dyDescent="0.3">
      <c r="A270" t="s">
        <v>554</v>
      </c>
      <c r="B270" t="s">
        <v>279</v>
      </c>
      <c r="C270" t="s">
        <v>308</v>
      </c>
      <c r="D270" t="s">
        <v>568</v>
      </c>
      <c r="E270" t="s">
        <v>325</v>
      </c>
      <c r="H270" t="s">
        <v>25</v>
      </c>
      <c r="I270" t="s">
        <v>326</v>
      </c>
      <c r="L270" t="s">
        <v>312</v>
      </c>
      <c r="M270" t="s">
        <v>327</v>
      </c>
    </row>
    <row r="271" spans="1:13" x14ac:dyDescent="0.3">
      <c r="A271" t="s">
        <v>554</v>
      </c>
      <c r="B271" t="s">
        <v>279</v>
      </c>
      <c r="C271" t="s">
        <v>308</v>
      </c>
      <c r="D271" t="s">
        <v>569</v>
      </c>
      <c r="E271" t="s">
        <v>329</v>
      </c>
      <c r="H271" t="s">
        <v>25</v>
      </c>
      <c r="I271" t="s">
        <v>330</v>
      </c>
      <c r="L271" t="s">
        <v>312</v>
      </c>
      <c r="M271" t="s">
        <v>317</v>
      </c>
    </row>
    <row r="272" spans="1:13" x14ac:dyDescent="0.3">
      <c r="A272" t="s">
        <v>554</v>
      </c>
      <c r="B272" t="s">
        <v>279</v>
      </c>
      <c r="C272" t="s">
        <v>308</v>
      </c>
      <c r="D272" t="s">
        <v>570</v>
      </c>
      <c r="E272" t="s">
        <v>332</v>
      </c>
      <c r="H272" t="s">
        <v>25</v>
      </c>
      <c r="I272" t="s">
        <v>333</v>
      </c>
      <c r="L272" t="s">
        <v>312</v>
      </c>
      <c r="M272" t="s">
        <v>327</v>
      </c>
    </row>
    <row r="273" spans="1:13" x14ac:dyDescent="0.3">
      <c r="A273" t="s">
        <v>554</v>
      </c>
      <c r="B273" t="s">
        <v>279</v>
      </c>
      <c r="C273" t="s">
        <v>308</v>
      </c>
      <c r="D273" t="s">
        <v>571</v>
      </c>
      <c r="E273" t="s">
        <v>335</v>
      </c>
      <c r="H273" t="s">
        <v>25</v>
      </c>
      <c r="I273" t="s">
        <v>336</v>
      </c>
      <c r="L273" t="s">
        <v>312</v>
      </c>
      <c r="M273" t="s">
        <v>313</v>
      </c>
    </row>
    <row r="274" spans="1:13" x14ac:dyDescent="0.3">
      <c r="A274" t="s">
        <v>554</v>
      </c>
      <c r="B274" t="s">
        <v>279</v>
      </c>
      <c r="C274" t="s">
        <v>308</v>
      </c>
      <c r="D274" t="s">
        <v>572</v>
      </c>
      <c r="E274" t="s">
        <v>338</v>
      </c>
      <c r="H274" t="s">
        <v>25</v>
      </c>
      <c r="I274" t="s">
        <v>339</v>
      </c>
      <c r="L274" t="s">
        <v>312</v>
      </c>
      <c r="M274" t="s">
        <v>317</v>
      </c>
    </row>
    <row r="275" spans="1:13" x14ac:dyDescent="0.3">
      <c r="A275" t="s">
        <v>554</v>
      </c>
      <c r="B275" t="s">
        <v>279</v>
      </c>
      <c r="C275" t="s">
        <v>308</v>
      </c>
      <c r="D275" t="s">
        <v>573</v>
      </c>
      <c r="E275" t="s">
        <v>341</v>
      </c>
      <c r="H275" t="s">
        <v>25</v>
      </c>
      <c r="I275" t="s">
        <v>342</v>
      </c>
      <c r="L275" t="s">
        <v>312</v>
      </c>
      <c r="M275" t="s">
        <v>343</v>
      </c>
    </row>
    <row r="276" spans="1:13" x14ac:dyDescent="0.3">
      <c r="A276" t="s">
        <v>554</v>
      </c>
      <c r="B276" t="s">
        <v>279</v>
      </c>
      <c r="C276" t="s">
        <v>308</v>
      </c>
      <c r="D276" t="s">
        <v>574</v>
      </c>
      <c r="E276" t="s">
        <v>345</v>
      </c>
      <c r="H276" t="s">
        <v>25</v>
      </c>
      <c r="I276" t="s">
        <v>346</v>
      </c>
      <c r="L276" t="s">
        <v>312</v>
      </c>
      <c r="M276" t="s">
        <v>313</v>
      </c>
    </row>
    <row r="277" spans="1:13" x14ac:dyDescent="0.3">
      <c r="A277" t="s">
        <v>554</v>
      </c>
      <c r="B277" t="s">
        <v>279</v>
      </c>
      <c r="C277" t="s">
        <v>308</v>
      </c>
      <c r="D277" t="s">
        <v>575</v>
      </c>
      <c r="E277" t="s">
        <v>348</v>
      </c>
      <c r="H277" t="s">
        <v>25</v>
      </c>
      <c r="I277" t="s">
        <v>349</v>
      </c>
      <c r="L277" t="s">
        <v>312</v>
      </c>
      <c r="M277" t="s">
        <v>317</v>
      </c>
    </row>
    <row r="278" spans="1:13" x14ac:dyDescent="0.3">
      <c r="A278" t="s">
        <v>554</v>
      </c>
      <c r="B278" t="s">
        <v>279</v>
      </c>
      <c r="C278" t="s">
        <v>308</v>
      </c>
      <c r="D278" t="s">
        <v>576</v>
      </c>
      <c r="E278" t="s">
        <v>351</v>
      </c>
      <c r="H278" t="s">
        <v>25</v>
      </c>
      <c r="I278" t="s">
        <v>352</v>
      </c>
      <c r="L278" t="s">
        <v>312</v>
      </c>
      <c r="M278" t="s">
        <v>353</v>
      </c>
    </row>
    <row r="279" spans="1:13" x14ac:dyDescent="0.3">
      <c r="A279" t="s">
        <v>554</v>
      </c>
      <c r="B279" t="s">
        <v>279</v>
      </c>
      <c r="C279" t="s">
        <v>308</v>
      </c>
      <c r="D279" t="s">
        <v>577</v>
      </c>
      <c r="E279" t="s">
        <v>355</v>
      </c>
      <c r="H279" t="s">
        <v>25</v>
      </c>
      <c r="I279" t="s">
        <v>356</v>
      </c>
      <c r="L279" t="s">
        <v>312</v>
      </c>
      <c r="M279" t="s">
        <v>317</v>
      </c>
    </row>
    <row r="280" spans="1:13" x14ac:dyDescent="0.3">
      <c r="A280" t="s">
        <v>554</v>
      </c>
      <c r="B280" t="s">
        <v>279</v>
      </c>
      <c r="C280" t="s">
        <v>308</v>
      </c>
      <c r="D280" t="s">
        <v>578</v>
      </c>
      <c r="E280" t="s">
        <v>358</v>
      </c>
      <c r="H280" t="s">
        <v>25</v>
      </c>
      <c r="I280" t="s">
        <v>359</v>
      </c>
      <c r="L280" t="s">
        <v>312</v>
      </c>
      <c r="M280" t="s">
        <v>343</v>
      </c>
    </row>
    <row r="281" spans="1:13" x14ac:dyDescent="0.3">
      <c r="A281" t="s">
        <v>554</v>
      </c>
      <c r="B281" t="s">
        <v>279</v>
      </c>
      <c r="C281" t="s">
        <v>308</v>
      </c>
      <c r="D281" t="s">
        <v>579</v>
      </c>
      <c r="E281" t="s">
        <v>361</v>
      </c>
      <c r="H281" t="s">
        <v>25</v>
      </c>
      <c r="I281" t="s">
        <v>362</v>
      </c>
      <c r="L281" t="s">
        <v>312</v>
      </c>
      <c r="M281" t="s">
        <v>343</v>
      </c>
    </row>
    <row r="282" spans="1:13" x14ac:dyDescent="0.3">
      <c r="A282" t="s">
        <v>554</v>
      </c>
      <c r="B282" t="s">
        <v>279</v>
      </c>
      <c r="C282" t="s">
        <v>308</v>
      </c>
      <c r="D282" t="s">
        <v>580</v>
      </c>
      <c r="E282" t="s">
        <v>364</v>
      </c>
      <c r="H282" t="s">
        <v>25</v>
      </c>
      <c r="I282" t="s">
        <v>365</v>
      </c>
      <c r="L282" t="s">
        <v>312</v>
      </c>
      <c r="M282" t="s">
        <v>343</v>
      </c>
    </row>
    <row r="283" spans="1:13" x14ac:dyDescent="0.3">
      <c r="A283" t="s">
        <v>554</v>
      </c>
      <c r="B283" t="s">
        <v>279</v>
      </c>
      <c r="C283" t="s">
        <v>308</v>
      </c>
      <c r="D283" t="s">
        <v>581</v>
      </c>
      <c r="E283" t="s">
        <v>367</v>
      </c>
      <c r="H283" t="s">
        <v>25</v>
      </c>
      <c r="I283" t="s">
        <v>582</v>
      </c>
      <c r="L283" t="s">
        <v>312</v>
      </c>
      <c r="M283" t="s">
        <v>353</v>
      </c>
    </row>
    <row r="284" spans="1:13" x14ac:dyDescent="0.3">
      <c r="A284" t="s">
        <v>554</v>
      </c>
      <c r="B284" t="s">
        <v>279</v>
      </c>
      <c r="C284" t="s">
        <v>308</v>
      </c>
      <c r="D284" t="s">
        <v>583</v>
      </c>
      <c r="E284" t="s">
        <v>370</v>
      </c>
      <c r="H284" t="s">
        <v>25</v>
      </c>
      <c r="I284" t="s">
        <v>371</v>
      </c>
      <c r="L284" t="s">
        <v>312</v>
      </c>
      <c r="M284" t="s">
        <v>353</v>
      </c>
    </row>
    <row r="285" spans="1:13" x14ac:dyDescent="0.3">
      <c r="A285" t="s">
        <v>554</v>
      </c>
      <c r="B285" t="s">
        <v>279</v>
      </c>
      <c r="C285" t="s">
        <v>22</v>
      </c>
      <c r="D285" t="s">
        <v>23</v>
      </c>
      <c r="E285" t="s">
        <v>28</v>
      </c>
      <c r="F285" t="s">
        <v>25</v>
      </c>
      <c r="G285" t="s">
        <v>584</v>
      </c>
      <c r="J285" t="s">
        <v>373</v>
      </c>
      <c r="K285" t="s">
        <v>374</v>
      </c>
    </row>
    <row r="286" spans="1:13" x14ac:dyDescent="0.3">
      <c r="A286" t="s">
        <v>554</v>
      </c>
      <c r="B286" t="s">
        <v>279</v>
      </c>
      <c r="C286" t="s">
        <v>375</v>
      </c>
      <c r="D286" t="s">
        <v>12</v>
      </c>
      <c r="E286" t="s">
        <v>12</v>
      </c>
      <c r="H286" t="s">
        <v>376</v>
      </c>
      <c r="I286" t="s">
        <v>585</v>
      </c>
      <c r="L286" t="s">
        <v>312</v>
      </c>
      <c r="M286" t="s">
        <v>327</v>
      </c>
    </row>
    <row r="287" spans="1:13" x14ac:dyDescent="0.3">
      <c r="A287" t="s">
        <v>554</v>
      </c>
      <c r="B287" t="s">
        <v>279</v>
      </c>
      <c r="C287" t="s">
        <v>378</v>
      </c>
      <c r="D287" t="s">
        <v>12</v>
      </c>
      <c r="E287" t="s">
        <v>12</v>
      </c>
      <c r="H287" t="s">
        <v>376</v>
      </c>
      <c r="I287" t="s">
        <v>586</v>
      </c>
      <c r="L287" t="s">
        <v>312</v>
      </c>
      <c r="M287" t="s">
        <v>327</v>
      </c>
    </row>
    <row r="288" spans="1:13" x14ac:dyDescent="0.3">
      <c r="A288" t="s">
        <v>554</v>
      </c>
      <c r="B288" t="s">
        <v>279</v>
      </c>
      <c r="C288" t="s">
        <v>380</v>
      </c>
      <c r="D288" t="s">
        <v>9</v>
      </c>
      <c r="E288" t="s">
        <v>10</v>
      </c>
    </row>
    <row r="289" spans="1:13" x14ac:dyDescent="0.3">
      <c r="A289" t="s">
        <v>554</v>
      </c>
      <c r="B289" t="s">
        <v>279</v>
      </c>
      <c r="C289" t="s">
        <v>16</v>
      </c>
      <c r="D289" t="s">
        <v>587</v>
      </c>
      <c r="E289" t="s">
        <v>37</v>
      </c>
    </row>
    <row r="290" spans="1:13" x14ac:dyDescent="0.3">
      <c r="A290" t="s">
        <v>554</v>
      </c>
      <c r="B290" t="s">
        <v>279</v>
      </c>
      <c r="C290" t="s">
        <v>11</v>
      </c>
      <c r="D290" t="s">
        <v>12</v>
      </c>
      <c r="E290" t="s">
        <v>13</v>
      </c>
      <c r="H290" t="s">
        <v>382</v>
      </c>
      <c r="I290" t="s">
        <v>588</v>
      </c>
      <c r="L290" t="s">
        <v>14</v>
      </c>
      <c r="M290" t="s">
        <v>588</v>
      </c>
    </row>
    <row r="291" spans="1:13" x14ac:dyDescent="0.3">
      <c r="A291" t="s">
        <v>555</v>
      </c>
      <c r="B291" t="s">
        <v>282</v>
      </c>
      <c r="C291" t="s">
        <v>384</v>
      </c>
      <c r="D291" t="s">
        <v>12</v>
      </c>
      <c r="E291" t="s">
        <v>12</v>
      </c>
      <c r="H291" t="s">
        <v>376</v>
      </c>
      <c r="I291">
        <v>29.5</v>
      </c>
      <c r="L291" t="s">
        <v>312</v>
      </c>
      <c r="M291" t="s">
        <v>385</v>
      </c>
    </row>
    <row r="292" spans="1:13" x14ac:dyDescent="0.3">
      <c r="A292" t="s">
        <v>555</v>
      </c>
      <c r="B292" t="s">
        <v>282</v>
      </c>
      <c r="C292" t="s">
        <v>280</v>
      </c>
      <c r="D292" t="s">
        <v>589</v>
      </c>
      <c r="E292" t="s">
        <v>387</v>
      </c>
      <c r="H292" t="s">
        <v>25</v>
      </c>
      <c r="I292" t="s">
        <v>388</v>
      </c>
    </row>
    <row r="293" spans="1:13" x14ac:dyDescent="0.3">
      <c r="A293" t="s">
        <v>590</v>
      </c>
      <c r="B293" t="s">
        <v>390</v>
      </c>
      <c r="C293" t="s">
        <v>11</v>
      </c>
      <c r="D293" t="s">
        <v>12</v>
      </c>
      <c r="E293" t="s">
        <v>391</v>
      </c>
      <c r="H293" t="s">
        <v>392</v>
      </c>
      <c r="I293" t="s">
        <v>393</v>
      </c>
      <c r="L293" t="s">
        <v>394</v>
      </c>
      <c r="M293" t="s">
        <v>588</v>
      </c>
    </row>
    <row r="294" spans="1:13" x14ac:dyDescent="0.3">
      <c r="A294" t="s">
        <v>591</v>
      </c>
      <c r="B294" t="s">
        <v>396</v>
      </c>
      <c r="C294" t="s">
        <v>11</v>
      </c>
      <c r="D294" t="s">
        <v>12</v>
      </c>
      <c r="E294" t="s">
        <v>391</v>
      </c>
      <c r="H294" t="s">
        <v>392</v>
      </c>
      <c r="I294" t="s">
        <v>397</v>
      </c>
      <c r="L294" t="s">
        <v>394</v>
      </c>
      <c r="M294" t="s">
        <v>588</v>
      </c>
    </row>
    <row r="295" spans="1:13" x14ac:dyDescent="0.3">
      <c r="A295" t="s">
        <v>589</v>
      </c>
      <c r="B295" t="s">
        <v>387</v>
      </c>
      <c r="C295" t="s">
        <v>280</v>
      </c>
      <c r="D295" t="s">
        <v>592</v>
      </c>
      <c r="E295" t="s">
        <v>399</v>
      </c>
      <c r="H295" t="s">
        <v>25</v>
      </c>
      <c r="I295" t="s">
        <v>400</v>
      </c>
    </row>
    <row r="296" spans="1:13" x14ac:dyDescent="0.3">
      <c r="A296" t="s">
        <v>589</v>
      </c>
      <c r="B296" t="s">
        <v>387</v>
      </c>
      <c r="C296" t="s">
        <v>308</v>
      </c>
      <c r="D296" t="s">
        <v>593</v>
      </c>
      <c r="E296" t="s">
        <v>402</v>
      </c>
      <c r="H296" t="s">
        <v>25</v>
      </c>
      <c r="I296" t="s">
        <v>403</v>
      </c>
      <c r="L296" t="s">
        <v>312</v>
      </c>
      <c r="M296" t="s">
        <v>404</v>
      </c>
    </row>
    <row r="297" spans="1:13" x14ac:dyDescent="0.3">
      <c r="A297" t="s">
        <v>589</v>
      </c>
      <c r="B297" t="s">
        <v>387</v>
      </c>
      <c r="C297" t="s">
        <v>308</v>
      </c>
      <c r="D297" t="s">
        <v>594</v>
      </c>
      <c r="E297" t="s">
        <v>406</v>
      </c>
      <c r="H297" t="s">
        <v>25</v>
      </c>
      <c r="I297" t="s">
        <v>407</v>
      </c>
      <c r="L297" t="s">
        <v>312</v>
      </c>
      <c r="M297" t="s">
        <v>404</v>
      </c>
    </row>
    <row r="298" spans="1:13" x14ac:dyDescent="0.3">
      <c r="A298" t="s">
        <v>593</v>
      </c>
      <c r="B298" t="s">
        <v>402</v>
      </c>
      <c r="C298" t="s">
        <v>11</v>
      </c>
      <c r="D298" t="s">
        <v>12</v>
      </c>
      <c r="E298" t="s">
        <v>391</v>
      </c>
      <c r="H298" t="s">
        <v>392</v>
      </c>
      <c r="I298" t="s">
        <v>595</v>
      </c>
      <c r="L298" t="s">
        <v>394</v>
      </c>
      <c r="M298" t="s">
        <v>588</v>
      </c>
    </row>
    <row r="299" spans="1:13" x14ac:dyDescent="0.3">
      <c r="A299" t="s">
        <v>594</v>
      </c>
      <c r="B299" t="s">
        <v>406</v>
      </c>
      <c r="C299" t="s">
        <v>11</v>
      </c>
      <c r="D299" t="s">
        <v>12</v>
      </c>
      <c r="E299" t="s">
        <v>391</v>
      </c>
      <c r="H299" t="s">
        <v>392</v>
      </c>
      <c r="I299" t="s">
        <v>596</v>
      </c>
      <c r="L299" t="s">
        <v>394</v>
      </c>
      <c r="M299" t="s">
        <v>588</v>
      </c>
    </row>
    <row r="300" spans="1:13" x14ac:dyDescent="0.3">
      <c r="A300" t="s">
        <v>592</v>
      </c>
      <c r="B300" t="s">
        <v>399</v>
      </c>
      <c r="C300" t="s">
        <v>308</v>
      </c>
      <c r="D300" t="s">
        <v>590</v>
      </c>
      <c r="E300" t="s">
        <v>390</v>
      </c>
      <c r="H300" t="s">
        <v>25</v>
      </c>
      <c r="I300" t="s">
        <v>410</v>
      </c>
      <c r="L300" t="s">
        <v>312</v>
      </c>
      <c r="M300" t="s">
        <v>411</v>
      </c>
    </row>
    <row r="301" spans="1:13" x14ac:dyDescent="0.3">
      <c r="A301" t="s">
        <v>592</v>
      </c>
      <c r="B301" t="s">
        <v>399</v>
      </c>
      <c r="C301" t="s">
        <v>308</v>
      </c>
      <c r="D301" t="s">
        <v>591</v>
      </c>
      <c r="E301" t="s">
        <v>396</v>
      </c>
      <c r="H301" t="s">
        <v>25</v>
      </c>
      <c r="I301" t="s">
        <v>412</v>
      </c>
      <c r="L301" t="s">
        <v>312</v>
      </c>
      <c r="M301" t="s">
        <v>413</v>
      </c>
    </row>
    <row r="302" spans="1:13" x14ac:dyDescent="0.3">
      <c r="A302" t="s">
        <v>574</v>
      </c>
      <c r="B302" t="s">
        <v>345</v>
      </c>
      <c r="C302" t="s">
        <v>11</v>
      </c>
      <c r="D302" t="s">
        <v>12</v>
      </c>
      <c r="E302" t="s">
        <v>391</v>
      </c>
      <c r="H302" t="s">
        <v>392</v>
      </c>
      <c r="I302" t="s">
        <v>597</v>
      </c>
      <c r="L302" t="s">
        <v>394</v>
      </c>
      <c r="M302" t="s">
        <v>588</v>
      </c>
    </row>
    <row r="303" spans="1:13" x14ac:dyDescent="0.3">
      <c r="A303" t="s">
        <v>560</v>
      </c>
      <c r="B303" t="s">
        <v>297</v>
      </c>
      <c r="C303" t="s">
        <v>308</v>
      </c>
      <c r="D303" t="s">
        <v>598</v>
      </c>
      <c r="E303" t="s">
        <v>402</v>
      </c>
      <c r="H303" t="s">
        <v>25</v>
      </c>
      <c r="I303" t="s">
        <v>416</v>
      </c>
      <c r="L303" t="s">
        <v>312</v>
      </c>
      <c r="M303" t="s">
        <v>404</v>
      </c>
    </row>
    <row r="304" spans="1:13" x14ac:dyDescent="0.3">
      <c r="A304" t="s">
        <v>560</v>
      </c>
      <c r="B304" t="s">
        <v>297</v>
      </c>
      <c r="C304" t="s">
        <v>308</v>
      </c>
      <c r="D304" t="s">
        <v>599</v>
      </c>
      <c r="E304" t="s">
        <v>406</v>
      </c>
      <c r="H304" t="s">
        <v>25</v>
      </c>
      <c r="I304" t="s">
        <v>418</v>
      </c>
      <c r="L304" t="s">
        <v>312</v>
      </c>
      <c r="M304" t="s">
        <v>404</v>
      </c>
    </row>
    <row r="305" spans="1:13" x14ac:dyDescent="0.3">
      <c r="A305" t="s">
        <v>560</v>
      </c>
      <c r="B305" t="s">
        <v>297</v>
      </c>
      <c r="C305" t="s">
        <v>308</v>
      </c>
      <c r="D305" t="s">
        <v>600</v>
      </c>
      <c r="E305" t="s">
        <v>420</v>
      </c>
      <c r="H305" t="s">
        <v>25</v>
      </c>
      <c r="I305" t="s">
        <v>421</v>
      </c>
      <c r="L305" t="s">
        <v>312</v>
      </c>
      <c r="M305" t="s">
        <v>343</v>
      </c>
    </row>
    <row r="306" spans="1:13" x14ac:dyDescent="0.3">
      <c r="A306" t="s">
        <v>598</v>
      </c>
      <c r="B306" t="s">
        <v>402</v>
      </c>
      <c r="C306" t="s">
        <v>11</v>
      </c>
      <c r="D306" t="s">
        <v>12</v>
      </c>
      <c r="E306" t="s">
        <v>391</v>
      </c>
      <c r="H306" t="s">
        <v>392</v>
      </c>
      <c r="I306" t="s">
        <v>601</v>
      </c>
      <c r="L306" t="s">
        <v>394</v>
      </c>
      <c r="M306" t="s">
        <v>588</v>
      </c>
    </row>
    <row r="307" spans="1:13" x14ac:dyDescent="0.3">
      <c r="A307" t="s">
        <v>599</v>
      </c>
      <c r="B307" t="s">
        <v>406</v>
      </c>
      <c r="C307" t="s">
        <v>11</v>
      </c>
      <c r="D307" t="s">
        <v>12</v>
      </c>
      <c r="E307" t="s">
        <v>391</v>
      </c>
      <c r="H307" t="s">
        <v>392</v>
      </c>
      <c r="I307" t="s">
        <v>602</v>
      </c>
      <c r="L307" t="s">
        <v>394</v>
      </c>
      <c r="M307" t="s">
        <v>588</v>
      </c>
    </row>
    <row r="308" spans="1:13" x14ac:dyDescent="0.3">
      <c r="A308" t="s">
        <v>600</v>
      </c>
      <c r="B308" t="s">
        <v>420</v>
      </c>
      <c r="C308" t="s">
        <v>11</v>
      </c>
      <c r="D308" t="s">
        <v>12</v>
      </c>
      <c r="E308" t="s">
        <v>391</v>
      </c>
      <c r="H308" t="s">
        <v>392</v>
      </c>
      <c r="I308" t="s">
        <v>603</v>
      </c>
      <c r="L308" t="s">
        <v>394</v>
      </c>
      <c r="M308" t="s">
        <v>588</v>
      </c>
    </row>
    <row r="309" spans="1:13" x14ac:dyDescent="0.3">
      <c r="A309" t="s">
        <v>578</v>
      </c>
      <c r="B309" t="s">
        <v>358</v>
      </c>
      <c r="C309" t="s">
        <v>11</v>
      </c>
      <c r="D309" t="s">
        <v>12</v>
      </c>
      <c r="E309" t="s">
        <v>391</v>
      </c>
      <c r="H309" t="s">
        <v>392</v>
      </c>
      <c r="I309" t="s">
        <v>604</v>
      </c>
      <c r="L309" t="s">
        <v>394</v>
      </c>
      <c r="M309" t="s">
        <v>588</v>
      </c>
    </row>
    <row r="310" spans="1:13" x14ac:dyDescent="0.3">
      <c r="A310" t="s">
        <v>563</v>
      </c>
      <c r="B310" t="s">
        <v>306</v>
      </c>
      <c r="C310" t="s">
        <v>308</v>
      </c>
      <c r="D310" t="s">
        <v>605</v>
      </c>
      <c r="E310" t="s">
        <v>427</v>
      </c>
      <c r="H310" t="s">
        <v>25</v>
      </c>
      <c r="I310" t="s">
        <v>428</v>
      </c>
      <c r="L310" t="s">
        <v>312</v>
      </c>
      <c r="M310" t="s">
        <v>404</v>
      </c>
    </row>
    <row r="311" spans="1:13" x14ac:dyDescent="0.3">
      <c r="A311" t="s">
        <v>605</v>
      </c>
      <c r="B311" t="s">
        <v>427</v>
      </c>
      <c r="C311" t="s">
        <v>11</v>
      </c>
      <c r="D311" t="s">
        <v>12</v>
      </c>
      <c r="E311" t="s">
        <v>391</v>
      </c>
      <c r="H311" t="s">
        <v>392</v>
      </c>
      <c r="I311" t="s">
        <v>606</v>
      </c>
      <c r="L311" t="s">
        <v>394</v>
      </c>
      <c r="M311" t="s">
        <v>588</v>
      </c>
    </row>
    <row r="312" spans="1:13" x14ac:dyDescent="0.3">
      <c r="A312" t="s">
        <v>580</v>
      </c>
      <c r="B312" t="s">
        <v>364</v>
      </c>
      <c r="C312" t="s">
        <v>11</v>
      </c>
      <c r="D312" t="s">
        <v>12</v>
      </c>
      <c r="E312" t="s">
        <v>391</v>
      </c>
      <c r="H312" t="s">
        <v>392</v>
      </c>
      <c r="I312" t="s">
        <v>607</v>
      </c>
      <c r="L312" t="s">
        <v>394</v>
      </c>
      <c r="M312" t="s">
        <v>588</v>
      </c>
    </row>
    <row r="313" spans="1:13" x14ac:dyDescent="0.3">
      <c r="A313" t="s">
        <v>569</v>
      </c>
      <c r="B313" t="s">
        <v>329</v>
      </c>
      <c r="C313" t="s">
        <v>11</v>
      </c>
      <c r="D313" t="s">
        <v>12</v>
      </c>
      <c r="E313" t="s">
        <v>391</v>
      </c>
      <c r="H313" t="s">
        <v>392</v>
      </c>
      <c r="I313" t="s">
        <v>608</v>
      </c>
      <c r="L313" t="s">
        <v>394</v>
      </c>
      <c r="M313" t="s">
        <v>588</v>
      </c>
    </row>
    <row r="314" spans="1:13" x14ac:dyDescent="0.3">
      <c r="A314" t="s">
        <v>559</v>
      </c>
      <c r="B314" t="s">
        <v>294</v>
      </c>
      <c r="C314" t="s">
        <v>308</v>
      </c>
      <c r="D314" t="s">
        <v>609</v>
      </c>
      <c r="E314" t="s">
        <v>402</v>
      </c>
      <c r="H314" t="s">
        <v>25</v>
      </c>
      <c r="I314" t="s">
        <v>433</v>
      </c>
      <c r="L314" t="s">
        <v>312</v>
      </c>
      <c r="M314" t="s">
        <v>404</v>
      </c>
    </row>
    <row r="315" spans="1:13" x14ac:dyDescent="0.3">
      <c r="A315" t="s">
        <v>559</v>
      </c>
      <c r="B315" t="s">
        <v>294</v>
      </c>
      <c r="C315" t="s">
        <v>308</v>
      </c>
      <c r="D315" t="s">
        <v>610</v>
      </c>
      <c r="E315" t="s">
        <v>406</v>
      </c>
      <c r="H315" t="s">
        <v>25</v>
      </c>
      <c r="I315" t="s">
        <v>435</v>
      </c>
      <c r="L315" t="s">
        <v>312</v>
      </c>
      <c r="M315" t="s">
        <v>404</v>
      </c>
    </row>
    <row r="316" spans="1:13" x14ac:dyDescent="0.3">
      <c r="A316" t="s">
        <v>609</v>
      </c>
      <c r="B316" t="s">
        <v>402</v>
      </c>
      <c r="C316" t="s">
        <v>11</v>
      </c>
      <c r="D316" t="s">
        <v>12</v>
      </c>
      <c r="E316" t="s">
        <v>391</v>
      </c>
      <c r="H316" t="s">
        <v>392</v>
      </c>
      <c r="I316" t="s">
        <v>611</v>
      </c>
      <c r="L316" t="s">
        <v>394</v>
      </c>
      <c r="M316" t="s">
        <v>588</v>
      </c>
    </row>
    <row r="317" spans="1:13" x14ac:dyDescent="0.3">
      <c r="A317" t="s">
        <v>610</v>
      </c>
      <c r="B317" t="s">
        <v>406</v>
      </c>
      <c r="C317" t="s">
        <v>11</v>
      </c>
      <c r="D317" t="s">
        <v>12</v>
      </c>
      <c r="E317" t="s">
        <v>391</v>
      </c>
      <c r="H317" t="s">
        <v>392</v>
      </c>
      <c r="I317" t="s">
        <v>612</v>
      </c>
      <c r="L317" t="s">
        <v>394</v>
      </c>
      <c r="M317" t="s">
        <v>588</v>
      </c>
    </row>
    <row r="318" spans="1:13" x14ac:dyDescent="0.3">
      <c r="A318" t="s">
        <v>564</v>
      </c>
      <c r="B318" t="s">
        <v>310</v>
      </c>
      <c r="C318" t="s">
        <v>11</v>
      </c>
      <c r="D318" t="s">
        <v>12</v>
      </c>
      <c r="E318" t="s">
        <v>391</v>
      </c>
      <c r="H318" t="s">
        <v>392</v>
      </c>
      <c r="I318" t="s">
        <v>613</v>
      </c>
      <c r="L318" t="s">
        <v>394</v>
      </c>
      <c r="M318" t="s">
        <v>588</v>
      </c>
    </row>
    <row r="319" spans="1:13" x14ac:dyDescent="0.3">
      <c r="A319" t="s">
        <v>565</v>
      </c>
      <c r="B319" t="s">
        <v>315</v>
      </c>
      <c r="C319" t="s">
        <v>11</v>
      </c>
      <c r="D319" t="s">
        <v>12</v>
      </c>
      <c r="E319" t="s">
        <v>391</v>
      </c>
      <c r="H319" t="s">
        <v>392</v>
      </c>
      <c r="I319" t="s">
        <v>614</v>
      </c>
      <c r="L319" t="s">
        <v>394</v>
      </c>
      <c r="M319" t="s">
        <v>588</v>
      </c>
    </row>
    <row r="320" spans="1:13" x14ac:dyDescent="0.3">
      <c r="A320" t="s">
        <v>557</v>
      </c>
      <c r="B320" t="s">
        <v>288</v>
      </c>
      <c r="C320" t="s">
        <v>308</v>
      </c>
      <c r="D320" t="s">
        <v>615</v>
      </c>
      <c r="E320" t="s">
        <v>402</v>
      </c>
      <c r="H320" t="s">
        <v>25</v>
      </c>
      <c r="I320" t="s">
        <v>441</v>
      </c>
      <c r="L320" t="s">
        <v>312</v>
      </c>
      <c r="M320" t="s">
        <v>404</v>
      </c>
    </row>
    <row r="321" spans="1:13" x14ac:dyDescent="0.3">
      <c r="A321" t="s">
        <v>557</v>
      </c>
      <c r="B321" t="s">
        <v>288</v>
      </c>
      <c r="C321" t="s">
        <v>308</v>
      </c>
      <c r="D321" t="s">
        <v>616</v>
      </c>
      <c r="E321" t="s">
        <v>406</v>
      </c>
      <c r="H321" t="s">
        <v>25</v>
      </c>
      <c r="I321" t="s">
        <v>443</v>
      </c>
      <c r="L321" t="s">
        <v>312</v>
      </c>
      <c r="M321" t="s">
        <v>404</v>
      </c>
    </row>
    <row r="322" spans="1:13" x14ac:dyDescent="0.3">
      <c r="A322" t="s">
        <v>557</v>
      </c>
      <c r="B322" t="s">
        <v>288</v>
      </c>
      <c r="C322" t="s">
        <v>308</v>
      </c>
      <c r="D322" t="s">
        <v>617</v>
      </c>
      <c r="E322" t="s">
        <v>420</v>
      </c>
      <c r="H322" t="s">
        <v>25</v>
      </c>
      <c r="I322" t="s">
        <v>445</v>
      </c>
      <c r="L322" t="s">
        <v>312</v>
      </c>
      <c r="M322" t="s">
        <v>343</v>
      </c>
    </row>
    <row r="323" spans="1:13" x14ac:dyDescent="0.3">
      <c r="A323" t="s">
        <v>615</v>
      </c>
      <c r="B323" t="s">
        <v>402</v>
      </c>
      <c r="C323" t="s">
        <v>11</v>
      </c>
      <c r="D323" t="s">
        <v>12</v>
      </c>
      <c r="E323" t="s">
        <v>391</v>
      </c>
      <c r="H323" t="s">
        <v>392</v>
      </c>
      <c r="I323" t="s">
        <v>618</v>
      </c>
      <c r="L323" t="s">
        <v>394</v>
      </c>
      <c r="M323" t="s">
        <v>588</v>
      </c>
    </row>
    <row r="324" spans="1:13" x14ac:dyDescent="0.3">
      <c r="A324" t="s">
        <v>616</v>
      </c>
      <c r="B324" t="s">
        <v>406</v>
      </c>
      <c r="C324" t="s">
        <v>11</v>
      </c>
      <c r="D324" t="s">
        <v>12</v>
      </c>
      <c r="E324" t="s">
        <v>391</v>
      </c>
      <c r="H324" t="s">
        <v>392</v>
      </c>
      <c r="I324" t="s">
        <v>619</v>
      </c>
      <c r="L324" t="s">
        <v>394</v>
      </c>
      <c r="M324" t="s">
        <v>588</v>
      </c>
    </row>
    <row r="325" spans="1:13" x14ac:dyDescent="0.3">
      <c r="A325" t="s">
        <v>617</v>
      </c>
      <c r="B325" t="s">
        <v>420</v>
      </c>
      <c r="C325" t="s">
        <v>11</v>
      </c>
      <c r="D325" t="s">
        <v>12</v>
      </c>
      <c r="E325" t="s">
        <v>391</v>
      </c>
      <c r="H325" t="s">
        <v>392</v>
      </c>
      <c r="I325" t="s">
        <v>620</v>
      </c>
      <c r="L325" t="s">
        <v>394</v>
      </c>
      <c r="M325" t="s">
        <v>588</v>
      </c>
    </row>
    <row r="326" spans="1:13" x14ac:dyDescent="0.3">
      <c r="A326" t="s">
        <v>575</v>
      </c>
      <c r="B326" t="s">
        <v>348</v>
      </c>
      <c r="C326" t="s">
        <v>11</v>
      </c>
      <c r="D326" t="s">
        <v>12</v>
      </c>
      <c r="E326" t="s">
        <v>391</v>
      </c>
      <c r="H326" t="s">
        <v>392</v>
      </c>
      <c r="I326" t="s">
        <v>621</v>
      </c>
      <c r="L326" t="s">
        <v>394</v>
      </c>
      <c r="M326" t="s">
        <v>588</v>
      </c>
    </row>
    <row r="327" spans="1:13" x14ac:dyDescent="0.3">
      <c r="A327" t="s">
        <v>573</v>
      </c>
      <c r="B327" t="s">
        <v>341</v>
      </c>
      <c r="C327" t="s">
        <v>11</v>
      </c>
      <c r="D327" t="s">
        <v>12</v>
      </c>
      <c r="E327" t="s">
        <v>391</v>
      </c>
      <c r="H327" t="s">
        <v>392</v>
      </c>
      <c r="I327" t="s">
        <v>622</v>
      </c>
      <c r="L327" t="s">
        <v>394</v>
      </c>
      <c r="M327" t="s">
        <v>588</v>
      </c>
    </row>
    <row r="328" spans="1:13" x14ac:dyDescent="0.3">
      <c r="A328" t="s">
        <v>579</v>
      </c>
      <c r="B328" t="s">
        <v>361</v>
      </c>
      <c r="C328" t="s">
        <v>11</v>
      </c>
      <c r="D328" t="s">
        <v>12</v>
      </c>
      <c r="E328" t="s">
        <v>391</v>
      </c>
      <c r="H328" t="s">
        <v>392</v>
      </c>
      <c r="I328" t="s">
        <v>623</v>
      </c>
      <c r="L328" t="s">
        <v>394</v>
      </c>
      <c r="M328" t="s">
        <v>588</v>
      </c>
    </row>
    <row r="329" spans="1:13" x14ac:dyDescent="0.3">
      <c r="A329" t="s">
        <v>568</v>
      </c>
      <c r="B329" t="s">
        <v>325</v>
      </c>
      <c r="C329" t="s">
        <v>11</v>
      </c>
      <c r="D329" t="s">
        <v>12</v>
      </c>
      <c r="E329" t="s">
        <v>391</v>
      </c>
      <c r="H329" t="s">
        <v>392</v>
      </c>
      <c r="I329" t="s">
        <v>624</v>
      </c>
      <c r="L329" t="s">
        <v>394</v>
      </c>
      <c r="M329" t="s">
        <v>588</v>
      </c>
    </row>
    <row r="330" spans="1:13" x14ac:dyDescent="0.3">
      <c r="A330" t="s">
        <v>583</v>
      </c>
      <c r="B330" t="s">
        <v>453</v>
      </c>
      <c r="C330" t="s">
        <v>11</v>
      </c>
      <c r="D330" t="s">
        <v>12</v>
      </c>
      <c r="E330" t="s">
        <v>391</v>
      </c>
      <c r="H330" t="s">
        <v>392</v>
      </c>
      <c r="I330" t="s">
        <v>454</v>
      </c>
      <c r="L330" t="s">
        <v>394</v>
      </c>
      <c r="M330" t="s">
        <v>588</v>
      </c>
    </row>
    <row r="331" spans="1:13" x14ac:dyDescent="0.3">
      <c r="A331" t="s">
        <v>566</v>
      </c>
      <c r="B331" t="s">
        <v>319</v>
      </c>
      <c r="C331" t="s">
        <v>11</v>
      </c>
      <c r="D331" t="s">
        <v>12</v>
      </c>
      <c r="E331" t="s">
        <v>391</v>
      </c>
      <c r="H331" t="s">
        <v>392</v>
      </c>
      <c r="I331" t="s">
        <v>625</v>
      </c>
      <c r="L331" t="s">
        <v>394</v>
      </c>
      <c r="M331" t="s">
        <v>588</v>
      </c>
    </row>
    <row r="332" spans="1:13" x14ac:dyDescent="0.3">
      <c r="A332" t="s">
        <v>567</v>
      </c>
      <c r="B332" t="s">
        <v>322</v>
      </c>
      <c r="C332" t="s">
        <v>11</v>
      </c>
      <c r="D332" t="s">
        <v>12</v>
      </c>
      <c r="E332" t="s">
        <v>391</v>
      </c>
      <c r="H332" t="s">
        <v>392</v>
      </c>
      <c r="I332" t="s">
        <v>626</v>
      </c>
      <c r="L332" t="s">
        <v>394</v>
      </c>
      <c r="M332" t="s">
        <v>588</v>
      </c>
    </row>
    <row r="333" spans="1:13" x14ac:dyDescent="0.3">
      <c r="A333" t="s">
        <v>558</v>
      </c>
      <c r="B333" t="s">
        <v>291</v>
      </c>
      <c r="C333" t="s">
        <v>308</v>
      </c>
      <c r="D333" t="s">
        <v>627</v>
      </c>
      <c r="E333" t="s">
        <v>458</v>
      </c>
      <c r="H333" t="s">
        <v>25</v>
      </c>
      <c r="I333" t="s">
        <v>459</v>
      </c>
      <c r="L333" t="s">
        <v>312</v>
      </c>
      <c r="M333" t="s">
        <v>404</v>
      </c>
    </row>
    <row r="334" spans="1:13" x14ac:dyDescent="0.3">
      <c r="A334" t="s">
        <v>558</v>
      </c>
      <c r="B334" t="s">
        <v>291</v>
      </c>
      <c r="C334" t="s">
        <v>308</v>
      </c>
      <c r="D334" t="s">
        <v>628</v>
      </c>
      <c r="E334" t="s">
        <v>461</v>
      </c>
      <c r="H334" t="s">
        <v>25</v>
      </c>
      <c r="I334" t="s">
        <v>462</v>
      </c>
      <c r="L334" t="s">
        <v>312</v>
      </c>
      <c r="M334" t="s">
        <v>404</v>
      </c>
    </row>
    <row r="335" spans="1:13" x14ac:dyDescent="0.3">
      <c r="A335" t="s">
        <v>558</v>
      </c>
      <c r="B335" t="s">
        <v>291</v>
      </c>
      <c r="C335" t="s">
        <v>308</v>
      </c>
      <c r="D335" t="s">
        <v>629</v>
      </c>
      <c r="E335" t="s">
        <v>464</v>
      </c>
      <c r="H335" t="s">
        <v>25</v>
      </c>
      <c r="I335" t="s">
        <v>465</v>
      </c>
      <c r="L335" t="s">
        <v>312</v>
      </c>
      <c r="M335" t="s">
        <v>404</v>
      </c>
    </row>
    <row r="336" spans="1:13" x14ac:dyDescent="0.3">
      <c r="A336" t="s">
        <v>558</v>
      </c>
      <c r="B336" t="s">
        <v>291</v>
      </c>
      <c r="C336" t="s">
        <v>308</v>
      </c>
      <c r="D336" t="s">
        <v>630</v>
      </c>
      <c r="E336" t="s">
        <v>467</v>
      </c>
      <c r="H336" t="s">
        <v>25</v>
      </c>
      <c r="I336" t="s">
        <v>468</v>
      </c>
      <c r="L336" t="s">
        <v>312</v>
      </c>
      <c r="M336" t="s">
        <v>404</v>
      </c>
    </row>
    <row r="337" spans="1:13" x14ac:dyDescent="0.3">
      <c r="A337" t="s">
        <v>558</v>
      </c>
      <c r="B337" t="s">
        <v>291</v>
      </c>
      <c r="C337" t="s">
        <v>308</v>
      </c>
      <c r="D337" t="s">
        <v>631</v>
      </c>
      <c r="E337" t="s">
        <v>470</v>
      </c>
      <c r="H337" t="s">
        <v>25</v>
      </c>
      <c r="I337" t="s">
        <v>471</v>
      </c>
      <c r="L337" t="s">
        <v>312</v>
      </c>
      <c r="M337" t="s">
        <v>404</v>
      </c>
    </row>
    <row r="338" spans="1:13" x14ac:dyDescent="0.3">
      <c r="A338" t="s">
        <v>627</v>
      </c>
      <c r="B338" t="s">
        <v>458</v>
      </c>
      <c r="C338" t="s">
        <v>11</v>
      </c>
      <c r="D338" t="s">
        <v>12</v>
      </c>
      <c r="E338" t="s">
        <v>391</v>
      </c>
      <c r="H338" t="s">
        <v>392</v>
      </c>
      <c r="I338" t="s">
        <v>632</v>
      </c>
      <c r="L338" t="s">
        <v>394</v>
      </c>
      <c r="M338" t="s">
        <v>588</v>
      </c>
    </row>
    <row r="339" spans="1:13" x14ac:dyDescent="0.3">
      <c r="A339" t="s">
        <v>628</v>
      </c>
      <c r="B339" t="s">
        <v>461</v>
      </c>
      <c r="C339" t="s">
        <v>11</v>
      </c>
      <c r="D339" t="s">
        <v>12</v>
      </c>
      <c r="E339" t="s">
        <v>391</v>
      </c>
      <c r="H339" t="s">
        <v>392</v>
      </c>
      <c r="I339" t="s">
        <v>633</v>
      </c>
      <c r="L339" t="s">
        <v>394</v>
      </c>
      <c r="M339" t="s">
        <v>588</v>
      </c>
    </row>
    <row r="340" spans="1:13" x14ac:dyDescent="0.3">
      <c r="A340" t="s">
        <v>629</v>
      </c>
      <c r="B340" t="s">
        <v>464</v>
      </c>
      <c r="C340" t="s">
        <v>11</v>
      </c>
      <c r="D340" t="s">
        <v>12</v>
      </c>
      <c r="E340" t="s">
        <v>391</v>
      </c>
      <c r="H340" t="s">
        <v>392</v>
      </c>
      <c r="I340" t="s">
        <v>634</v>
      </c>
      <c r="L340" t="s">
        <v>394</v>
      </c>
      <c r="M340" t="s">
        <v>588</v>
      </c>
    </row>
    <row r="341" spans="1:13" x14ac:dyDescent="0.3">
      <c r="A341" t="s">
        <v>630</v>
      </c>
      <c r="B341" t="s">
        <v>467</v>
      </c>
      <c r="C341" t="s">
        <v>11</v>
      </c>
      <c r="D341" t="s">
        <v>12</v>
      </c>
      <c r="E341" t="s">
        <v>391</v>
      </c>
      <c r="H341" t="s">
        <v>392</v>
      </c>
      <c r="I341" t="s">
        <v>635</v>
      </c>
      <c r="L341" t="s">
        <v>394</v>
      </c>
      <c r="M341" t="s">
        <v>588</v>
      </c>
    </row>
    <row r="342" spans="1:13" x14ac:dyDescent="0.3">
      <c r="A342" t="s">
        <v>631</v>
      </c>
      <c r="B342" t="s">
        <v>470</v>
      </c>
      <c r="C342" t="s">
        <v>11</v>
      </c>
      <c r="D342" t="s">
        <v>12</v>
      </c>
      <c r="E342" t="s">
        <v>391</v>
      </c>
      <c r="H342" t="s">
        <v>392</v>
      </c>
      <c r="I342" t="s">
        <v>636</v>
      </c>
      <c r="L342" t="s">
        <v>394</v>
      </c>
      <c r="M342" t="s">
        <v>588</v>
      </c>
    </row>
    <row r="343" spans="1:13" x14ac:dyDescent="0.3">
      <c r="A343" t="s">
        <v>561</v>
      </c>
      <c r="B343" t="s">
        <v>300</v>
      </c>
      <c r="C343" t="s">
        <v>280</v>
      </c>
      <c r="D343" t="s">
        <v>637</v>
      </c>
      <c r="E343" t="s">
        <v>478</v>
      </c>
      <c r="H343" t="s">
        <v>25</v>
      </c>
      <c r="I343" t="s">
        <v>479</v>
      </c>
    </row>
    <row r="344" spans="1:13" x14ac:dyDescent="0.3">
      <c r="A344" t="s">
        <v>561</v>
      </c>
      <c r="B344" t="s">
        <v>300</v>
      </c>
      <c r="C344" t="s">
        <v>308</v>
      </c>
      <c r="D344" t="s">
        <v>638</v>
      </c>
      <c r="E344" t="s">
        <v>481</v>
      </c>
      <c r="H344" t="s">
        <v>25</v>
      </c>
      <c r="I344" t="s">
        <v>482</v>
      </c>
      <c r="L344" t="s">
        <v>312</v>
      </c>
      <c r="M344" t="s">
        <v>343</v>
      </c>
    </row>
    <row r="345" spans="1:13" x14ac:dyDescent="0.3">
      <c r="A345" t="s">
        <v>561</v>
      </c>
      <c r="B345" t="s">
        <v>300</v>
      </c>
      <c r="C345" t="s">
        <v>308</v>
      </c>
      <c r="D345" t="s">
        <v>639</v>
      </c>
      <c r="E345" t="s">
        <v>484</v>
      </c>
      <c r="H345" t="s">
        <v>25</v>
      </c>
      <c r="I345" t="s">
        <v>485</v>
      </c>
      <c r="L345" t="s">
        <v>312</v>
      </c>
      <c r="M345" t="s">
        <v>343</v>
      </c>
    </row>
    <row r="346" spans="1:13" x14ac:dyDescent="0.3">
      <c r="A346" t="s">
        <v>638</v>
      </c>
      <c r="B346" t="s">
        <v>481</v>
      </c>
      <c r="C346" t="s">
        <v>11</v>
      </c>
      <c r="D346" t="s">
        <v>12</v>
      </c>
      <c r="E346" t="s">
        <v>391</v>
      </c>
      <c r="H346" t="s">
        <v>392</v>
      </c>
      <c r="I346" t="s">
        <v>640</v>
      </c>
      <c r="L346" t="s">
        <v>394</v>
      </c>
      <c r="M346" t="s">
        <v>588</v>
      </c>
    </row>
    <row r="347" spans="1:13" x14ac:dyDescent="0.3">
      <c r="A347" t="s">
        <v>637</v>
      </c>
      <c r="B347" t="s">
        <v>478</v>
      </c>
      <c r="C347" t="s">
        <v>280</v>
      </c>
      <c r="D347" t="s">
        <v>641</v>
      </c>
      <c r="E347" t="s">
        <v>488</v>
      </c>
      <c r="H347" t="s">
        <v>25</v>
      </c>
      <c r="I347" t="s">
        <v>489</v>
      </c>
    </row>
    <row r="348" spans="1:13" x14ac:dyDescent="0.3">
      <c r="A348" t="s">
        <v>637</v>
      </c>
      <c r="B348" t="s">
        <v>478</v>
      </c>
      <c r="C348" t="s">
        <v>308</v>
      </c>
      <c r="D348" t="s">
        <v>642</v>
      </c>
      <c r="E348" t="s">
        <v>491</v>
      </c>
      <c r="H348" t="s">
        <v>25</v>
      </c>
      <c r="I348" t="s">
        <v>492</v>
      </c>
      <c r="L348" t="s">
        <v>312</v>
      </c>
      <c r="M348" t="s">
        <v>404</v>
      </c>
    </row>
    <row r="349" spans="1:13" x14ac:dyDescent="0.3">
      <c r="A349" t="s">
        <v>637</v>
      </c>
      <c r="B349" t="s">
        <v>478</v>
      </c>
      <c r="C349" t="s">
        <v>308</v>
      </c>
      <c r="D349" t="s">
        <v>643</v>
      </c>
      <c r="E349" t="s">
        <v>494</v>
      </c>
      <c r="H349" t="s">
        <v>25</v>
      </c>
      <c r="I349" t="s">
        <v>495</v>
      </c>
      <c r="L349" t="s">
        <v>312</v>
      </c>
      <c r="M349" t="s">
        <v>496</v>
      </c>
    </row>
    <row r="350" spans="1:13" x14ac:dyDescent="0.3">
      <c r="A350" t="s">
        <v>641</v>
      </c>
      <c r="B350" t="s">
        <v>488</v>
      </c>
      <c r="C350" t="s">
        <v>308</v>
      </c>
      <c r="D350" t="s">
        <v>644</v>
      </c>
      <c r="E350" t="s">
        <v>498</v>
      </c>
      <c r="H350" t="s">
        <v>25</v>
      </c>
      <c r="I350" t="s">
        <v>499</v>
      </c>
      <c r="L350" t="s">
        <v>312</v>
      </c>
      <c r="M350" t="s">
        <v>385</v>
      </c>
    </row>
    <row r="351" spans="1:13" x14ac:dyDescent="0.3">
      <c r="A351" t="s">
        <v>641</v>
      </c>
      <c r="B351" t="s">
        <v>488</v>
      </c>
      <c r="C351" t="s">
        <v>308</v>
      </c>
      <c r="D351" t="s">
        <v>645</v>
      </c>
      <c r="E351" t="s">
        <v>501</v>
      </c>
      <c r="H351" t="s">
        <v>25</v>
      </c>
      <c r="I351" t="s">
        <v>502</v>
      </c>
      <c r="L351" t="s">
        <v>312</v>
      </c>
      <c r="M351" t="s">
        <v>503</v>
      </c>
    </row>
    <row r="352" spans="1:13" x14ac:dyDescent="0.3">
      <c r="A352" t="s">
        <v>645</v>
      </c>
      <c r="B352" t="s">
        <v>501</v>
      </c>
      <c r="C352" t="s">
        <v>11</v>
      </c>
      <c r="D352" t="s">
        <v>12</v>
      </c>
      <c r="E352" t="s">
        <v>391</v>
      </c>
      <c r="H352" t="s">
        <v>392</v>
      </c>
      <c r="I352" t="s">
        <v>646</v>
      </c>
      <c r="L352" t="s">
        <v>394</v>
      </c>
      <c r="M352" t="s">
        <v>588</v>
      </c>
    </row>
    <row r="353" spans="1:13" x14ac:dyDescent="0.3">
      <c r="A353" t="s">
        <v>644</v>
      </c>
      <c r="B353" t="s">
        <v>498</v>
      </c>
      <c r="C353" t="s">
        <v>11</v>
      </c>
      <c r="D353" t="s">
        <v>12</v>
      </c>
      <c r="E353" t="s">
        <v>391</v>
      </c>
      <c r="H353" t="s">
        <v>392</v>
      </c>
      <c r="I353" t="s">
        <v>647</v>
      </c>
      <c r="L353" t="s">
        <v>394</v>
      </c>
      <c r="M353" t="s">
        <v>588</v>
      </c>
    </row>
    <row r="354" spans="1:13" x14ac:dyDescent="0.3">
      <c r="A354" t="s">
        <v>642</v>
      </c>
      <c r="B354" t="s">
        <v>491</v>
      </c>
      <c r="C354" t="s">
        <v>11</v>
      </c>
      <c r="D354" t="s">
        <v>12</v>
      </c>
      <c r="E354" t="s">
        <v>391</v>
      </c>
      <c r="H354" t="s">
        <v>392</v>
      </c>
      <c r="I354" t="s">
        <v>648</v>
      </c>
      <c r="L354" t="s">
        <v>394</v>
      </c>
      <c r="M354" t="s">
        <v>588</v>
      </c>
    </row>
    <row r="355" spans="1:13" x14ac:dyDescent="0.3">
      <c r="A355" t="s">
        <v>643</v>
      </c>
      <c r="B355" t="s">
        <v>494</v>
      </c>
      <c r="C355" t="s">
        <v>11</v>
      </c>
      <c r="D355" t="s">
        <v>12</v>
      </c>
      <c r="E355" t="s">
        <v>391</v>
      </c>
      <c r="H355" t="s">
        <v>392</v>
      </c>
      <c r="I355" t="s">
        <v>649</v>
      </c>
      <c r="L355" t="s">
        <v>394</v>
      </c>
      <c r="M355" t="s">
        <v>588</v>
      </c>
    </row>
    <row r="356" spans="1:13" x14ac:dyDescent="0.3">
      <c r="A356" t="s">
        <v>639</v>
      </c>
      <c r="B356" t="s">
        <v>484</v>
      </c>
      <c r="C356" t="s">
        <v>11</v>
      </c>
      <c r="D356" t="s">
        <v>12</v>
      </c>
      <c r="E356" t="s">
        <v>391</v>
      </c>
      <c r="H356" t="s">
        <v>392</v>
      </c>
      <c r="I356" t="s">
        <v>650</v>
      </c>
      <c r="L356" t="s">
        <v>394</v>
      </c>
      <c r="M356" t="s">
        <v>588</v>
      </c>
    </row>
    <row r="357" spans="1:13" x14ac:dyDescent="0.3">
      <c r="A357" t="s">
        <v>570</v>
      </c>
      <c r="B357" t="s">
        <v>332</v>
      </c>
      <c r="C357" t="s">
        <v>11</v>
      </c>
      <c r="D357" t="s">
        <v>12</v>
      </c>
      <c r="E357" t="s">
        <v>391</v>
      </c>
      <c r="H357" t="s">
        <v>392</v>
      </c>
      <c r="I357" t="s">
        <v>651</v>
      </c>
      <c r="L357" t="s">
        <v>394</v>
      </c>
      <c r="M357" t="s">
        <v>588</v>
      </c>
    </row>
    <row r="358" spans="1:13" s="22" customFormat="1" x14ac:dyDescent="0.3">
      <c r="A358" s="22" t="s">
        <v>581</v>
      </c>
      <c r="B358" s="22" t="s">
        <v>367</v>
      </c>
      <c r="C358" s="22" t="s">
        <v>11</v>
      </c>
      <c r="D358" s="22" t="s">
        <v>12</v>
      </c>
      <c r="E358" s="22" t="s">
        <v>391</v>
      </c>
      <c r="H358" s="22" t="s">
        <v>392</v>
      </c>
      <c r="I358" s="22" t="s">
        <v>652</v>
      </c>
      <c r="L358" s="22" t="s">
        <v>394</v>
      </c>
      <c r="M358" s="22" t="s">
        <v>588</v>
      </c>
    </row>
    <row r="359" spans="1:13" s="22" customFormat="1" x14ac:dyDescent="0.3">
      <c r="A359" s="22" t="s">
        <v>581</v>
      </c>
      <c r="B359" s="23" t="s">
        <v>367</v>
      </c>
      <c r="C359" s="22" t="s">
        <v>11</v>
      </c>
      <c r="D359" s="22" t="s">
        <v>12</v>
      </c>
      <c r="E359" s="22" t="s">
        <v>391</v>
      </c>
      <c r="H359" s="22" t="s">
        <v>392</v>
      </c>
      <c r="I359" s="22" t="s">
        <v>653</v>
      </c>
      <c r="L359" s="22" t="s">
        <v>394</v>
      </c>
      <c r="M359" s="22" t="s">
        <v>588</v>
      </c>
    </row>
    <row r="360" spans="1:13" x14ac:dyDescent="0.3">
      <c r="A360" t="s">
        <v>571</v>
      </c>
      <c r="B360" t="s">
        <v>335</v>
      </c>
      <c r="C360" t="s">
        <v>11</v>
      </c>
      <c r="D360" t="s">
        <v>12</v>
      </c>
      <c r="E360" t="s">
        <v>391</v>
      </c>
      <c r="H360" t="s">
        <v>392</v>
      </c>
      <c r="I360" t="s">
        <v>654</v>
      </c>
      <c r="L360" t="s">
        <v>394</v>
      </c>
      <c r="M360" t="s">
        <v>588</v>
      </c>
    </row>
    <row r="361" spans="1:13" x14ac:dyDescent="0.3">
      <c r="A361" t="s">
        <v>576</v>
      </c>
      <c r="B361" t="s">
        <v>351</v>
      </c>
      <c r="C361" t="s">
        <v>11</v>
      </c>
      <c r="D361" t="s">
        <v>12</v>
      </c>
      <c r="E361" t="s">
        <v>391</v>
      </c>
      <c r="H361" t="s">
        <v>392</v>
      </c>
      <c r="I361" t="s">
        <v>655</v>
      </c>
      <c r="L361" t="s">
        <v>394</v>
      </c>
      <c r="M361" t="s">
        <v>588</v>
      </c>
    </row>
    <row r="362" spans="1:13" x14ac:dyDescent="0.3">
      <c r="A362" t="s">
        <v>572</v>
      </c>
      <c r="B362" t="s">
        <v>338</v>
      </c>
      <c r="C362" t="s">
        <v>11</v>
      </c>
      <c r="D362" t="s">
        <v>12</v>
      </c>
      <c r="E362" t="s">
        <v>391</v>
      </c>
      <c r="H362" t="s">
        <v>392</v>
      </c>
      <c r="I362" t="s">
        <v>656</v>
      </c>
      <c r="L362" t="s">
        <v>394</v>
      </c>
      <c r="M362" t="s">
        <v>588</v>
      </c>
    </row>
    <row r="363" spans="1:13" x14ac:dyDescent="0.3">
      <c r="A363" t="s">
        <v>562</v>
      </c>
      <c r="B363" t="s">
        <v>303</v>
      </c>
      <c r="C363" t="s">
        <v>280</v>
      </c>
      <c r="D363" t="s">
        <v>657</v>
      </c>
      <c r="E363" t="s">
        <v>478</v>
      </c>
      <c r="H363" t="s">
        <v>25</v>
      </c>
      <c r="I363" t="s">
        <v>515</v>
      </c>
    </row>
    <row r="364" spans="1:13" x14ac:dyDescent="0.3">
      <c r="A364" t="s">
        <v>562</v>
      </c>
      <c r="B364" t="s">
        <v>303</v>
      </c>
      <c r="C364" t="s">
        <v>308</v>
      </c>
      <c r="D364" t="s">
        <v>658</v>
      </c>
      <c r="E364" t="s">
        <v>484</v>
      </c>
      <c r="H364" t="s">
        <v>25</v>
      </c>
      <c r="I364" t="s">
        <v>517</v>
      </c>
      <c r="L364" t="s">
        <v>312</v>
      </c>
      <c r="M364" t="s">
        <v>343</v>
      </c>
    </row>
    <row r="365" spans="1:13" x14ac:dyDescent="0.3">
      <c r="A365" t="s">
        <v>562</v>
      </c>
      <c r="B365" t="s">
        <v>303</v>
      </c>
      <c r="C365" t="s">
        <v>308</v>
      </c>
      <c r="D365" t="s">
        <v>659</v>
      </c>
      <c r="E365" t="s">
        <v>481</v>
      </c>
      <c r="H365" t="s">
        <v>25</v>
      </c>
      <c r="I365" t="s">
        <v>519</v>
      </c>
      <c r="L365" t="s">
        <v>312</v>
      </c>
      <c r="M365" t="s">
        <v>343</v>
      </c>
    </row>
    <row r="366" spans="1:13" x14ac:dyDescent="0.3">
      <c r="A366" t="s">
        <v>562</v>
      </c>
      <c r="B366" t="s">
        <v>303</v>
      </c>
      <c r="C366" t="s">
        <v>308</v>
      </c>
      <c r="D366" t="s">
        <v>660</v>
      </c>
      <c r="E366" t="s">
        <v>521</v>
      </c>
      <c r="H366" t="s">
        <v>25</v>
      </c>
      <c r="I366" t="s">
        <v>522</v>
      </c>
      <c r="L366" t="s">
        <v>312</v>
      </c>
      <c r="M366" t="s">
        <v>343</v>
      </c>
    </row>
    <row r="367" spans="1:13" x14ac:dyDescent="0.3">
      <c r="A367" t="s">
        <v>562</v>
      </c>
      <c r="B367" t="s">
        <v>303</v>
      </c>
      <c r="C367" t="s">
        <v>308</v>
      </c>
      <c r="D367" t="s">
        <v>661</v>
      </c>
      <c r="E367" s="1" t="s">
        <v>524</v>
      </c>
      <c r="H367" t="s">
        <v>25</v>
      </c>
      <c r="I367" t="s">
        <v>525</v>
      </c>
      <c r="L367" t="s">
        <v>312</v>
      </c>
      <c r="M367" t="s">
        <v>343</v>
      </c>
    </row>
    <row r="368" spans="1:13" x14ac:dyDescent="0.3">
      <c r="A368" t="s">
        <v>562</v>
      </c>
      <c r="B368" t="s">
        <v>303</v>
      </c>
      <c r="C368" t="s">
        <v>308</v>
      </c>
      <c r="D368" t="s">
        <v>662</v>
      </c>
      <c r="E368" t="s">
        <v>527</v>
      </c>
      <c r="H368" t="s">
        <v>25</v>
      </c>
      <c r="I368" t="s">
        <v>528</v>
      </c>
      <c r="L368" t="s">
        <v>312</v>
      </c>
      <c r="M368" t="s">
        <v>343</v>
      </c>
    </row>
    <row r="369" spans="1:13" x14ac:dyDescent="0.3">
      <c r="A369" t="s">
        <v>659</v>
      </c>
      <c r="B369" t="s">
        <v>481</v>
      </c>
      <c r="C369" t="s">
        <v>11</v>
      </c>
      <c r="D369" t="s">
        <v>12</v>
      </c>
      <c r="E369" t="s">
        <v>391</v>
      </c>
      <c r="H369" t="s">
        <v>392</v>
      </c>
      <c r="I369" t="s">
        <v>663</v>
      </c>
      <c r="L369" t="s">
        <v>394</v>
      </c>
      <c r="M369" t="s">
        <v>588</v>
      </c>
    </row>
    <row r="370" spans="1:13" x14ac:dyDescent="0.3">
      <c r="A370" t="s">
        <v>661</v>
      </c>
      <c r="B370" s="1" t="s">
        <v>524</v>
      </c>
      <c r="C370" t="s">
        <v>11</v>
      </c>
      <c r="D370" t="s">
        <v>12</v>
      </c>
      <c r="E370" t="s">
        <v>391</v>
      </c>
      <c r="H370" t="s">
        <v>392</v>
      </c>
      <c r="I370" t="s">
        <v>664</v>
      </c>
      <c r="L370" t="s">
        <v>394</v>
      </c>
      <c r="M370" t="s">
        <v>588</v>
      </c>
    </row>
    <row r="371" spans="1:13" x14ac:dyDescent="0.3">
      <c r="A371" t="s">
        <v>660</v>
      </c>
      <c r="B371" s="1" t="s">
        <v>521</v>
      </c>
      <c r="C371" t="s">
        <v>11</v>
      </c>
      <c r="D371" t="s">
        <v>12</v>
      </c>
      <c r="E371" t="s">
        <v>391</v>
      </c>
      <c r="H371" t="s">
        <v>392</v>
      </c>
      <c r="I371" t="s">
        <v>665</v>
      </c>
      <c r="L371" t="s">
        <v>394</v>
      </c>
      <c r="M371" t="s">
        <v>588</v>
      </c>
    </row>
    <row r="372" spans="1:13" x14ac:dyDescent="0.3">
      <c r="A372" t="s">
        <v>657</v>
      </c>
      <c r="B372" t="s">
        <v>478</v>
      </c>
      <c r="C372" t="s">
        <v>280</v>
      </c>
      <c r="D372" t="s">
        <v>666</v>
      </c>
      <c r="E372" t="s">
        <v>488</v>
      </c>
      <c r="H372" t="s">
        <v>25</v>
      </c>
      <c r="I372" t="s">
        <v>489</v>
      </c>
    </row>
    <row r="373" spans="1:13" x14ac:dyDescent="0.3">
      <c r="A373" t="s">
        <v>657</v>
      </c>
      <c r="B373" t="s">
        <v>478</v>
      </c>
      <c r="C373" t="s">
        <v>308</v>
      </c>
      <c r="D373" t="s">
        <v>667</v>
      </c>
      <c r="E373" t="s">
        <v>491</v>
      </c>
      <c r="H373" t="s">
        <v>25</v>
      </c>
      <c r="I373" t="s">
        <v>534</v>
      </c>
      <c r="L373" t="s">
        <v>312</v>
      </c>
      <c r="M373" t="s">
        <v>404</v>
      </c>
    </row>
    <row r="374" spans="1:13" x14ac:dyDescent="0.3">
      <c r="A374" t="s">
        <v>657</v>
      </c>
      <c r="B374" t="s">
        <v>478</v>
      </c>
      <c r="C374" t="s">
        <v>308</v>
      </c>
      <c r="D374" t="s">
        <v>668</v>
      </c>
      <c r="E374" t="s">
        <v>494</v>
      </c>
      <c r="H374" t="s">
        <v>25</v>
      </c>
      <c r="I374" t="s">
        <v>536</v>
      </c>
      <c r="L374" t="s">
        <v>312</v>
      </c>
      <c r="M374" t="s">
        <v>496</v>
      </c>
    </row>
    <row r="375" spans="1:13" x14ac:dyDescent="0.3">
      <c r="A375" t="s">
        <v>657</v>
      </c>
      <c r="B375" t="s">
        <v>478</v>
      </c>
      <c r="C375" t="s">
        <v>537</v>
      </c>
      <c r="D375" t="s">
        <v>12</v>
      </c>
      <c r="E375" t="s">
        <v>12</v>
      </c>
      <c r="H375" t="s">
        <v>376</v>
      </c>
      <c r="I375">
        <v>50</v>
      </c>
      <c r="L375" t="s">
        <v>312</v>
      </c>
      <c r="M375" t="s">
        <v>538</v>
      </c>
    </row>
    <row r="376" spans="1:13" x14ac:dyDescent="0.3">
      <c r="A376" t="s">
        <v>657</v>
      </c>
      <c r="B376" t="s">
        <v>478</v>
      </c>
      <c r="C376" t="s">
        <v>539</v>
      </c>
      <c r="D376" t="s">
        <v>12</v>
      </c>
      <c r="E376" t="s">
        <v>12</v>
      </c>
      <c r="H376" t="s">
        <v>376</v>
      </c>
      <c r="I376">
        <v>22</v>
      </c>
      <c r="L376" t="s">
        <v>312</v>
      </c>
      <c r="M376" t="s">
        <v>385</v>
      </c>
    </row>
    <row r="377" spans="1:13" x14ac:dyDescent="0.3">
      <c r="A377" t="s">
        <v>657</v>
      </c>
      <c r="B377" t="s">
        <v>478</v>
      </c>
      <c r="C377" t="s">
        <v>540</v>
      </c>
      <c r="D377" t="s">
        <v>12</v>
      </c>
      <c r="E377" t="s">
        <v>12</v>
      </c>
      <c r="H377" t="s">
        <v>376</v>
      </c>
      <c r="I377">
        <v>415</v>
      </c>
      <c r="L377" t="s">
        <v>312</v>
      </c>
      <c r="M377" t="s">
        <v>541</v>
      </c>
    </row>
    <row r="378" spans="1:13" x14ac:dyDescent="0.3">
      <c r="A378" t="s">
        <v>669</v>
      </c>
      <c r="B378" t="s">
        <v>501</v>
      </c>
      <c r="C378" t="s">
        <v>11</v>
      </c>
      <c r="D378" t="s">
        <v>12</v>
      </c>
      <c r="E378" t="s">
        <v>391</v>
      </c>
      <c r="H378" t="s">
        <v>392</v>
      </c>
      <c r="I378" t="s">
        <v>670</v>
      </c>
      <c r="L378" t="s">
        <v>394</v>
      </c>
      <c r="M378" t="s">
        <v>588</v>
      </c>
    </row>
    <row r="379" spans="1:13" x14ac:dyDescent="0.3">
      <c r="A379" t="s">
        <v>666</v>
      </c>
      <c r="B379" t="s">
        <v>488</v>
      </c>
      <c r="C379" t="s">
        <v>308</v>
      </c>
      <c r="D379" t="s">
        <v>671</v>
      </c>
      <c r="E379" t="s">
        <v>498</v>
      </c>
      <c r="H379" t="s">
        <v>25</v>
      </c>
      <c r="I379" t="s">
        <v>545</v>
      </c>
      <c r="L379" t="s">
        <v>312</v>
      </c>
      <c r="M379" t="s">
        <v>385</v>
      </c>
    </row>
    <row r="380" spans="1:13" x14ac:dyDescent="0.3">
      <c r="A380" t="s">
        <v>666</v>
      </c>
      <c r="B380" t="s">
        <v>488</v>
      </c>
      <c r="C380" t="s">
        <v>308</v>
      </c>
      <c r="D380" t="s">
        <v>669</v>
      </c>
      <c r="E380" t="s">
        <v>501</v>
      </c>
      <c r="H380" t="s">
        <v>25</v>
      </c>
      <c r="I380" t="s">
        <v>546</v>
      </c>
      <c r="L380" t="s">
        <v>312</v>
      </c>
      <c r="M380" t="s">
        <v>503</v>
      </c>
    </row>
    <row r="381" spans="1:13" x14ac:dyDescent="0.3">
      <c r="A381" t="s">
        <v>671</v>
      </c>
      <c r="B381" t="s">
        <v>498</v>
      </c>
      <c r="C381" t="s">
        <v>11</v>
      </c>
      <c r="D381" t="s">
        <v>12</v>
      </c>
      <c r="E381" t="s">
        <v>391</v>
      </c>
      <c r="H381" t="s">
        <v>392</v>
      </c>
      <c r="I381" t="s">
        <v>672</v>
      </c>
      <c r="L381" t="s">
        <v>394</v>
      </c>
      <c r="M381" t="s">
        <v>588</v>
      </c>
    </row>
    <row r="382" spans="1:13" x14ac:dyDescent="0.3">
      <c r="A382" t="s">
        <v>667</v>
      </c>
      <c r="B382" t="s">
        <v>491</v>
      </c>
      <c r="C382" t="s">
        <v>11</v>
      </c>
      <c r="D382" t="s">
        <v>12</v>
      </c>
      <c r="E382" t="s">
        <v>391</v>
      </c>
      <c r="H382" t="s">
        <v>392</v>
      </c>
      <c r="I382" t="s">
        <v>673</v>
      </c>
      <c r="L382" t="s">
        <v>394</v>
      </c>
      <c r="M382" t="s">
        <v>588</v>
      </c>
    </row>
    <row r="383" spans="1:13" x14ac:dyDescent="0.3">
      <c r="A383" t="s">
        <v>668</v>
      </c>
      <c r="B383" t="s">
        <v>494</v>
      </c>
      <c r="C383" t="s">
        <v>11</v>
      </c>
      <c r="D383" t="s">
        <v>12</v>
      </c>
      <c r="E383" t="s">
        <v>391</v>
      </c>
      <c r="H383" t="s">
        <v>392</v>
      </c>
      <c r="I383" t="s">
        <v>674</v>
      </c>
      <c r="L383" t="s">
        <v>394</v>
      </c>
      <c r="M383" t="s">
        <v>588</v>
      </c>
    </row>
    <row r="384" spans="1:13" x14ac:dyDescent="0.3">
      <c r="A384" t="s">
        <v>662</v>
      </c>
      <c r="B384" t="s">
        <v>550</v>
      </c>
      <c r="C384" t="s">
        <v>11</v>
      </c>
      <c r="D384" t="s">
        <v>12</v>
      </c>
      <c r="E384" t="s">
        <v>391</v>
      </c>
      <c r="H384" t="s">
        <v>392</v>
      </c>
      <c r="I384" t="s">
        <v>675</v>
      </c>
      <c r="L384" t="s">
        <v>394</v>
      </c>
      <c r="M384" t="s">
        <v>588</v>
      </c>
    </row>
    <row r="385" spans="1:13" x14ac:dyDescent="0.3">
      <c r="A385" t="s">
        <v>658</v>
      </c>
      <c r="B385" t="s">
        <v>484</v>
      </c>
      <c r="C385" t="s">
        <v>11</v>
      </c>
      <c r="D385" t="s">
        <v>12</v>
      </c>
      <c r="E385" t="s">
        <v>391</v>
      </c>
      <c r="H385" t="s">
        <v>392</v>
      </c>
      <c r="I385" t="s">
        <v>676</v>
      </c>
      <c r="L385" t="s">
        <v>394</v>
      </c>
      <c r="M385" t="s">
        <v>588</v>
      </c>
    </row>
    <row r="386" spans="1:13" x14ac:dyDescent="0.3">
      <c r="A386" t="s">
        <v>577</v>
      </c>
      <c r="B386" t="s">
        <v>355</v>
      </c>
      <c r="C386" t="s">
        <v>11</v>
      </c>
      <c r="D386" t="s">
        <v>12</v>
      </c>
      <c r="E386" t="s">
        <v>391</v>
      </c>
      <c r="H386" t="s">
        <v>392</v>
      </c>
      <c r="I386" t="s">
        <v>677</v>
      </c>
      <c r="L386" t="s">
        <v>394</v>
      </c>
      <c r="M386" t="s">
        <v>588</v>
      </c>
    </row>
    <row r="387" spans="1:13" x14ac:dyDescent="0.3">
      <c r="A387" t="s">
        <v>678</v>
      </c>
      <c r="B387" t="s">
        <v>279</v>
      </c>
      <c r="C387" t="s">
        <v>280</v>
      </c>
      <c r="D387" t="s">
        <v>679</v>
      </c>
      <c r="E387" t="s">
        <v>282</v>
      </c>
      <c r="H387" t="s">
        <v>25</v>
      </c>
      <c r="I387" t="s">
        <v>283</v>
      </c>
    </row>
    <row r="388" spans="1:13" x14ac:dyDescent="0.3">
      <c r="A388" t="s">
        <v>678</v>
      </c>
      <c r="B388" t="s">
        <v>279</v>
      </c>
      <c r="C388" t="s">
        <v>280</v>
      </c>
      <c r="D388" t="s">
        <v>680</v>
      </c>
      <c r="E388" t="s">
        <v>285</v>
      </c>
      <c r="H388" t="s">
        <v>25</v>
      </c>
      <c r="I388" t="s">
        <v>286</v>
      </c>
    </row>
    <row r="389" spans="1:13" x14ac:dyDescent="0.3">
      <c r="A389" t="s">
        <v>678</v>
      </c>
      <c r="B389" t="s">
        <v>279</v>
      </c>
      <c r="C389" t="s">
        <v>280</v>
      </c>
      <c r="D389" t="s">
        <v>681</v>
      </c>
      <c r="E389" t="s">
        <v>288</v>
      </c>
      <c r="H389" t="s">
        <v>25</v>
      </c>
      <c r="I389" t="s">
        <v>289</v>
      </c>
    </row>
    <row r="390" spans="1:13" x14ac:dyDescent="0.3">
      <c r="A390" t="s">
        <v>678</v>
      </c>
      <c r="B390" t="s">
        <v>279</v>
      </c>
      <c r="C390" t="s">
        <v>280</v>
      </c>
      <c r="D390" t="s">
        <v>682</v>
      </c>
      <c r="E390" t="s">
        <v>291</v>
      </c>
      <c r="H390" t="s">
        <v>25</v>
      </c>
      <c r="I390" t="s">
        <v>292</v>
      </c>
    </row>
    <row r="391" spans="1:13" x14ac:dyDescent="0.3">
      <c r="A391" t="s">
        <v>678</v>
      </c>
      <c r="B391" t="s">
        <v>279</v>
      </c>
      <c r="C391" t="s">
        <v>280</v>
      </c>
      <c r="D391" t="s">
        <v>683</v>
      </c>
      <c r="E391" t="s">
        <v>294</v>
      </c>
      <c r="H391" t="s">
        <v>25</v>
      </c>
      <c r="I391" t="s">
        <v>295</v>
      </c>
    </row>
    <row r="392" spans="1:13" x14ac:dyDescent="0.3">
      <c r="A392" t="s">
        <v>678</v>
      </c>
      <c r="B392" t="s">
        <v>279</v>
      </c>
      <c r="C392" t="s">
        <v>280</v>
      </c>
      <c r="D392" t="s">
        <v>684</v>
      </c>
      <c r="E392" t="s">
        <v>297</v>
      </c>
      <c r="H392" t="s">
        <v>25</v>
      </c>
      <c r="I392" t="s">
        <v>298</v>
      </c>
    </row>
    <row r="393" spans="1:13" x14ac:dyDescent="0.3">
      <c r="A393" t="s">
        <v>678</v>
      </c>
      <c r="B393" t="s">
        <v>279</v>
      </c>
      <c r="C393" t="s">
        <v>280</v>
      </c>
      <c r="D393" t="s">
        <v>685</v>
      </c>
      <c r="E393" t="s">
        <v>300</v>
      </c>
      <c r="H393" t="s">
        <v>25</v>
      </c>
      <c r="I393" t="s">
        <v>301</v>
      </c>
    </row>
    <row r="394" spans="1:13" x14ac:dyDescent="0.3">
      <c r="A394" t="s">
        <v>678</v>
      </c>
      <c r="B394" t="s">
        <v>279</v>
      </c>
      <c r="C394" t="s">
        <v>280</v>
      </c>
      <c r="D394" t="s">
        <v>686</v>
      </c>
      <c r="E394" t="s">
        <v>303</v>
      </c>
      <c r="H394" t="s">
        <v>25</v>
      </c>
      <c r="I394" t="s">
        <v>304</v>
      </c>
    </row>
    <row r="395" spans="1:13" x14ac:dyDescent="0.3">
      <c r="A395" t="s">
        <v>678</v>
      </c>
      <c r="B395" t="s">
        <v>279</v>
      </c>
      <c r="C395" t="s">
        <v>280</v>
      </c>
      <c r="D395" t="s">
        <v>687</v>
      </c>
      <c r="E395" t="s">
        <v>306</v>
      </c>
      <c r="H395" t="s">
        <v>25</v>
      </c>
      <c r="I395" t="s">
        <v>307</v>
      </c>
    </row>
    <row r="396" spans="1:13" x14ac:dyDescent="0.3">
      <c r="A396" t="s">
        <v>678</v>
      </c>
      <c r="B396" t="s">
        <v>279</v>
      </c>
      <c r="C396" t="s">
        <v>308</v>
      </c>
      <c r="D396" t="s">
        <v>688</v>
      </c>
      <c r="E396" t="s">
        <v>310</v>
      </c>
      <c r="H396" t="s">
        <v>25</v>
      </c>
      <c r="I396" t="s">
        <v>311</v>
      </c>
      <c r="L396" t="s">
        <v>312</v>
      </c>
      <c r="M396" t="s">
        <v>313</v>
      </c>
    </row>
    <row r="397" spans="1:13" x14ac:dyDescent="0.3">
      <c r="A397" t="s">
        <v>678</v>
      </c>
      <c r="B397" t="s">
        <v>279</v>
      </c>
      <c r="C397" t="s">
        <v>308</v>
      </c>
      <c r="D397" t="s">
        <v>689</v>
      </c>
      <c r="E397" t="s">
        <v>315</v>
      </c>
      <c r="H397" t="s">
        <v>25</v>
      </c>
      <c r="I397" t="s">
        <v>316</v>
      </c>
      <c r="L397" t="s">
        <v>312</v>
      </c>
      <c r="M397" t="s">
        <v>317</v>
      </c>
    </row>
    <row r="398" spans="1:13" x14ac:dyDescent="0.3">
      <c r="A398" t="s">
        <v>678</v>
      </c>
      <c r="B398" t="s">
        <v>279</v>
      </c>
      <c r="C398" t="s">
        <v>308</v>
      </c>
      <c r="D398" t="s">
        <v>690</v>
      </c>
      <c r="E398" t="s">
        <v>319</v>
      </c>
      <c r="H398" t="s">
        <v>25</v>
      </c>
      <c r="I398" t="s">
        <v>320</v>
      </c>
      <c r="L398" t="s">
        <v>312</v>
      </c>
      <c r="M398" t="s">
        <v>313</v>
      </c>
    </row>
    <row r="399" spans="1:13" x14ac:dyDescent="0.3">
      <c r="A399" t="s">
        <v>678</v>
      </c>
      <c r="B399" t="s">
        <v>279</v>
      </c>
      <c r="C399" t="s">
        <v>308</v>
      </c>
      <c r="D399" t="s">
        <v>691</v>
      </c>
      <c r="E399" t="s">
        <v>322</v>
      </c>
      <c r="H399" t="s">
        <v>25</v>
      </c>
      <c r="I399" t="s">
        <v>323</v>
      </c>
      <c r="L399" t="s">
        <v>312</v>
      </c>
      <c r="M399" t="s">
        <v>317</v>
      </c>
    </row>
    <row r="400" spans="1:13" x14ac:dyDescent="0.3">
      <c r="A400" t="s">
        <v>678</v>
      </c>
      <c r="B400" t="s">
        <v>279</v>
      </c>
      <c r="C400" t="s">
        <v>308</v>
      </c>
      <c r="D400" t="s">
        <v>692</v>
      </c>
      <c r="E400" t="s">
        <v>325</v>
      </c>
      <c r="H400" t="s">
        <v>25</v>
      </c>
      <c r="I400" t="s">
        <v>326</v>
      </c>
      <c r="L400" t="s">
        <v>312</v>
      </c>
      <c r="M400" t="s">
        <v>327</v>
      </c>
    </row>
    <row r="401" spans="1:13" x14ac:dyDescent="0.3">
      <c r="A401" t="s">
        <v>678</v>
      </c>
      <c r="B401" t="s">
        <v>279</v>
      </c>
      <c r="C401" t="s">
        <v>308</v>
      </c>
      <c r="D401" t="s">
        <v>693</v>
      </c>
      <c r="E401" t="s">
        <v>329</v>
      </c>
      <c r="H401" t="s">
        <v>25</v>
      </c>
      <c r="I401" t="s">
        <v>330</v>
      </c>
      <c r="L401" t="s">
        <v>312</v>
      </c>
      <c r="M401" t="s">
        <v>317</v>
      </c>
    </row>
    <row r="402" spans="1:13" x14ac:dyDescent="0.3">
      <c r="A402" t="s">
        <v>678</v>
      </c>
      <c r="B402" t="s">
        <v>279</v>
      </c>
      <c r="C402" t="s">
        <v>308</v>
      </c>
      <c r="D402" t="s">
        <v>694</v>
      </c>
      <c r="E402" t="s">
        <v>332</v>
      </c>
      <c r="H402" t="s">
        <v>25</v>
      </c>
      <c r="I402" t="s">
        <v>333</v>
      </c>
      <c r="L402" t="s">
        <v>312</v>
      </c>
      <c r="M402" t="s">
        <v>327</v>
      </c>
    </row>
    <row r="403" spans="1:13" x14ac:dyDescent="0.3">
      <c r="A403" t="s">
        <v>678</v>
      </c>
      <c r="B403" t="s">
        <v>279</v>
      </c>
      <c r="C403" t="s">
        <v>308</v>
      </c>
      <c r="D403" t="s">
        <v>695</v>
      </c>
      <c r="E403" t="s">
        <v>335</v>
      </c>
      <c r="H403" t="s">
        <v>25</v>
      </c>
      <c r="I403" t="s">
        <v>336</v>
      </c>
      <c r="L403" t="s">
        <v>312</v>
      </c>
      <c r="M403" t="s">
        <v>313</v>
      </c>
    </row>
    <row r="404" spans="1:13" x14ac:dyDescent="0.3">
      <c r="A404" t="s">
        <v>678</v>
      </c>
      <c r="B404" t="s">
        <v>279</v>
      </c>
      <c r="C404" t="s">
        <v>308</v>
      </c>
      <c r="D404" t="s">
        <v>696</v>
      </c>
      <c r="E404" t="s">
        <v>338</v>
      </c>
      <c r="H404" t="s">
        <v>25</v>
      </c>
      <c r="I404" t="s">
        <v>339</v>
      </c>
      <c r="L404" t="s">
        <v>312</v>
      </c>
      <c r="M404" t="s">
        <v>317</v>
      </c>
    </row>
    <row r="405" spans="1:13" x14ac:dyDescent="0.3">
      <c r="A405" t="s">
        <v>678</v>
      </c>
      <c r="B405" t="s">
        <v>279</v>
      </c>
      <c r="C405" t="s">
        <v>308</v>
      </c>
      <c r="D405" t="s">
        <v>697</v>
      </c>
      <c r="E405" t="s">
        <v>341</v>
      </c>
      <c r="H405" t="s">
        <v>25</v>
      </c>
      <c r="I405" t="s">
        <v>342</v>
      </c>
      <c r="L405" t="s">
        <v>312</v>
      </c>
      <c r="M405" t="s">
        <v>343</v>
      </c>
    </row>
    <row r="406" spans="1:13" x14ac:dyDescent="0.3">
      <c r="A406" t="s">
        <v>678</v>
      </c>
      <c r="B406" t="s">
        <v>279</v>
      </c>
      <c r="C406" t="s">
        <v>308</v>
      </c>
      <c r="D406" t="s">
        <v>698</v>
      </c>
      <c r="E406" t="s">
        <v>345</v>
      </c>
      <c r="H406" t="s">
        <v>25</v>
      </c>
      <c r="I406" t="s">
        <v>346</v>
      </c>
      <c r="L406" t="s">
        <v>312</v>
      </c>
      <c r="M406" t="s">
        <v>313</v>
      </c>
    </row>
    <row r="407" spans="1:13" x14ac:dyDescent="0.3">
      <c r="A407" t="s">
        <v>678</v>
      </c>
      <c r="B407" t="s">
        <v>279</v>
      </c>
      <c r="C407" t="s">
        <v>308</v>
      </c>
      <c r="D407" t="s">
        <v>699</v>
      </c>
      <c r="E407" t="s">
        <v>348</v>
      </c>
      <c r="H407" t="s">
        <v>25</v>
      </c>
      <c r="I407" t="s">
        <v>349</v>
      </c>
      <c r="L407" t="s">
        <v>312</v>
      </c>
      <c r="M407" t="s">
        <v>317</v>
      </c>
    </row>
    <row r="408" spans="1:13" x14ac:dyDescent="0.3">
      <c r="A408" t="s">
        <v>678</v>
      </c>
      <c r="B408" t="s">
        <v>279</v>
      </c>
      <c r="C408" t="s">
        <v>308</v>
      </c>
      <c r="D408" t="s">
        <v>700</v>
      </c>
      <c r="E408" t="s">
        <v>355</v>
      </c>
      <c r="H408" t="s">
        <v>25</v>
      </c>
      <c r="I408" t="s">
        <v>356</v>
      </c>
      <c r="L408" t="s">
        <v>312</v>
      </c>
      <c r="M408" t="s">
        <v>317</v>
      </c>
    </row>
    <row r="409" spans="1:13" x14ac:dyDescent="0.3">
      <c r="A409" t="s">
        <v>678</v>
      </c>
      <c r="B409" t="s">
        <v>279</v>
      </c>
      <c r="C409" t="s">
        <v>308</v>
      </c>
      <c r="D409" t="s">
        <v>701</v>
      </c>
      <c r="E409" t="s">
        <v>358</v>
      </c>
      <c r="H409" t="s">
        <v>25</v>
      </c>
      <c r="I409" t="s">
        <v>359</v>
      </c>
      <c r="L409" t="s">
        <v>312</v>
      </c>
      <c r="M409" t="s">
        <v>343</v>
      </c>
    </row>
    <row r="410" spans="1:13" x14ac:dyDescent="0.3">
      <c r="A410" t="s">
        <v>678</v>
      </c>
      <c r="B410" t="s">
        <v>279</v>
      </c>
      <c r="C410" t="s">
        <v>308</v>
      </c>
      <c r="D410" t="s">
        <v>702</v>
      </c>
      <c r="E410" t="s">
        <v>361</v>
      </c>
      <c r="H410" t="s">
        <v>25</v>
      </c>
      <c r="I410" t="s">
        <v>362</v>
      </c>
      <c r="L410" t="s">
        <v>312</v>
      </c>
      <c r="M410" t="s">
        <v>343</v>
      </c>
    </row>
    <row r="411" spans="1:13" x14ac:dyDescent="0.3">
      <c r="A411" t="s">
        <v>678</v>
      </c>
      <c r="B411" t="s">
        <v>279</v>
      </c>
      <c r="C411" t="s">
        <v>308</v>
      </c>
      <c r="D411" t="s">
        <v>703</v>
      </c>
      <c r="E411" t="s">
        <v>364</v>
      </c>
      <c r="H411" t="s">
        <v>25</v>
      </c>
      <c r="I411" t="s">
        <v>365</v>
      </c>
      <c r="L411" t="s">
        <v>312</v>
      </c>
      <c r="M411" t="s">
        <v>343</v>
      </c>
    </row>
    <row r="412" spans="1:13" x14ac:dyDescent="0.3">
      <c r="A412" t="s">
        <v>678</v>
      </c>
      <c r="B412" t="s">
        <v>279</v>
      </c>
      <c r="C412" t="s">
        <v>308</v>
      </c>
      <c r="D412" t="s">
        <v>704</v>
      </c>
      <c r="E412" t="s">
        <v>367</v>
      </c>
      <c r="H412" t="s">
        <v>25</v>
      </c>
      <c r="I412" t="s">
        <v>582</v>
      </c>
      <c r="L412" t="s">
        <v>312</v>
      </c>
      <c r="M412" t="s">
        <v>353</v>
      </c>
    </row>
    <row r="413" spans="1:13" x14ac:dyDescent="0.3">
      <c r="A413" t="s">
        <v>678</v>
      </c>
      <c r="B413" t="s">
        <v>279</v>
      </c>
      <c r="C413" t="s">
        <v>308</v>
      </c>
      <c r="D413" t="s">
        <v>705</v>
      </c>
      <c r="E413" t="s">
        <v>370</v>
      </c>
      <c r="H413" t="s">
        <v>25</v>
      </c>
      <c r="I413" t="s">
        <v>371</v>
      </c>
      <c r="L413" t="s">
        <v>312</v>
      </c>
      <c r="M413" t="s">
        <v>353</v>
      </c>
    </row>
    <row r="414" spans="1:13" x14ac:dyDescent="0.3">
      <c r="A414" t="s">
        <v>678</v>
      </c>
      <c r="B414" t="s">
        <v>279</v>
      </c>
      <c r="C414" t="s">
        <v>22</v>
      </c>
      <c r="D414" t="s">
        <v>23</v>
      </c>
      <c r="E414" t="s">
        <v>28</v>
      </c>
      <c r="F414" t="s">
        <v>25</v>
      </c>
      <c r="G414" t="s">
        <v>706</v>
      </c>
      <c r="J414" t="s">
        <v>373</v>
      </c>
      <c r="K414" t="s">
        <v>374</v>
      </c>
    </row>
    <row r="415" spans="1:13" x14ac:dyDescent="0.3">
      <c r="A415" t="s">
        <v>678</v>
      </c>
      <c r="B415" t="s">
        <v>279</v>
      </c>
      <c r="C415" t="s">
        <v>375</v>
      </c>
      <c r="D415" t="s">
        <v>12</v>
      </c>
      <c r="E415" t="s">
        <v>12</v>
      </c>
      <c r="H415" t="s">
        <v>376</v>
      </c>
      <c r="I415" t="s">
        <v>707</v>
      </c>
      <c r="L415" t="s">
        <v>312</v>
      </c>
      <c r="M415" t="s">
        <v>327</v>
      </c>
    </row>
    <row r="416" spans="1:13" x14ac:dyDescent="0.3">
      <c r="A416" t="s">
        <v>678</v>
      </c>
      <c r="B416" t="s">
        <v>279</v>
      </c>
      <c r="C416" t="s">
        <v>378</v>
      </c>
      <c r="D416" t="s">
        <v>12</v>
      </c>
      <c r="E416" t="s">
        <v>12</v>
      </c>
      <c r="H416" t="s">
        <v>376</v>
      </c>
      <c r="I416" t="s">
        <v>708</v>
      </c>
      <c r="L416" t="s">
        <v>312</v>
      </c>
      <c r="M416" t="s">
        <v>327</v>
      </c>
    </row>
    <row r="417" spans="1:13" x14ac:dyDescent="0.3">
      <c r="A417" t="s">
        <v>678</v>
      </c>
      <c r="B417" t="s">
        <v>279</v>
      </c>
      <c r="C417" t="s">
        <v>380</v>
      </c>
      <c r="D417" t="s">
        <v>9</v>
      </c>
      <c r="E417" t="s">
        <v>10</v>
      </c>
    </row>
    <row r="418" spans="1:13" x14ac:dyDescent="0.3">
      <c r="A418" t="s">
        <v>678</v>
      </c>
      <c r="B418" t="s">
        <v>279</v>
      </c>
      <c r="C418" t="s">
        <v>16</v>
      </c>
      <c r="D418" t="s">
        <v>587</v>
      </c>
      <c r="E418" t="s">
        <v>37</v>
      </c>
    </row>
    <row r="419" spans="1:13" x14ac:dyDescent="0.3">
      <c r="A419" t="s">
        <v>678</v>
      </c>
      <c r="B419" t="s">
        <v>279</v>
      </c>
      <c r="C419" t="s">
        <v>11</v>
      </c>
      <c r="D419" t="s">
        <v>12</v>
      </c>
      <c r="E419" t="s">
        <v>13</v>
      </c>
      <c r="H419" t="s">
        <v>382</v>
      </c>
      <c r="I419" t="s">
        <v>709</v>
      </c>
      <c r="L419" t="s">
        <v>14</v>
      </c>
      <c r="M419" t="s">
        <v>709</v>
      </c>
    </row>
    <row r="420" spans="1:13" x14ac:dyDescent="0.3">
      <c r="A420" t="s">
        <v>679</v>
      </c>
      <c r="B420" t="s">
        <v>282</v>
      </c>
      <c r="C420" t="s">
        <v>384</v>
      </c>
      <c r="D420" t="s">
        <v>12</v>
      </c>
      <c r="E420" t="s">
        <v>12</v>
      </c>
      <c r="H420" t="s">
        <v>376</v>
      </c>
      <c r="I420">
        <v>29.5</v>
      </c>
      <c r="L420" t="s">
        <v>312</v>
      </c>
      <c r="M420" t="s">
        <v>385</v>
      </c>
    </row>
    <row r="421" spans="1:13" x14ac:dyDescent="0.3">
      <c r="A421" t="s">
        <v>679</v>
      </c>
      <c r="B421" t="s">
        <v>282</v>
      </c>
      <c r="C421" t="s">
        <v>280</v>
      </c>
      <c r="D421" t="s">
        <v>710</v>
      </c>
      <c r="E421" t="s">
        <v>387</v>
      </c>
      <c r="H421" t="s">
        <v>25</v>
      </c>
      <c r="I421" t="s">
        <v>388</v>
      </c>
    </row>
    <row r="422" spans="1:13" x14ac:dyDescent="0.3">
      <c r="A422" t="s">
        <v>711</v>
      </c>
      <c r="B422" t="s">
        <v>390</v>
      </c>
      <c r="C422" t="s">
        <v>11</v>
      </c>
      <c r="D422" t="s">
        <v>12</v>
      </c>
      <c r="E422" t="s">
        <v>391</v>
      </c>
      <c r="H422" t="s">
        <v>392</v>
      </c>
      <c r="I422" t="s">
        <v>393</v>
      </c>
      <c r="L422" t="s">
        <v>394</v>
      </c>
      <c r="M422" t="s">
        <v>709</v>
      </c>
    </row>
    <row r="423" spans="1:13" x14ac:dyDescent="0.3">
      <c r="A423" t="s">
        <v>712</v>
      </c>
      <c r="B423" t="s">
        <v>396</v>
      </c>
      <c r="C423" t="s">
        <v>11</v>
      </c>
      <c r="D423" t="s">
        <v>12</v>
      </c>
      <c r="E423" t="s">
        <v>391</v>
      </c>
      <c r="H423" t="s">
        <v>392</v>
      </c>
      <c r="I423" t="s">
        <v>397</v>
      </c>
      <c r="L423" t="s">
        <v>394</v>
      </c>
      <c r="M423" t="s">
        <v>709</v>
      </c>
    </row>
    <row r="424" spans="1:13" x14ac:dyDescent="0.3">
      <c r="A424" t="s">
        <v>710</v>
      </c>
      <c r="B424" t="s">
        <v>387</v>
      </c>
      <c r="C424" t="s">
        <v>280</v>
      </c>
      <c r="D424" t="s">
        <v>713</v>
      </c>
      <c r="E424" t="s">
        <v>399</v>
      </c>
      <c r="H424" t="s">
        <v>25</v>
      </c>
      <c r="I424" t="s">
        <v>400</v>
      </c>
    </row>
    <row r="425" spans="1:13" x14ac:dyDescent="0.3">
      <c r="A425" t="s">
        <v>710</v>
      </c>
      <c r="B425" t="s">
        <v>387</v>
      </c>
      <c r="C425" t="s">
        <v>308</v>
      </c>
      <c r="D425" t="s">
        <v>714</v>
      </c>
      <c r="E425" t="s">
        <v>402</v>
      </c>
      <c r="H425" t="s">
        <v>25</v>
      </c>
      <c r="I425" t="s">
        <v>403</v>
      </c>
      <c r="L425" t="s">
        <v>312</v>
      </c>
      <c r="M425" t="s">
        <v>404</v>
      </c>
    </row>
    <row r="426" spans="1:13" x14ac:dyDescent="0.3">
      <c r="A426" t="s">
        <v>710</v>
      </c>
      <c r="B426" t="s">
        <v>387</v>
      </c>
      <c r="C426" t="s">
        <v>308</v>
      </c>
      <c r="D426" t="s">
        <v>715</v>
      </c>
      <c r="E426" t="s">
        <v>406</v>
      </c>
      <c r="H426" t="s">
        <v>25</v>
      </c>
      <c r="I426" t="s">
        <v>407</v>
      </c>
      <c r="L426" t="s">
        <v>312</v>
      </c>
      <c r="M426" t="s">
        <v>404</v>
      </c>
    </row>
    <row r="427" spans="1:13" x14ac:dyDescent="0.3">
      <c r="A427" t="s">
        <v>714</v>
      </c>
      <c r="B427" t="s">
        <v>402</v>
      </c>
      <c r="C427" t="s">
        <v>11</v>
      </c>
      <c r="D427" t="s">
        <v>12</v>
      </c>
      <c r="E427" t="s">
        <v>391</v>
      </c>
      <c r="H427" t="s">
        <v>392</v>
      </c>
      <c r="I427" t="s">
        <v>716</v>
      </c>
      <c r="L427" t="s">
        <v>394</v>
      </c>
      <c r="M427" t="s">
        <v>709</v>
      </c>
    </row>
    <row r="428" spans="1:13" x14ac:dyDescent="0.3">
      <c r="A428" t="s">
        <v>715</v>
      </c>
      <c r="B428" t="s">
        <v>406</v>
      </c>
      <c r="C428" t="s">
        <v>11</v>
      </c>
      <c r="D428" t="s">
        <v>12</v>
      </c>
      <c r="E428" t="s">
        <v>391</v>
      </c>
      <c r="H428" t="s">
        <v>392</v>
      </c>
      <c r="I428" t="s">
        <v>717</v>
      </c>
      <c r="L428" t="s">
        <v>394</v>
      </c>
      <c r="M428" t="s">
        <v>709</v>
      </c>
    </row>
    <row r="429" spans="1:13" x14ac:dyDescent="0.3">
      <c r="A429" t="s">
        <v>713</v>
      </c>
      <c r="B429" t="s">
        <v>399</v>
      </c>
      <c r="C429" t="s">
        <v>308</v>
      </c>
      <c r="D429" t="s">
        <v>711</v>
      </c>
      <c r="E429" t="s">
        <v>390</v>
      </c>
      <c r="H429" t="s">
        <v>25</v>
      </c>
      <c r="I429" t="s">
        <v>410</v>
      </c>
      <c r="L429" t="s">
        <v>312</v>
      </c>
      <c r="M429" t="s">
        <v>411</v>
      </c>
    </row>
    <row r="430" spans="1:13" x14ac:dyDescent="0.3">
      <c r="A430" t="s">
        <v>713</v>
      </c>
      <c r="B430" t="s">
        <v>399</v>
      </c>
      <c r="C430" t="s">
        <v>308</v>
      </c>
      <c r="D430" t="s">
        <v>712</v>
      </c>
      <c r="E430" t="s">
        <v>396</v>
      </c>
      <c r="H430" t="s">
        <v>25</v>
      </c>
      <c r="I430" t="s">
        <v>412</v>
      </c>
      <c r="L430" t="s">
        <v>312</v>
      </c>
      <c r="M430" t="s">
        <v>413</v>
      </c>
    </row>
    <row r="431" spans="1:13" x14ac:dyDescent="0.3">
      <c r="A431" t="s">
        <v>698</v>
      </c>
      <c r="B431" t="s">
        <v>345</v>
      </c>
      <c r="C431" t="s">
        <v>11</v>
      </c>
      <c r="D431" t="s">
        <v>12</v>
      </c>
      <c r="E431" t="s">
        <v>391</v>
      </c>
      <c r="H431" t="s">
        <v>392</v>
      </c>
      <c r="I431" t="s">
        <v>718</v>
      </c>
      <c r="L431" t="s">
        <v>394</v>
      </c>
      <c r="M431" t="s">
        <v>709</v>
      </c>
    </row>
    <row r="432" spans="1:13" x14ac:dyDescent="0.3">
      <c r="A432" t="s">
        <v>684</v>
      </c>
      <c r="B432" t="s">
        <v>297</v>
      </c>
      <c r="C432" t="s">
        <v>308</v>
      </c>
      <c r="D432" t="s">
        <v>719</v>
      </c>
      <c r="E432" t="s">
        <v>402</v>
      </c>
      <c r="H432" t="s">
        <v>25</v>
      </c>
      <c r="I432" t="s">
        <v>416</v>
      </c>
      <c r="L432" t="s">
        <v>312</v>
      </c>
      <c r="M432" t="s">
        <v>404</v>
      </c>
    </row>
    <row r="433" spans="1:13" x14ac:dyDescent="0.3">
      <c r="A433" t="s">
        <v>684</v>
      </c>
      <c r="B433" t="s">
        <v>297</v>
      </c>
      <c r="C433" t="s">
        <v>308</v>
      </c>
      <c r="D433" t="s">
        <v>720</v>
      </c>
      <c r="E433" t="s">
        <v>406</v>
      </c>
      <c r="H433" t="s">
        <v>25</v>
      </c>
      <c r="I433" t="s">
        <v>418</v>
      </c>
      <c r="L433" t="s">
        <v>312</v>
      </c>
      <c r="M433" t="s">
        <v>404</v>
      </c>
    </row>
    <row r="434" spans="1:13" x14ac:dyDescent="0.3">
      <c r="A434" t="s">
        <v>684</v>
      </c>
      <c r="B434" t="s">
        <v>297</v>
      </c>
      <c r="C434" t="s">
        <v>308</v>
      </c>
      <c r="D434" t="s">
        <v>721</v>
      </c>
      <c r="E434" t="s">
        <v>420</v>
      </c>
      <c r="H434" t="s">
        <v>25</v>
      </c>
      <c r="I434" t="s">
        <v>421</v>
      </c>
      <c r="L434" t="s">
        <v>312</v>
      </c>
      <c r="M434" t="s">
        <v>343</v>
      </c>
    </row>
    <row r="435" spans="1:13" x14ac:dyDescent="0.3">
      <c r="A435" t="s">
        <v>719</v>
      </c>
      <c r="B435" t="s">
        <v>402</v>
      </c>
      <c r="C435" t="s">
        <v>11</v>
      </c>
      <c r="D435" t="s">
        <v>12</v>
      </c>
      <c r="E435" t="s">
        <v>391</v>
      </c>
      <c r="H435" t="s">
        <v>392</v>
      </c>
      <c r="I435" t="s">
        <v>722</v>
      </c>
      <c r="L435" t="s">
        <v>394</v>
      </c>
      <c r="M435" t="s">
        <v>709</v>
      </c>
    </row>
    <row r="436" spans="1:13" x14ac:dyDescent="0.3">
      <c r="A436" t="s">
        <v>720</v>
      </c>
      <c r="B436" t="s">
        <v>406</v>
      </c>
      <c r="C436" t="s">
        <v>11</v>
      </c>
      <c r="D436" t="s">
        <v>12</v>
      </c>
      <c r="E436" t="s">
        <v>391</v>
      </c>
      <c r="H436" t="s">
        <v>392</v>
      </c>
      <c r="I436" t="s">
        <v>723</v>
      </c>
      <c r="L436" t="s">
        <v>394</v>
      </c>
      <c r="M436" t="s">
        <v>709</v>
      </c>
    </row>
    <row r="437" spans="1:13" x14ac:dyDescent="0.3">
      <c r="A437" t="s">
        <v>721</v>
      </c>
      <c r="B437" t="s">
        <v>420</v>
      </c>
      <c r="C437" t="s">
        <v>11</v>
      </c>
      <c r="D437" t="s">
        <v>12</v>
      </c>
      <c r="E437" t="s">
        <v>391</v>
      </c>
      <c r="H437" t="s">
        <v>392</v>
      </c>
      <c r="I437" t="s">
        <v>724</v>
      </c>
      <c r="L437" t="s">
        <v>394</v>
      </c>
      <c r="M437" t="s">
        <v>709</v>
      </c>
    </row>
    <row r="438" spans="1:13" x14ac:dyDescent="0.3">
      <c r="A438" t="s">
        <v>701</v>
      </c>
      <c r="B438" t="s">
        <v>358</v>
      </c>
      <c r="C438" t="s">
        <v>11</v>
      </c>
      <c r="D438" t="s">
        <v>12</v>
      </c>
      <c r="E438" t="s">
        <v>391</v>
      </c>
      <c r="H438" t="s">
        <v>392</v>
      </c>
      <c r="I438" t="s">
        <v>725</v>
      </c>
      <c r="L438" t="s">
        <v>394</v>
      </c>
      <c r="M438" t="s">
        <v>709</v>
      </c>
    </row>
    <row r="439" spans="1:13" x14ac:dyDescent="0.3">
      <c r="A439" t="s">
        <v>687</v>
      </c>
      <c r="B439" t="s">
        <v>306</v>
      </c>
      <c r="C439" t="s">
        <v>308</v>
      </c>
      <c r="D439" t="s">
        <v>726</v>
      </c>
      <c r="E439" t="s">
        <v>427</v>
      </c>
      <c r="H439" t="s">
        <v>25</v>
      </c>
      <c r="I439" t="s">
        <v>428</v>
      </c>
      <c r="L439" t="s">
        <v>312</v>
      </c>
      <c r="M439" t="s">
        <v>404</v>
      </c>
    </row>
    <row r="440" spans="1:13" x14ac:dyDescent="0.3">
      <c r="A440" t="s">
        <v>726</v>
      </c>
      <c r="B440" t="s">
        <v>427</v>
      </c>
      <c r="C440" t="s">
        <v>11</v>
      </c>
      <c r="D440" t="s">
        <v>12</v>
      </c>
      <c r="E440" t="s">
        <v>391</v>
      </c>
      <c r="H440" t="s">
        <v>392</v>
      </c>
      <c r="I440" t="s">
        <v>727</v>
      </c>
      <c r="L440" t="s">
        <v>394</v>
      </c>
      <c r="M440" t="s">
        <v>709</v>
      </c>
    </row>
    <row r="441" spans="1:13" x14ac:dyDescent="0.3">
      <c r="A441" t="s">
        <v>703</v>
      </c>
      <c r="B441" t="s">
        <v>364</v>
      </c>
      <c r="C441" t="s">
        <v>11</v>
      </c>
      <c r="D441" t="s">
        <v>12</v>
      </c>
      <c r="E441" t="s">
        <v>391</v>
      </c>
      <c r="H441" t="s">
        <v>392</v>
      </c>
      <c r="I441" t="s">
        <v>728</v>
      </c>
      <c r="L441" t="s">
        <v>394</v>
      </c>
      <c r="M441" t="s">
        <v>709</v>
      </c>
    </row>
    <row r="442" spans="1:13" x14ac:dyDescent="0.3">
      <c r="A442" t="s">
        <v>693</v>
      </c>
      <c r="B442" t="s">
        <v>329</v>
      </c>
      <c r="C442" t="s">
        <v>11</v>
      </c>
      <c r="D442" t="s">
        <v>12</v>
      </c>
      <c r="E442" t="s">
        <v>391</v>
      </c>
      <c r="H442" t="s">
        <v>392</v>
      </c>
      <c r="I442" t="s">
        <v>729</v>
      </c>
      <c r="L442" t="s">
        <v>394</v>
      </c>
      <c r="M442" t="s">
        <v>709</v>
      </c>
    </row>
    <row r="443" spans="1:13" x14ac:dyDescent="0.3">
      <c r="A443" t="s">
        <v>683</v>
      </c>
      <c r="B443" t="s">
        <v>294</v>
      </c>
      <c r="C443" t="s">
        <v>308</v>
      </c>
      <c r="D443" t="s">
        <v>730</v>
      </c>
      <c r="E443" t="s">
        <v>402</v>
      </c>
      <c r="H443" t="s">
        <v>25</v>
      </c>
      <c r="I443" t="s">
        <v>433</v>
      </c>
      <c r="L443" t="s">
        <v>312</v>
      </c>
      <c r="M443" t="s">
        <v>404</v>
      </c>
    </row>
    <row r="444" spans="1:13" x14ac:dyDescent="0.3">
      <c r="A444" t="s">
        <v>683</v>
      </c>
      <c r="B444" t="s">
        <v>294</v>
      </c>
      <c r="C444" t="s">
        <v>308</v>
      </c>
      <c r="D444" t="s">
        <v>731</v>
      </c>
      <c r="E444" t="s">
        <v>406</v>
      </c>
      <c r="H444" t="s">
        <v>25</v>
      </c>
      <c r="I444" t="s">
        <v>435</v>
      </c>
      <c r="L444" t="s">
        <v>312</v>
      </c>
      <c r="M444" t="s">
        <v>404</v>
      </c>
    </row>
    <row r="445" spans="1:13" x14ac:dyDescent="0.3">
      <c r="A445" t="s">
        <v>730</v>
      </c>
      <c r="B445" t="s">
        <v>402</v>
      </c>
      <c r="C445" t="s">
        <v>11</v>
      </c>
      <c r="D445" t="s">
        <v>12</v>
      </c>
      <c r="E445" t="s">
        <v>391</v>
      </c>
      <c r="H445" t="s">
        <v>392</v>
      </c>
      <c r="I445" t="s">
        <v>732</v>
      </c>
      <c r="L445" t="s">
        <v>394</v>
      </c>
      <c r="M445" t="s">
        <v>709</v>
      </c>
    </row>
    <row r="446" spans="1:13" x14ac:dyDescent="0.3">
      <c r="A446" t="s">
        <v>731</v>
      </c>
      <c r="B446" t="s">
        <v>406</v>
      </c>
      <c r="C446" t="s">
        <v>11</v>
      </c>
      <c r="D446" t="s">
        <v>12</v>
      </c>
      <c r="E446" t="s">
        <v>391</v>
      </c>
      <c r="H446" t="s">
        <v>392</v>
      </c>
      <c r="I446" t="s">
        <v>733</v>
      </c>
      <c r="L446" t="s">
        <v>394</v>
      </c>
      <c r="M446" t="s">
        <v>709</v>
      </c>
    </row>
    <row r="447" spans="1:13" x14ac:dyDescent="0.3">
      <c r="A447" t="s">
        <v>688</v>
      </c>
      <c r="B447" t="s">
        <v>310</v>
      </c>
      <c r="C447" t="s">
        <v>11</v>
      </c>
      <c r="D447" t="s">
        <v>12</v>
      </c>
      <c r="E447" t="s">
        <v>391</v>
      </c>
      <c r="H447" t="s">
        <v>392</v>
      </c>
      <c r="I447" t="s">
        <v>734</v>
      </c>
      <c r="L447" t="s">
        <v>394</v>
      </c>
      <c r="M447" t="s">
        <v>709</v>
      </c>
    </row>
    <row r="448" spans="1:13" x14ac:dyDescent="0.3">
      <c r="A448" t="s">
        <v>689</v>
      </c>
      <c r="B448" t="s">
        <v>315</v>
      </c>
      <c r="C448" t="s">
        <v>11</v>
      </c>
      <c r="D448" t="s">
        <v>12</v>
      </c>
      <c r="E448" t="s">
        <v>391</v>
      </c>
      <c r="H448" t="s">
        <v>392</v>
      </c>
      <c r="I448" t="s">
        <v>735</v>
      </c>
      <c r="L448" t="s">
        <v>394</v>
      </c>
      <c r="M448" t="s">
        <v>709</v>
      </c>
    </row>
    <row r="449" spans="1:13" x14ac:dyDescent="0.3">
      <c r="A449" t="s">
        <v>681</v>
      </c>
      <c r="B449" t="s">
        <v>288</v>
      </c>
      <c r="C449" t="s">
        <v>308</v>
      </c>
      <c r="D449" t="s">
        <v>736</v>
      </c>
      <c r="E449" t="s">
        <v>402</v>
      </c>
      <c r="H449" t="s">
        <v>25</v>
      </c>
      <c r="I449" t="s">
        <v>441</v>
      </c>
      <c r="L449" t="s">
        <v>312</v>
      </c>
      <c r="M449" t="s">
        <v>404</v>
      </c>
    </row>
    <row r="450" spans="1:13" x14ac:dyDescent="0.3">
      <c r="A450" t="s">
        <v>681</v>
      </c>
      <c r="B450" t="s">
        <v>288</v>
      </c>
      <c r="C450" t="s">
        <v>308</v>
      </c>
      <c r="D450" t="s">
        <v>737</v>
      </c>
      <c r="E450" t="s">
        <v>406</v>
      </c>
      <c r="H450" t="s">
        <v>25</v>
      </c>
      <c r="I450" t="s">
        <v>443</v>
      </c>
      <c r="L450" t="s">
        <v>312</v>
      </c>
      <c r="M450" t="s">
        <v>404</v>
      </c>
    </row>
    <row r="451" spans="1:13" x14ac:dyDescent="0.3">
      <c r="A451" t="s">
        <v>681</v>
      </c>
      <c r="B451" t="s">
        <v>288</v>
      </c>
      <c r="C451" t="s">
        <v>308</v>
      </c>
      <c r="D451" t="s">
        <v>738</v>
      </c>
      <c r="E451" t="s">
        <v>420</v>
      </c>
      <c r="H451" t="s">
        <v>25</v>
      </c>
      <c r="I451" t="s">
        <v>445</v>
      </c>
      <c r="L451" t="s">
        <v>312</v>
      </c>
      <c r="M451" t="s">
        <v>343</v>
      </c>
    </row>
    <row r="452" spans="1:13" x14ac:dyDescent="0.3">
      <c r="A452" t="s">
        <v>736</v>
      </c>
      <c r="B452" t="s">
        <v>402</v>
      </c>
      <c r="C452" t="s">
        <v>11</v>
      </c>
      <c r="D452" t="s">
        <v>12</v>
      </c>
      <c r="E452" t="s">
        <v>391</v>
      </c>
      <c r="H452" t="s">
        <v>392</v>
      </c>
      <c r="I452" t="s">
        <v>739</v>
      </c>
      <c r="L452" t="s">
        <v>394</v>
      </c>
      <c r="M452" t="s">
        <v>709</v>
      </c>
    </row>
    <row r="453" spans="1:13" x14ac:dyDescent="0.3">
      <c r="A453" t="s">
        <v>737</v>
      </c>
      <c r="B453" t="s">
        <v>406</v>
      </c>
      <c r="C453" t="s">
        <v>11</v>
      </c>
      <c r="D453" t="s">
        <v>12</v>
      </c>
      <c r="E453" t="s">
        <v>391</v>
      </c>
      <c r="H453" t="s">
        <v>392</v>
      </c>
      <c r="I453" t="s">
        <v>740</v>
      </c>
      <c r="L453" t="s">
        <v>394</v>
      </c>
      <c r="M453" t="s">
        <v>709</v>
      </c>
    </row>
    <row r="454" spans="1:13" x14ac:dyDescent="0.3">
      <c r="A454" t="s">
        <v>738</v>
      </c>
      <c r="B454" t="s">
        <v>420</v>
      </c>
      <c r="C454" t="s">
        <v>11</v>
      </c>
      <c r="D454" t="s">
        <v>12</v>
      </c>
      <c r="E454" t="s">
        <v>391</v>
      </c>
      <c r="H454" t="s">
        <v>392</v>
      </c>
      <c r="I454" t="s">
        <v>741</v>
      </c>
      <c r="L454" t="s">
        <v>394</v>
      </c>
      <c r="M454" t="s">
        <v>709</v>
      </c>
    </row>
    <row r="455" spans="1:13" x14ac:dyDescent="0.3">
      <c r="A455" t="s">
        <v>699</v>
      </c>
      <c r="B455" t="s">
        <v>348</v>
      </c>
      <c r="C455" t="s">
        <v>11</v>
      </c>
      <c r="D455" t="s">
        <v>12</v>
      </c>
      <c r="E455" t="s">
        <v>391</v>
      </c>
      <c r="H455" t="s">
        <v>392</v>
      </c>
      <c r="I455" t="s">
        <v>742</v>
      </c>
      <c r="L455" t="s">
        <v>394</v>
      </c>
      <c r="M455" t="s">
        <v>709</v>
      </c>
    </row>
    <row r="456" spans="1:13" x14ac:dyDescent="0.3">
      <c r="A456" t="s">
        <v>697</v>
      </c>
      <c r="B456" t="s">
        <v>341</v>
      </c>
      <c r="C456" t="s">
        <v>11</v>
      </c>
      <c r="D456" t="s">
        <v>12</v>
      </c>
      <c r="E456" t="s">
        <v>391</v>
      </c>
      <c r="H456" t="s">
        <v>392</v>
      </c>
      <c r="I456" t="s">
        <v>743</v>
      </c>
      <c r="L456" t="s">
        <v>394</v>
      </c>
      <c r="M456" t="s">
        <v>709</v>
      </c>
    </row>
    <row r="457" spans="1:13" x14ac:dyDescent="0.3">
      <c r="A457" t="s">
        <v>702</v>
      </c>
      <c r="B457" t="s">
        <v>361</v>
      </c>
      <c r="C457" t="s">
        <v>11</v>
      </c>
      <c r="D457" t="s">
        <v>12</v>
      </c>
      <c r="E457" t="s">
        <v>391</v>
      </c>
      <c r="H457" t="s">
        <v>392</v>
      </c>
      <c r="I457" t="s">
        <v>744</v>
      </c>
      <c r="L457" t="s">
        <v>394</v>
      </c>
      <c r="M457" t="s">
        <v>709</v>
      </c>
    </row>
    <row r="458" spans="1:13" x14ac:dyDescent="0.3">
      <c r="A458" t="s">
        <v>692</v>
      </c>
      <c r="B458" t="s">
        <v>325</v>
      </c>
      <c r="C458" t="s">
        <v>11</v>
      </c>
      <c r="D458" t="s">
        <v>12</v>
      </c>
      <c r="E458" t="s">
        <v>391</v>
      </c>
      <c r="H458" t="s">
        <v>392</v>
      </c>
      <c r="I458" t="s">
        <v>745</v>
      </c>
      <c r="L458" t="s">
        <v>394</v>
      </c>
      <c r="M458" t="s">
        <v>709</v>
      </c>
    </row>
    <row r="459" spans="1:13" x14ac:dyDescent="0.3">
      <c r="A459" t="s">
        <v>705</v>
      </c>
      <c r="B459" t="s">
        <v>453</v>
      </c>
      <c r="C459" t="s">
        <v>11</v>
      </c>
      <c r="D459" t="s">
        <v>12</v>
      </c>
      <c r="E459" t="s">
        <v>391</v>
      </c>
      <c r="H459" t="s">
        <v>392</v>
      </c>
      <c r="I459" t="s">
        <v>454</v>
      </c>
      <c r="L459" t="s">
        <v>394</v>
      </c>
      <c r="M459" t="s">
        <v>709</v>
      </c>
    </row>
    <row r="460" spans="1:13" x14ac:dyDescent="0.3">
      <c r="A460" t="s">
        <v>690</v>
      </c>
      <c r="B460" t="s">
        <v>319</v>
      </c>
      <c r="C460" t="s">
        <v>11</v>
      </c>
      <c r="D460" t="s">
        <v>12</v>
      </c>
      <c r="E460" t="s">
        <v>391</v>
      </c>
      <c r="H460" t="s">
        <v>392</v>
      </c>
      <c r="I460" t="s">
        <v>746</v>
      </c>
      <c r="L460" t="s">
        <v>394</v>
      </c>
      <c r="M460" t="s">
        <v>709</v>
      </c>
    </row>
    <row r="461" spans="1:13" x14ac:dyDescent="0.3">
      <c r="A461" t="s">
        <v>691</v>
      </c>
      <c r="B461" t="s">
        <v>322</v>
      </c>
      <c r="C461" t="s">
        <v>11</v>
      </c>
      <c r="D461" t="s">
        <v>12</v>
      </c>
      <c r="E461" t="s">
        <v>391</v>
      </c>
      <c r="H461" t="s">
        <v>392</v>
      </c>
      <c r="I461" t="s">
        <v>747</v>
      </c>
      <c r="L461" t="s">
        <v>394</v>
      </c>
      <c r="M461" t="s">
        <v>709</v>
      </c>
    </row>
    <row r="462" spans="1:13" x14ac:dyDescent="0.3">
      <c r="A462" t="s">
        <v>682</v>
      </c>
      <c r="B462" t="s">
        <v>291</v>
      </c>
      <c r="C462" t="s">
        <v>308</v>
      </c>
      <c r="D462" t="s">
        <v>748</v>
      </c>
      <c r="E462" t="s">
        <v>458</v>
      </c>
      <c r="H462" t="s">
        <v>25</v>
      </c>
      <c r="I462" t="s">
        <v>459</v>
      </c>
      <c r="L462" t="s">
        <v>312</v>
      </c>
      <c r="M462" t="s">
        <v>404</v>
      </c>
    </row>
    <row r="463" spans="1:13" x14ac:dyDescent="0.3">
      <c r="A463" t="s">
        <v>682</v>
      </c>
      <c r="B463" t="s">
        <v>291</v>
      </c>
      <c r="C463" t="s">
        <v>308</v>
      </c>
      <c r="D463" t="s">
        <v>749</v>
      </c>
      <c r="E463" t="s">
        <v>461</v>
      </c>
      <c r="H463" t="s">
        <v>25</v>
      </c>
      <c r="I463" t="s">
        <v>462</v>
      </c>
      <c r="L463" t="s">
        <v>312</v>
      </c>
      <c r="M463" t="s">
        <v>404</v>
      </c>
    </row>
    <row r="464" spans="1:13" x14ac:dyDescent="0.3">
      <c r="A464" t="s">
        <v>682</v>
      </c>
      <c r="B464" t="s">
        <v>291</v>
      </c>
      <c r="C464" t="s">
        <v>308</v>
      </c>
      <c r="D464" t="s">
        <v>750</v>
      </c>
      <c r="E464" t="s">
        <v>464</v>
      </c>
      <c r="H464" t="s">
        <v>25</v>
      </c>
      <c r="I464" t="s">
        <v>465</v>
      </c>
      <c r="L464" t="s">
        <v>312</v>
      </c>
      <c r="M464" t="s">
        <v>404</v>
      </c>
    </row>
    <row r="465" spans="1:13" x14ac:dyDescent="0.3">
      <c r="A465" t="s">
        <v>682</v>
      </c>
      <c r="B465" t="s">
        <v>291</v>
      </c>
      <c r="C465" t="s">
        <v>308</v>
      </c>
      <c r="D465" t="s">
        <v>751</v>
      </c>
      <c r="E465" t="s">
        <v>467</v>
      </c>
      <c r="H465" t="s">
        <v>25</v>
      </c>
      <c r="I465" t="s">
        <v>468</v>
      </c>
      <c r="L465" t="s">
        <v>312</v>
      </c>
      <c r="M465" t="s">
        <v>404</v>
      </c>
    </row>
    <row r="466" spans="1:13" x14ac:dyDescent="0.3">
      <c r="A466" t="s">
        <v>682</v>
      </c>
      <c r="B466" t="s">
        <v>291</v>
      </c>
      <c r="C466" t="s">
        <v>308</v>
      </c>
      <c r="D466" t="s">
        <v>752</v>
      </c>
      <c r="E466" t="s">
        <v>470</v>
      </c>
      <c r="H466" t="s">
        <v>25</v>
      </c>
      <c r="I466" t="s">
        <v>471</v>
      </c>
      <c r="L466" t="s">
        <v>312</v>
      </c>
      <c r="M466" t="s">
        <v>404</v>
      </c>
    </row>
    <row r="467" spans="1:13" x14ac:dyDescent="0.3">
      <c r="A467" t="s">
        <v>748</v>
      </c>
      <c r="B467" t="s">
        <v>458</v>
      </c>
      <c r="C467" t="s">
        <v>11</v>
      </c>
      <c r="D467" t="s">
        <v>12</v>
      </c>
      <c r="E467" t="s">
        <v>391</v>
      </c>
      <c r="H467" t="s">
        <v>392</v>
      </c>
      <c r="I467" t="s">
        <v>753</v>
      </c>
      <c r="L467" t="s">
        <v>394</v>
      </c>
      <c r="M467" t="s">
        <v>709</v>
      </c>
    </row>
    <row r="468" spans="1:13" x14ac:dyDescent="0.3">
      <c r="A468" t="s">
        <v>749</v>
      </c>
      <c r="B468" t="s">
        <v>461</v>
      </c>
      <c r="C468" t="s">
        <v>11</v>
      </c>
      <c r="D468" t="s">
        <v>12</v>
      </c>
      <c r="E468" t="s">
        <v>391</v>
      </c>
      <c r="H468" t="s">
        <v>392</v>
      </c>
      <c r="I468" t="s">
        <v>754</v>
      </c>
      <c r="L468" t="s">
        <v>394</v>
      </c>
      <c r="M468" t="s">
        <v>709</v>
      </c>
    </row>
    <row r="469" spans="1:13" x14ac:dyDescent="0.3">
      <c r="A469" t="s">
        <v>750</v>
      </c>
      <c r="B469" t="s">
        <v>464</v>
      </c>
      <c r="C469" t="s">
        <v>11</v>
      </c>
      <c r="D469" t="s">
        <v>12</v>
      </c>
      <c r="E469" t="s">
        <v>391</v>
      </c>
      <c r="H469" t="s">
        <v>392</v>
      </c>
      <c r="I469" t="s">
        <v>755</v>
      </c>
      <c r="L469" t="s">
        <v>394</v>
      </c>
      <c r="M469" t="s">
        <v>709</v>
      </c>
    </row>
    <row r="470" spans="1:13" x14ac:dyDescent="0.3">
      <c r="A470" t="s">
        <v>751</v>
      </c>
      <c r="B470" t="s">
        <v>467</v>
      </c>
      <c r="C470" t="s">
        <v>11</v>
      </c>
      <c r="D470" t="s">
        <v>12</v>
      </c>
      <c r="E470" t="s">
        <v>391</v>
      </c>
      <c r="H470" t="s">
        <v>392</v>
      </c>
      <c r="I470" t="s">
        <v>756</v>
      </c>
      <c r="L470" t="s">
        <v>394</v>
      </c>
      <c r="M470" t="s">
        <v>709</v>
      </c>
    </row>
    <row r="471" spans="1:13" x14ac:dyDescent="0.3">
      <c r="A471" t="s">
        <v>752</v>
      </c>
      <c r="B471" t="s">
        <v>470</v>
      </c>
      <c r="C471" t="s">
        <v>11</v>
      </c>
      <c r="D471" t="s">
        <v>12</v>
      </c>
      <c r="E471" t="s">
        <v>391</v>
      </c>
      <c r="H471" t="s">
        <v>392</v>
      </c>
      <c r="I471" t="s">
        <v>757</v>
      </c>
      <c r="L471" t="s">
        <v>394</v>
      </c>
      <c r="M471" t="s">
        <v>709</v>
      </c>
    </row>
    <row r="472" spans="1:13" x14ac:dyDescent="0.3">
      <c r="A472" t="s">
        <v>685</v>
      </c>
      <c r="B472" t="s">
        <v>300</v>
      </c>
      <c r="C472" t="s">
        <v>280</v>
      </c>
      <c r="D472" t="s">
        <v>758</v>
      </c>
      <c r="E472" t="s">
        <v>478</v>
      </c>
      <c r="H472" t="s">
        <v>25</v>
      </c>
      <c r="I472" t="s">
        <v>479</v>
      </c>
    </row>
    <row r="473" spans="1:13" x14ac:dyDescent="0.3">
      <c r="A473" t="s">
        <v>685</v>
      </c>
      <c r="B473" t="s">
        <v>300</v>
      </c>
      <c r="C473" t="s">
        <v>308</v>
      </c>
      <c r="D473" t="s">
        <v>759</v>
      </c>
      <c r="E473" t="s">
        <v>481</v>
      </c>
      <c r="H473" t="s">
        <v>25</v>
      </c>
      <c r="I473" t="s">
        <v>482</v>
      </c>
      <c r="L473" t="s">
        <v>312</v>
      </c>
      <c r="M473" t="s">
        <v>343</v>
      </c>
    </row>
    <row r="474" spans="1:13" x14ac:dyDescent="0.3">
      <c r="A474" t="s">
        <v>685</v>
      </c>
      <c r="B474" t="s">
        <v>300</v>
      </c>
      <c r="C474" t="s">
        <v>308</v>
      </c>
      <c r="D474" t="s">
        <v>760</v>
      </c>
      <c r="E474" t="s">
        <v>484</v>
      </c>
      <c r="H474" t="s">
        <v>25</v>
      </c>
      <c r="I474" t="s">
        <v>485</v>
      </c>
      <c r="L474" t="s">
        <v>312</v>
      </c>
      <c r="M474" t="s">
        <v>343</v>
      </c>
    </row>
    <row r="475" spans="1:13" x14ac:dyDescent="0.3">
      <c r="A475" t="s">
        <v>759</v>
      </c>
      <c r="B475" t="s">
        <v>481</v>
      </c>
      <c r="C475" t="s">
        <v>11</v>
      </c>
      <c r="D475" t="s">
        <v>12</v>
      </c>
      <c r="E475" t="s">
        <v>391</v>
      </c>
      <c r="H475" t="s">
        <v>392</v>
      </c>
      <c r="I475" t="s">
        <v>761</v>
      </c>
      <c r="L475" t="s">
        <v>394</v>
      </c>
      <c r="M475" t="s">
        <v>709</v>
      </c>
    </row>
    <row r="476" spans="1:13" x14ac:dyDescent="0.3">
      <c r="A476" t="s">
        <v>758</v>
      </c>
      <c r="B476" t="s">
        <v>478</v>
      </c>
      <c r="C476" t="s">
        <v>280</v>
      </c>
      <c r="D476" t="s">
        <v>762</v>
      </c>
      <c r="E476" t="s">
        <v>488</v>
      </c>
      <c r="H476" t="s">
        <v>25</v>
      </c>
      <c r="I476" t="s">
        <v>489</v>
      </c>
    </row>
    <row r="477" spans="1:13" x14ac:dyDescent="0.3">
      <c r="A477" t="s">
        <v>758</v>
      </c>
      <c r="B477" t="s">
        <v>478</v>
      </c>
      <c r="C477" t="s">
        <v>308</v>
      </c>
      <c r="D477" t="s">
        <v>763</v>
      </c>
      <c r="E477" t="s">
        <v>491</v>
      </c>
      <c r="H477" t="s">
        <v>25</v>
      </c>
      <c r="I477" t="s">
        <v>492</v>
      </c>
      <c r="L477" t="s">
        <v>312</v>
      </c>
      <c r="M477" t="s">
        <v>404</v>
      </c>
    </row>
    <row r="478" spans="1:13" x14ac:dyDescent="0.3">
      <c r="A478" t="s">
        <v>758</v>
      </c>
      <c r="B478" t="s">
        <v>478</v>
      </c>
      <c r="C478" t="s">
        <v>308</v>
      </c>
      <c r="D478" t="s">
        <v>764</v>
      </c>
      <c r="E478" t="s">
        <v>494</v>
      </c>
      <c r="H478" t="s">
        <v>25</v>
      </c>
      <c r="I478" t="s">
        <v>495</v>
      </c>
      <c r="L478" t="s">
        <v>312</v>
      </c>
      <c r="M478" t="s">
        <v>496</v>
      </c>
    </row>
    <row r="479" spans="1:13" x14ac:dyDescent="0.3">
      <c r="A479" t="s">
        <v>762</v>
      </c>
      <c r="B479" t="s">
        <v>488</v>
      </c>
      <c r="C479" t="s">
        <v>308</v>
      </c>
      <c r="D479" t="s">
        <v>765</v>
      </c>
      <c r="E479" t="s">
        <v>498</v>
      </c>
      <c r="H479" t="s">
        <v>25</v>
      </c>
      <c r="I479" t="s">
        <v>499</v>
      </c>
      <c r="L479" t="s">
        <v>312</v>
      </c>
      <c r="M479" t="s">
        <v>385</v>
      </c>
    </row>
    <row r="480" spans="1:13" x14ac:dyDescent="0.3">
      <c r="A480" t="s">
        <v>762</v>
      </c>
      <c r="B480" t="s">
        <v>488</v>
      </c>
      <c r="C480" t="s">
        <v>308</v>
      </c>
      <c r="D480" t="s">
        <v>766</v>
      </c>
      <c r="E480" t="s">
        <v>501</v>
      </c>
      <c r="H480" t="s">
        <v>25</v>
      </c>
      <c r="I480" t="s">
        <v>502</v>
      </c>
      <c r="L480" t="s">
        <v>312</v>
      </c>
      <c r="M480" t="s">
        <v>503</v>
      </c>
    </row>
    <row r="481" spans="1:13" x14ac:dyDescent="0.3">
      <c r="A481" t="s">
        <v>766</v>
      </c>
      <c r="B481" t="s">
        <v>501</v>
      </c>
      <c r="C481" t="s">
        <v>11</v>
      </c>
      <c r="D481" t="s">
        <v>12</v>
      </c>
      <c r="E481" t="s">
        <v>391</v>
      </c>
      <c r="H481" t="s">
        <v>392</v>
      </c>
      <c r="I481" t="s">
        <v>767</v>
      </c>
      <c r="L481" t="s">
        <v>394</v>
      </c>
      <c r="M481" t="s">
        <v>709</v>
      </c>
    </row>
    <row r="482" spans="1:13" x14ac:dyDescent="0.3">
      <c r="A482" t="s">
        <v>765</v>
      </c>
      <c r="B482" t="s">
        <v>498</v>
      </c>
      <c r="C482" t="s">
        <v>11</v>
      </c>
      <c r="D482" t="s">
        <v>12</v>
      </c>
      <c r="E482" t="s">
        <v>391</v>
      </c>
      <c r="H482" t="s">
        <v>392</v>
      </c>
      <c r="I482" t="s">
        <v>768</v>
      </c>
      <c r="L482" t="s">
        <v>394</v>
      </c>
      <c r="M482" t="s">
        <v>709</v>
      </c>
    </row>
    <row r="483" spans="1:13" x14ac:dyDescent="0.3">
      <c r="A483" t="s">
        <v>763</v>
      </c>
      <c r="B483" t="s">
        <v>491</v>
      </c>
      <c r="C483" t="s">
        <v>11</v>
      </c>
      <c r="D483" t="s">
        <v>12</v>
      </c>
      <c r="E483" t="s">
        <v>391</v>
      </c>
      <c r="H483" t="s">
        <v>392</v>
      </c>
      <c r="I483" t="s">
        <v>769</v>
      </c>
      <c r="L483" t="s">
        <v>394</v>
      </c>
      <c r="M483" t="s">
        <v>709</v>
      </c>
    </row>
    <row r="484" spans="1:13" x14ac:dyDescent="0.3">
      <c r="A484" t="s">
        <v>764</v>
      </c>
      <c r="B484" t="s">
        <v>494</v>
      </c>
      <c r="C484" t="s">
        <v>11</v>
      </c>
      <c r="D484" t="s">
        <v>12</v>
      </c>
      <c r="E484" t="s">
        <v>391</v>
      </c>
      <c r="H484" t="s">
        <v>392</v>
      </c>
      <c r="I484" t="s">
        <v>770</v>
      </c>
      <c r="L484" t="s">
        <v>394</v>
      </c>
      <c r="M484" t="s">
        <v>709</v>
      </c>
    </row>
    <row r="485" spans="1:13" x14ac:dyDescent="0.3">
      <c r="A485" t="s">
        <v>760</v>
      </c>
      <c r="B485" t="s">
        <v>484</v>
      </c>
      <c r="C485" t="s">
        <v>11</v>
      </c>
      <c r="D485" t="s">
        <v>12</v>
      </c>
      <c r="E485" t="s">
        <v>391</v>
      </c>
      <c r="H485" t="s">
        <v>392</v>
      </c>
      <c r="I485" t="s">
        <v>771</v>
      </c>
      <c r="L485" t="s">
        <v>394</v>
      </c>
      <c r="M485" t="s">
        <v>709</v>
      </c>
    </row>
    <row r="486" spans="1:13" x14ac:dyDescent="0.3">
      <c r="A486" t="s">
        <v>694</v>
      </c>
      <c r="B486" t="s">
        <v>332</v>
      </c>
      <c r="C486" t="s">
        <v>11</v>
      </c>
      <c r="D486" t="s">
        <v>12</v>
      </c>
      <c r="E486" t="s">
        <v>391</v>
      </c>
      <c r="H486" t="s">
        <v>392</v>
      </c>
      <c r="I486" t="s">
        <v>772</v>
      </c>
      <c r="L486" t="s">
        <v>394</v>
      </c>
      <c r="M486" t="s">
        <v>709</v>
      </c>
    </row>
    <row r="487" spans="1:13" s="22" customFormat="1" x14ac:dyDescent="0.3">
      <c r="A487" s="22" t="s">
        <v>704</v>
      </c>
      <c r="B487" s="22" t="s">
        <v>367</v>
      </c>
      <c r="C487" s="22" t="s">
        <v>11</v>
      </c>
      <c r="D487" s="22" t="s">
        <v>12</v>
      </c>
      <c r="E487" s="22" t="s">
        <v>391</v>
      </c>
      <c r="H487" s="22" t="s">
        <v>392</v>
      </c>
      <c r="I487" s="22" t="s">
        <v>773</v>
      </c>
      <c r="L487" s="22" t="s">
        <v>394</v>
      </c>
      <c r="M487" s="22" t="s">
        <v>709</v>
      </c>
    </row>
    <row r="488" spans="1:13" s="22" customFormat="1" x14ac:dyDescent="0.3">
      <c r="A488" s="22" t="s">
        <v>704</v>
      </c>
      <c r="B488" s="23" t="s">
        <v>367</v>
      </c>
      <c r="C488" s="22" t="s">
        <v>11</v>
      </c>
      <c r="D488" s="22" t="s">
        <v>12</v>
      </c>
      <c r="E488" s="22" t="s">
        <v>391</v>
      </c>
      <c r="H488" s="22" t="s">
        <v>392</v>
      </c>
      <c r="I488" s="22" t="s">
        <v>774</v>
      </c>
      <c r="L488" s="22" t="s">
        <v>394</v>
      </c>
      <c r="M488" s="22" t="s">
        <v>709</v>
      </c>
    </row>
    <row r="489" spans="1:13" x14ac:dyDescent="0.3">
      <c r="A489" t="s">
        <v>695</v>
      </c>
      <c r="B489" t="s">
        <v>335</v>
      </c>
      <c r="C489" t="s">
        <v>11</v>
      </c>
      <c r="D489" t="s">
        <v>12</v>
      </c>
      <c r="E489" t="s">
        <v>391</v>
      </c>
      <c r="H489" t="s">
        <v>392</v>
      </c>
      <c r="I489" t="s">
        <v>775</v>
      </c>
      <c r="L489" t="s">
        <v>394</v>
      </c>
      <c r="M489" t="s">
        <v>709</v>
      </c>
    </row>
    <row r="490" spans="1:13" x14ac:dyDescent="0.3">
      <c r="A490" t="s">
        <v>696</v>
      </c>
      <c r="B490" t="s">
        <v>338</v>
      </c>
      <c r="C490" t="s">
        <v>11</v>
      </c>
      <c r="D490" t="s">
        <v>12</v>
      </c>
      <c r="E490" t="s">
        <v>391</v>
      </c>
      <c r="H490" t="s">
        <v>392</v>
      </c>
      <c r="I490" t="s">
        <v>776</v>
      </c>
      <c r="L490" t="s">
        <v>394</v>
      </c>
      <c r="M490" t="s">
        <v>709</v>
      </c>
    </row>
    <row r="491" spans="1:13" x14ac:dyDescent="0.3">
      <c r="A491" t="s">
        <v>686</v>
      </c>
      <c r="B491" t="s">
        <v>303</v>
      </c>
      <c r="C491" t="s">
        <v>280</v>
      </c>
      <c r="D491" t="s">
        <v>777</v>
      </c>
      <c r="E491" t="s">
        <v>478</v>
      </c>
      <c r="H491" t="s">
        <v>25</v>
      </c>
      <c r="I491" t="s">
        <v>515</v>
      </c>
    </row>
    <row r="492" spans="1:13" x14ac:dyDescent="0.3">
      <c r="A492" t="s">
        <v>686</v>
      </c>
      <c r="B492" t="s">
        <v>303</v>
      </c>
      <c r="C492" t="s">
        <v>308</v>
      </c>
      <c r="D492" t="s">
        <v>778</v>
      </c>
      <c r="E492" t="s">
        <v>484</v>
      </c>
      <c r="H492" t="s">
        <v>25</v>
      </c>
      <c r="I492" t="s">
        <v>517</v>
      </c>
      <c r="L492" t="s">
        <v>312</v>
      </c>
      <c r="M492" t="s">
        <v>343</v>
      </c>
    </row>
    <row r="493" spans="1:13" x14ac:dyDescent="0.3">
      <c r="A493" t="s">
        <v>686</v>
      </c>
      <c r="B493" t="s">
        <v>303</v>
      </c>
      <c r="C493" t="s">
        <v>308</v>
      </c>
      <c r="D493" t="s">
        <v>779</v>
      </c>
      <c r="E493" t="s">
        <v>481</v>
      </c>
      <c r="H493" t="s">
        <v>25</v>
      </c>
      <c r="I493" t="s">
        <v>519</v>
      </c>
      <c r="L493" t="s">
        <v>312</v>
      </c>
      <c r="M493" t="s">
        <v>343</v>
      </c>
    </row>
    <row r="494" spans="1:13" x14ac:dyDescent="0.3">
      <c r="A494" t="s">
        <v>686</v>
      </c>
      <c r="B494" t="s">
        <v>303</v>
      </c>
      <c r="C494" t="s">
        <v>308</v>
      </c>
      <c r="D494" t="s">
        <v>780</v>
      </c>
      <c r="E494" t="s">
        <v>521</v>
      </c>
      <c r="H494" t="s">
        <v>25</v>
      </c>
      <c r="I494" t="s">
        <v>522</v>
      </c>
      <c r="L494" t="s">
        <v>312</v>
      </c>
      <c r="M494" t="s">
        <v>343</v>
      </c>
    </row>
    <row r="495" spans="1:13" x14ac:dyDescent="0.3">
      <c r="A495" t="s">
        <v>686</v>
      </c>
      <c r="B495" t="s">
        <v>303</v>
      </c>
      <c r="C495" t="s">
        <v>308</v>
      </c>
      <c r="D495" t="s">
        <v>781</v>
      </c>
      <c r="E495" s="1" t="s">
        <v>524</v>
      </c>
      <c r="H495" t="s">
        <v>25</v>
      </c>
      <c r="I495" t="s">
        <v>525</v>
      </c>
      <c r="L495" t="s">
        <v>312</v>
      </c>
      <c r="M495" t="s">
        <v>343</v>
      </c>
    </row>
    <row r="496" spans="1:13" x14ac:dyDescent="0.3">
      <c r="A496" t="s">
        <v>686</v>
      </c>
      <c r="B496" t="s">
        <v>303</v>
      </c>
      <c r="C496" t="s">
        <v>308</v>
      </c>
      <c r="D496" t="s">
        <v>782</v>
      </c>
      <c r="E496" t="s">
        <v>527</v>
      </c>
      <c r="H496" t="s">
        <v>25</v>
      </c>
      <c r="I496" t="s">
        <v>528</v>
      </c>
      <c r="L496" t="s">
        <v>312</v>
      </c>
      <c r="M496" t="s">
        <v>343</v>
      </c>
    </row>
    <row r="497" spans="1:13" x14ac:dyDescent="0.3">
      <c r="A497" t="s">
        <v>779</v>
      </c>
      <c r="B497" t="s">
        <v>481</v>
      </c>
      <c r="C497" t="s">
        <v>11</v>
      </c>
      <c r="D497" t="s">
        <v>12</v>
      </c>
      <c r="E497" t="s">
        <v>391</v>
      </c>
      <c r="H497" t="s">
        <v>392</v>
      </c>
      <c r="I497" t="s">
        <v>783</v>
      </c>
      <c r="L497" t="s">
        <v>394</v>
      </c>
      <c r="M497" t="s">
        <v>709</v>
      </c>
    </row>
    <row r="498" spans="1:13" x14ac:dyDescent="0.3">
      <c r="A498" t="s">
        <v>781</v>
      </c>
      <c r="B498" s="1" t="s">
        <v>524</v>
      </c>
      <c r="C498" t="s">
        <v>11</v>
      </c>
      <c r="D498" t="s">
        <v>12</v>
      </c>
      <c r="E498" t="s">
        <v>391</v>
      </c>
      <c r="H498" t="s">
        <v>392</v>
      </c>
      <c r="I498" t="s">
        <v>784</v>
      </c>
      <c r="L498" t="s">
        <v>394</v>
      </c>
      <c r="M498" t="s">
        <v>709</v>
      </c>
    </row>
    <row r="499" spans="1:13" x14ac:dyDescent="0.3">
      <c r="A499" t="s">
        <v>780</v>
      </c>
      <c r="B499" s="1" t="s">
        <v>521</v>
      </c>
      <c r="C499" t="s">
        <v>11</v>
      </c>
      <c r="D499" t="s">
        <v>12</v>
      </c>
      <c r="E499" t="s">
        <v>391</v>
      </c>
      <c r="H499" t="s">
        <v>392</v>
      </c>
      <c r="I499" t="s">
        <v>785</v>
      </c>
      <c r="L499" t="s">
        <v>394</v>
      </c>
      <c r="M499" t="s">
        <v>709</v>
      </c>
    </row>
    <row r="500" spans="1:13" x14ac:dyDescent="0.3">
      <c r="A500" t="s">
        <v>777</v>
      </c>
      <c r="B500" t="s">
        <v>478</v>
      </c>
      <c r="C500" t="s">
        <v>280</v>
      </c>
      <c r="D500" t="s">
        <v>786</v>
      </c>
      <c r="E500" t="s">
        <v>488</v>
      </c>
      <c r="H500" t="s">
        <v>25</v>
      </c>
      <c r="I500" t="s">
        <v>489</v>
      </c>
    </row>
    <row r="501" spans="1:13" x14ac:dyDescent="0.3">
      <c r="A501" t="s">
        <v>777</v>
      </c>
      <c r="B501" t="s">
        <v>478</v>
      </c>
      <c r="C501" t="s">
        <v>308</v>
      </c>
      <c r="D501" t="s">
        <v>787</v>
      </c>
      <c r="E501" t="s">
        <v>491</v>
      </c>
      <c r="H501" t="s">
        <v>25</v>
      </c>
      <c r="I501" t="s">
        <v>534</v>
      </c>
      <c r="L501" t="s">
        <v>312</v>
      </c>
      <c r="M501" t="s">
        <v>404</v>
      </c>
    </row>
    <row r="502" spans="1:13" x14ac:dyDescent="0.3">
      <c r="A502" t="s">
        <v>777</v>
      </c>
      <c r="B502" t="s">
        <v>478</v>
      </c>
      <c r="C502" t="s">
        <v>308</v>
      </c>
      <c r="D502" t="s">
        <v>788</v>
      </c>
      <c r="E502" t="s">
        <v>494</v>
      </c>
      <c r="H502" t="s">
        <v>25</v>
      </c>
      <c r="I502" t="s">
        <v>536</v>
      </c>
      <c r="L502" t="s">
        <v>312</v>
      </c>
      <c r="M502" t="s">
        <v>496</v>
      </c>
    </row>
    <row r="503" spans="1:13" x14ac:dyDescent="0.3">
      <c r="A503" t="s">
        <v>777</v>
      </c>
      <c r="B503" t="s">
        <v>478</v>
      </c>
      <c r="C503" t="s">
        <v>537</v>
      </c>
      <c r="D503" t="s">
        <v>12</v>
      </c>
      <c r="E503" t="s">
        <v>12</v>
      </c>
      <c r="H503" t="s">
        <v>376</v>
      </c>
      <c r="I503">
        <v>50</v>
      </c>
      <c r="L503" t="s">
        <v>312</v>
      </c>
      <c r="M503" t="s">
        <v>538</v>
      </c>
    </row>
    <row r="504" spans="1:13" x14ac:dyDescent="0.3">
      <c r="A504" t="s">
        <v>777</v>
      </c>
      <c r="B504" t="s">
        <v>478</v>
      </c>
      <c r="C504" t="s">
        <v>539</v>
      </c>
      <c r="D504" t="s">
        <v>12</v>
      </c>
      <c r="E504" t="s">
        <v>12</v>
      </c>
      <c r="H504" t="s">
        <v>376</v>
      </c>
      <c r="I504">
        <v>15</v>
      </c>
      <c r="L504" t="s">
        <v>312</v>
      </c>
      <c r="M504" t="s">
        <v>385</v>
      </c>
    </row>
    <row r="505" spans="1:13" x14ac:dyDescent="0.3">
      <c r="A505" t="s">
        <v>777</v>
      </c>
      <c r="B505" t="s">
        <v>478</v>
      </c>
      <c r="C505" t="s">
        <v>540</v>
      </c>
      <c r="D505" t="s">
        <v>12</v>
      </c>
      <c r="E505" t="s">
        <v>12</v>
      </c>
      <c r="H505" t="s">
        <v>376</v>
      </c>
      <c r="I505">
        <v>415</v>
      </c>
      <c r="L505" t="s">
        <v>312</v>
      </c>
      <c r="M505" t="s">
        <v>541</v>
      </c>
    </row>
    <row r="506" spans="1:13" x14ac:dyDescent="0.3">
      <c r="A506" t="s">
        <v>789</v>
      </c>
      <c r="B506" t="s">
        <v>501</v>
      </c>
      <c r="C506" t="s">
        <v>11</v>
      </c>
      <c r="D506" t="s">
        <v>12</v>
      </c>
      <c r="E506" t="s">
        <v>391</v>
      </c>
      <c r="H506" t="s">
        <v>392</v>
      </c>
      <c r="I506" t="s">
        <v>790</v>
      </c>
      <c r="L506" t="s">
        <v>394</v>
      </c>
      <c r="M506" t="s">
        <v>709</v>
      </c>
    </row>
    <row r="507" spans="1:13" x14ac:dyDescent="0.3">
      <c r="A507" t="s">
        <v>786</v>
      </c>
      <c r="B507" t="s">
        <v>488</v>
      </c>
      <c r="C507" t="s">
        <v>308</v>
      </c>
      <c r="D507" t="s">
        <v>791</v>
      </c>
      <c r="E507" t="s">
        <v>498</v>
      </c>
      <c r="H507" t="s">
        <v>25</v>
      </c>
      <c r="I507" t="s">
        <v>545</v>
      </c>
      <c r="L507" t="s">
        <v>312</v>
      </c>
      <c r="M507" t="s">
        <v>385</v>
      </c>
    </row>
    <row r="508" spans="1:13" x14ac:dyDescent="0.3">
      <c r="A508" t="s">
        <v>786</v>
      </c>
      <c r="B508" t="s">
        <v>488</v>
      </c>
      <c r="C508" t="s">
        <v>308</v>
      </c>
      <c r="D508" t="s">
        <v>789</v>
      </c>
      <c r="E508" t="s">
        <v>501</v>
      </c>
      <c r="H508" t="s">
        <v>25</v>
      </c>
      <c r="I508" t="s">
        <v>546</v>
      </c>
      <c r="L508" t="s">
        <v>312</v>
      </c>
      <c r="M508" t="s">
        <v>503</v>
      </c>
    </row>
    <row r="509" spans="1:13" x14ac:dyDescent="0.3">
      <c r="A509" t="s">
        <v>791</v>
      </c>
      <c r="B509" t="s">
        <v>498</v>
      </c>
      <c r="C509" t="s">
        <v>11</v>
      </c>
      <c r="D509" t="s">
        <v>12</v>
      </c>
      <c r="E509" t="s">
        <v>391</v>
      </c>
      <c r="H509" t="s">
        <v>392</v>
      </c>
      <c r="I509" t="s">
        <v>792</v>
      </c>
      <c r="L509" t="s">
        <v>394</v>
      </c>
      <c r="M509" t="s">
        <v>709</v>
      </c>
    </row>
    <row r="510" spans="1:13" x14ac:dyDescent="0.3">
      <c r="A510" t="s">
        <v>787</v>
      </c>
      <c r="B510" t="s">
        <v>491</v>
      </c>
      <c r="C510" t="s">
        <v>11</v>
      </c>
      <c r="D510" t="s">
        <v>12</v>
      </c>
      <c r="E510" t="s">
        <v>391</v>
      </c>
      <c r="H510" t="s">
        <v>392</v>
      </c>
      <c r="I510" t="s">
        <v>793</v>
      </c>
      <c r="L510" t="s">
        <v>394</v>
      </c>
      <c r="M510" t="s">
        <v>709</v>
      </c>
    </row>
    <row r="511" spans="1:13" x14ac:dyDescent="0.3">
      <c r="A511" t="s">
        <v>788</v>
      </c>
      <c r="B511" t="s">
        <v>494</v>
      </c>
      <c r="C511" t="s">
        <v>11</v>
      </c>
      <c r="D511" t="s">
        <v>12</v>
      </c>
      <c r="E511" t="s">
        <v>391</v>
      </c>
      <c r="H511" t="s">
        <v>392</v>
      </c>
      <c r="I511" t="s">
        <v>794</v>
      </c>
      <c r="L511" t="s">
        <v>394</v>
      </c>
      <c r="M511" t="s">
        <v>709</v>
      </c>
    </row>
    <row r="512" spans="1:13" x14ac:dyDescent="0.3">
      <c r="A512" t="s">
        <v>782</v>
      </c>
      <c r="B512" t="s">
        <v>550</v>
      </c>
      <c r="C512" t="s">
        <v>11</v>
      </c>
      <c r="D512" t="s">
        <v>12</v>
      </c>
      <c r="E512" t="s">
        <v>391</v>
      </c>
      <c r="H512" t="s">
        <v>392</v>
      </c>
      <c r="I512" t="s">
        <v>795</v>
      </c>
      <c r="L512" t="s">
        <v>394</v>
      </c>
      <c r="M512" t="s">
        <v>709</v>
      </c>
    </row>
    <row r="513" spans="1:13" x14ac:dyDescent="0.3">
      <c r="A513" t="s">
        <v>778</v>
      </c>
      <c r="B513" t="s">
        <v>484</v>
      </c>
      <c r="C513" t="s">
        <v>11</v>
      </c>
      <c r="D513" t="s">
        <v>12</v>
      </c>
      <c r="E513" t="s">
        <v>391</v>
      </c>
      <c r="H513" t="s">
        <v>392</v>
      </c>
      <c r="I513" t="s">
        <v>796</v>
      </c>
      <c r="L513" t="s">
        <v>394</v>
      </c>
      <c r="M513" t="s">
        <v>709</v>
      </c>
    </row>
    <row r="514" spans="1:13" x14ac:dyDescent="0.3">
      <c r="A514" t="s">
        <v>700</v>
      </c>
      <c r="B514" t="s">
        <v>355</v>
      </c>
      <c r="C514" t="s">
        <v>11</v>
      </c>
      <c r="D514" t="s">
        <v>12</v>
      </c>
      <c r="E514" t="s">
        <v>391</v>
      </c>
      <c r="H514" t="s">
        <v>392</v>
      </c>
      <c r="I514" t="s">
        <v>797</v>
      </c>
      <c r="L514" t="s">
        <v>394</v>
      </c>
      <c r="M514" t="s">
        <v>709</v>
      </c>
    </row>
    <row r="515" spans="1:13" x14ac:dyDescent="0.3">
      <c r="A515" t="s">
        <v>798</v>
      </c>
      <c r="B515" t="s">
        <v>279</v>
      </c>
      <c r="C515" t="s">
        <v>280</v>
      </c>
      <c r="D515" t="s">
        <v>799</v>
      </c>
      <c r="E515" t="s">
        <v>282</v>
      </c>
      <c r="H515" t="s">
        <v>25</v>
      </c>
      <c r="I515" t="s">
        <v>283</v>
      </c>
    </row>
    <row r="516" spans="1:13" x14ac:dyDescent="0.3">
      <c r="A516" t="s">
        <v>798</v>
      </c>
      <c r="B516" t="s">
        <v>279</v>
      </c>
      <c r="C516" t="s">
        <v>280</v>
      </c>
      <c r="D516" t="s">
        <v>800</v>
      </c>
      <c r="E516" t="s">
        <v>285</v>
      </c>
      <c r="H516" t="s">
        <v>25</v>
      </c>
      <c r="I516" t="s">
        <v>286</v>
      </c>
    </row>
    <row r="517" spans="1:13" x14ac:dyDescent="0.3">
      <c r="A517" t="s">
        <v>798</v>
      </c>
      <c r="B517" t="s">
        <v>279</v>
      </c>
      <c r="C517" t="s">
        <v>280</v>
      </c>
      <c r="D517" t="s">
        <v>801</v>
      </c>
      <c r="E517" t="s">
        <v>288</v>
      </c>
      <c r="H517" t="s">
        <v>25</v>
      </c>
      <c r="I517" t="s">
        <v>289</v>
      </c>
    </row>
    <row r="518" spans="1:13" x14ac:dyDescent="0.3">
      <c r="A518" t="s">
        <v>798</v>
      </c>
      <c r="B518" t="s">
        <v>279</v>
      </c>
      <c r="C518" t="s">
        <v>280</v>
      </c>
      <c r="D518" t="s">
        <v>802</v>
      </c>
      <c r="E518" t="s">
        <v>291</v>
      </c>
      <c r="H518" t="s">
        <v>25</v>
      </c>
      <c r="I518" t="s">
        <v>292</v>
      </c>
    </row>
    <row r="519" spans="1:13" x14ac:dyDescent="0.3">
      <c r="A519" t="s">
        <v>798</v>
      </c>
      <c r="B519" t="s">
        <v>279</v>
      </c>
      <c r="C519" t="s">
        <v>280</v>
      </c>
      <c r="D519" t="s">
        <v>803</v>
      </c>
      <c r="E519" t="s">
        <v>294</v>
      </c>
      <c r="H519" t="s">
        <v>25</v>
      </c>
      <c r="I519" t="s">
        <v>295</v>
      </c>
    </row>
    <row r="520" spans="1:13" x14ac:dyDescent="0.3">
      <c r="A520" t="s">
        <v>798</v>
      </c>
      <c r="B520" t="s">
        <v>279</v>
      </c>
      <c r="C520" t="s">
        <v>280</v>
      </c>
      <c r="D520" t="s">
        <v>804</v>
      </c>
      <c r="E520" t="s">
        <v>297</v>
      </c>
      <c r="H520" t="s">
        <v>25</v>
      </c>
      <c r="I520" t="s">
        <v>298</v>
      </c>
    </row>
    <row r="521" spans="1:13" x14ac:dyDescent="0.3">
      <c r="A521" t="s">
        <v>798</v>
      </c>
      <c r="B521" t="s">
        <v>279</v>
      </c>
      <c r="C521" t="s">
        <v>280</v>
      </c>
      <c r="D521" t="s">
        <v>805</v>
      </c>
      <c r="E521" t="s">
        <v>300</v>
      </c>
      <c r="H521" t="s">
        <v>25</v>
      </c>
      <c r="I521" t="s">
        <v>301</v>
      </c>
    </row>
    <row r="522" spans="1:13" x14ac:dyDescent="0.3">
      <c r="A522" t="s">
        <v>798</v>
      </c>
      <c r="B522" t="s">
        <v>279</v>
      </c>
      <c r="C522" t="s">
        <v>280</v>
      </c>
      <c r="D522" t="s">
        <v>806</v>
      </c>
      <c r="E522" t="s">
        <v>303</v>
      </c>
      <c r="H522" t="s">
        <v>25</v>
      </c>
      <c r="I522" t="s">
        <v>304</v>
      </c>
    </row>
    <row r="523" spans="1:13" x14ac:dyDescent="0.3">
      <c r="A523" t="s">
        <v>798</v>
      </c>
      <c r="B523" t="s">
        <v>279</v>
      </c>
      <c r="C523" t="s">
        <v>280</v>
      </c>
      <c r="D523" t="s">
        <v>807</v>
      </c>
      <c r="E523" t="s">
        <v>306</v>
      </c>
      <c r="H523" t="s">
        <v>25</v>
      </c>
      <c r="I523" t="s">
        <v>307</v>
      </c>
    </row>
    <row r="524" spans="1:13" x14ac:dyDescent="0.3">
      <c r="A524" t="s">
        <v>798</v>
      </c>
      <c r="B524" t="s">
        <v>279</v>
      </c>
      <c r="C524" t="s">
        <v>308</v>
      </c>
      <c r="D524" t="s">
        <v>808</v>
      </c>
      <c r="E524" t="s">
        <v>310</v>
      </c>
      <c r="H524" t="s">
        <v>25</v>
      </c>
      <c r="I524" t="s">
        <v>311</v>
      </c>
      <c r="L524" t="s">
        <v>312</v>
      </c>
      <c r="M524" t="s">
        <v>313</v>
      </c>
    </row>
    <row r="525" spans="1:13" x14ac:dyDescent="0.3">
      <c r="A525" t="s">
        <v>798</v>
      </c>
      <c r="B525" t="s">
        <v>279</v>
      </c>
      <c r="C525" t="s">
        <v>308</v>
      </c>
      <c r="D525" t="s">
        <v>809</v>
      </c>
      <c r="E525" t="s">
        <v>315</v>
      </c>
      <c r="H525" t="s">
        <v>25</v>
      </c>
      <c r="I525" t="s">
        <v>316</v>
      </c>
      <c r="L525" t="s">
        <v>312</v>
      </c>
      <c r="M525" t="s">
        <v>317</v>
      </c>
    </row>
    <row r="526" spans="1:13" x14ac:dyDescent="0.3">
      <c r="A526" t="s">
        <v>798</v>
      </c>
      <c r="B526" t="s">
        <v>279</v>
      </c>
      <c r="C526" t="s">
        <v>308</v>
      </c>
      <c r="D526" t="s">
        <v>810</v>
      </c>
      <c r="E526" t="s">
        <v>319</v>
      </c>
      <c r="H526" t="s">
        <v>25</v>
      </c>
      <c r="I526" t="s">
        <v>320</v>
      </c>
      <c r="L526" t="s">
        <v>312</v>
      </c>
      <c r="M526" t="s">
        <v>313</v>
      </c>
    </row>
    <row r="527" spans="1:13" x14ac:dyDescent="0.3">
      <c r="A527" t="s">
        <v>798</v>
      </c>
      <c r="B527" t="s">
        <v>279</v>
      </c>
      <c r="C527" t="s">
        <v>308</v>
      </c>
      <c r="D527" t="s">
        <v>811</v>
      </c>
      <c r="E527" t="s">
        <v>322</v>
      </c>
      <c r="H527" t="s">
        <v>25</v>
      </c>
      <c r="I527" t="s">
        <v>323</v>
      </c>
      <c r="L527" t="s">
        <v>312</v>
      </c>
      <c r="M527" t="s">
        <v>317</v>
      </c>
    </row>
    <row r="528" spans="1:13" x14ac:dyDescent="0.3">
      <c r="A528" t="s">
        <v>798</v>
      </c>
      <c r="B528" t="s">
        <v>279</v>
      </c>
      <c r="C528" t="s">
        <v>308</v>
      </c>
      <c r="D528" t="s">
        <v>812</v>
      </c>
      <c r="E528" t="s">
        <v>325</v>
      </c>
      <c r="H528" t="s">
        <v>25</v>
      </c>
      <c r="I528" t="s">
        <v>326</v>
      </c>
      <c r="L528" t="s">
        <v>312</v>
      </c>
      <c r="M528" t="s">
        <v>327</v>
      </c>
    </row>
    <row r="529" spans="1:13" x14ac:dyDescent="0.3">
      <c r="A529" t="s">
        <v>798</v>
      </c>
      <c r="B529" t="s">
        <v>279</v>
      </c>
      <c r="C529" t="s">
        <v>308</v>
      </c>
      <c r="D529" t="s">
        <v>813</v>
      </c>
      <c r="E529" t="s">
        <v>329</v>
      </c>
      <c r="H529" t="s">
        <v>25</v>
      </c>
      <c r="I529" t="s">
        <v>330</v>
      </c>
      <c r="L529" t="s">
        <v>312</v>
      </c>
      <c r="M529" t="s">
        <v>317</v>
      </c>
    </row>
    <row r="530" spans="1:13" x14ac:dyDescent="0.3">
      <c r="A530" t="s">
        <v>798</v>
      </c>
      <c r="B530" t="s">
        <v>279</v>
      </c>
      <c r="C530" t="s">
        <v>308</v>
      </c>
      <c r="D530" t="s">
        <v>814</v>
      </c>
      <c r="E530" t="s">
        <v>332</v>
      </c>
      <c r="H530" t="s">
        <v>25</v>
      </c>
      <c r="I530" t="s">
        <v>333</v>
      </c>
      <c r="L530" t="s">
        <v>312</v>
      </c>
      <c r="M530" t="s">
        <v>327</v>
      </c>
    </row>
    <row r="531" spans="1:13" x14ac:dyDescent="0.3">
      <c r="A531" t="s">
        <v>798</v>
      </c>
      <c r="B531" t="s">
        <v>279</v>
      </c>
      <c r="C531" t="s">
        <v>308</v>
      </c>
      <c r="D531" t="s">
        <v>815</v>
      </c>
      <c r="E531" t="s">
        <v>335</v>
      </c>
      <c r="H531" t="s">
        <v>25</v>
      </c>
      <c r="I531" t="s">
        <v>336</v>
      </c>
      <c r="L531" t="s">
        <v>312</v>
      </c>
      <c r="M531" t="s">
        <v>313</v>
      </c>
    </row>
    <row r="532" spans="1:13" x14ac:dyDescent="0.3">
      <c r="A532" t="s">
        <v>798</v>
      </c>
      <c r="B532" t="s">
        <v>279</v>
      </c>
      <c r="C532" t="s">
        <v>308</v>
      </c>
      <c r="D532" t="s">
        <v>816</v>
      </c>
      <c r="E532" t="s">
        <v>338</v>
      </c>
      <c r="H532" t="s">
        <v>25</v>
      </c>
      <c r="I532" t="s">
        <v>339</v>
      </c>
      <c r="L532" t="s">
        <v>312</v>
      </c>
      <c r="M532" t="s">
        <v>317</v>
      </c>
    </row>
    <row r="533" spans="1:13" x14ac:dyDescent="0.3">
      <c r="A533" t="s">
        <v>798</v>
      </c>
      <c r="B533" t="s">
        <v>279</v>
      </c>
      <c r="C533" t="s">
        <v>308</v>
      </c>
      <c r="D533" t="s">
        <v>817</v>
      </c>
      <c r="E533" t="s">
        <v>341</v>
      </c>
      <c r="H533" t="s">
        <v>25</v>
      </c>
      <c r="I533" t="s">
        <v>342</v>
      </c>
      <c r="L533" t="s">
        <v>312</v>
      </c>
      <c r="M533" t="s">
        <v>343</v>
      </c>
    </row>
    <row r="534" spans="1:13" x14ac:dyDescent="0.3">
      <c r="A534" t="s">
        <v>798</v>
      </c>
      <c r="B534" t="s">
        <v>279</v>
      </c>
      <c r="C534" t="s">
        <v>308</v>
      </c>
      <c r="D534" t="s">
        <v>818</v>
      </c>
      <c r="E534" t="s">
        <v>345</v>
      </c>
      <c r="H534" t="s">
        <v>25</v>
      </c>
      <c r="I534" t="s">
        <v>346</v>
      </c>
      <c r="L534" t="s">
        <v>312</v>
      </c>
      <c r="M534" t="s">
        <v>313</v>
      </c>
    </row>
    <row r="535" spans="1:13" x14ac:dyDescent="0.3">
      <c r="A535" t="s">
        <v>798</v>
      </c>
      <c r="B535" t="s">
        <v>279</v>
      </c>
      <c r="C535" t="s">
        <v>308</v>
      </c>
      <c r="D535" t="s">
        <v>819</v>
      </c>
      <c r="E535" t="s">
        <v>348</v>
      </c>
      <c r="H535" t="s">
        <v>25</v>
      </c>
      <c r="I535" t="s">
        <v>349</v>
      </c>
      <c r="L535" t="s">
        <v>312</v>
      </c>
      <c r="M535" t="s">
        <v>317</v>
      </c>
    </row>
    <row r="536" spans="1:13" x14ac:dyDescent="0.3">
      <c r="A536" t="s">
        <v>798</v>
      </c>
      <c r="B536" t="s">
        <v>279</v>
      </c>
      <c r="C536" t="s">
        <v>308</v>
      </c>
      <c r="D536" t="s">
        <v>820</v>
      </c>
      <c r="E536" t="s">
        <v>351</v>
      </c>
      <c r="H536" t="s">
        <v>25</v>
      </c>
      <c r="I536" t="s">
        <v>352</v>
      </c>
      <c r="L536" t="s">
        <v>312</v>
      </c>
      <c r="M536" t="s">
        <v>353</v>
      </c>
    </row>
    <row r="537" spans="1:13" x14ac:dyDescent="0.3">
      <c r="A537" t="s">
        <v>798</v>
      </c>
      <c r="B537" t="s">
        <v>279</v>
      </c>
      <c r="C537" t="s">
        <v>308</v>
      </c>
      <c r="D537" t="s">
        <v>821</v>
      </c>
      <c r="E537" t="s">
        <v>355</v>
      </c>
      <c r="H537" t="s">
        <v>25</v>
      </c>
      <c r="I537" t="s">
        <v>356</v>
      </c>
      <c r="L537" t="s">
        <v>312</v>
      </c>
      <c r="M537" t="s">
        <v>317</v>
      </c>
    </row>
    <row r="538" spans="1:13" x14ac:dyDescent="0.3">
      <c r="A538" t="s">
        <v>798</v>
      </c>
      <c r="B538" t="s">
        <v>279</v>
      </c>
      <c r="C538" t="s">
        <v>308</v>
      </c>
      <c r="D538" t="s">
        <v>822</v>
      </c>
      <c r="E538" t="s">
        <v>358</v>
      </c>
      <c r="H538" t="s">
        <v>25</v>
      </c>
      <c r="I538" t="s">
        <v>359</v>
      </c>
      <c r="L538" t="s">
        <v>312</v>
      </c>
      <c r="M538" t="s">
        <v>343</v>
      </c>
    </row>
    <row r="539" spans="1:13" x14ac:dyDescent="0.3">
      <c r="A539" t="s">
        <v>798</v>
      </c>
      <c r="B539" t="s">
        <v>279</v>
      </c>
      <c r="C539" t="s">
        <v>308</v>
      </c>
      <c r="D539" t="s">
        <v>823</v>
      </c>
      <c r="E539" t="s">
        <v>361</v>
      </c>
      <c r="H539" t="s">
        <v>25</v>
      </c>
      <c r="I539" t="s">
        <v>362</v>
      </c>
      <c r="L539" t="s">
        <v>312</v>
      </c>
      <c r="M539" t="s">
        <v>343</v>
      </c>
    </row>
    <row r="540" spans="1:13" x14ac:dyDescent="0.3">
      <c r="A540" t="s">
        <v>798</v>
      </c>
      <c r="B540" t="s">
        <v>279</v>
      </c>
      <c r="C540" t="s">
        <v>308</v>
      </c>
      <c r="D540" t="s">
        <v>824</v>
      </c>
      <c r="E540" t="s">
        <v>364</v>
      </c>
      <c r="H540" t="s">
        <v>25</v>
      </c>
      <c r="I540" t="s">
        <v>365</v>
      </c>
      <c r="L540" t="s">
        <v>312</v>
      </c>
      <c r="M540" t="s">
        <v>343</v>
      </c>
    </row>
    <row r="541" spans="1:13" x14ac:dyDescent="0.3">
      <c r="A541" t="s">
        <v>798</v>
      </c>
      <c r="B541" t="s">
        <v>279</v>
      </c>
      <c r="C541" t="s">
        <v>308</v>
      </c>
      <c r="D541" t="s">
        <v>825</v>
      </c>
      <c r="E541" t="s">
        <v>826</v>
      </c>
      <c r="H541" t="s">
        <v>25</v>
      </c>
      <c r="I541" t="s">
        <v>827</v>
      </c>
      <c r="L541" t="s">
        <v>312</v>
      </c>
      <c r="M541" t="s">
        <v>353</v>
      </c>
    </row>
    <row r="542" spans="1:13" x14ac:dyDescent="0.3">
      <c r="A542" t="s">
        <v>798</v>
      </c>
      <c r="B542" t="s">
        <v>279</v>
      </c>
      <c r="C542" t="s">
        <v>308</v>
      </c>
      <c r="D542" t="s">
        <v>828</v>
      </c>
      <c r="E542" t="s">
        <v>829</v>
      </c>
      <c r="H542" t="s">
        <v>25</v>
      </c>
      <c r="I542" t="s">
        <v>830</v>
      </c>
      <c r="L542" t="s">
        <v>312</v>
      </c>
      <c r="M542" t="s">
        <v>353</v>
      </c>
    </row>
    <row r="543" spans="1:13" x14ac:dyDescent="0.3">
      <c r="A543" t="s">
        <v>798</v>
      </c>
      <c r="B543" t="s">
        <v>279</v>
      </c>
      <c r="C543" t="s">
        <v>308</v>
      </c>
      <c r="D543" t="s">
        <v>831</v>
      </c>
      <c r="E543" t="s">
        <v>367</v>
      </c>
      <c r="H543" t="s">
        <v>25</v>
      </c>
      <c r="I543" t="s">
        <v>582</v>
      </c>
      <c r="L543" t="s">
        <v>312</v>
      </c>
      <c r="M543" t="s">
        <v>353</v>
      </c>
    </row>
    <row r="544" spans="1:13" x14ac:dyDescent="0.3">
      <c r="A544" t="s">
        <v>798</v>
      </c>
      <c r="B544" t="s">
        <v>279</v>
      </c>
      <c r="C544" t="s">
        <v>308</v>
      </c>
      <c r="D544" t="s">
        <v>832</v>
      </c>
      <c r="E544" t="s">
        <v>370</v>
      </c>
      <c r="H544" t="s">
        <v>25</v>
      </c>
      <c r="I544" t="s">
        <v>371</v>
      </c>
      <c r="L544" t="s">
        <v>312</v>
      </c>
      <c r="M544" t="s">
        <v>353</v>
      </c>
    </row>
    <row r="545" spans="1:13" x14ac:dyDescent="0.3">
      <c r="A545" t="s">
        <v>798</v>
      </c>
      <c r="B545" t="s">
        <v>279</v>
      </c>
      <c r="C545" t="s">
        <v>22</v>
      </c>
      <c r="D545" t="s">
        <v>23</v>
      </c>
      <c r="E545" t="s">
        <v>28</v>
      </c>
      <c r="F545" t="s">
        <v>25</v>
      </c>
      <c r="G545" t="s">
        <v>833</v>
      </c>
      <c r="J545" t="s">
        <v>373</v>
      </c>
      <c r="K545" t="s">
        <v>374</v>
      </c>
    </row>
    <row r="546" spans="1:13" x14ac:dyDescent="0.3">
      <c r="A546" t="s">
        <v>798</v>
      </c>
      <c r="B546" t="s">
        <v>279</v>
      </c>
      <c r="C546" t="s">
        <v>375</v>
      </c>
      <c r="D546" t="s">
        <v>12</v>
      </c>
      <c r="E546" t="s">
        <v>12</v>
      </c>
      <c r="H546" t="s">
        <v>376</v>
      </c>
      <c r="I546" t="s">
        <v>834</v>
      </c>
      <c r="L546" t="s">
        <v>312</v>
      </c>
      <c r="M546" t="s">
        <v>327</v>
      </c>
    </row>
    <row r="547" spans="1:13" x14ac:dyDescent="0.3">
      <c r="A547" t="s">
        <v>798</v>
      </c>
      <c r="B547" t="s">
        <v>279</v>
      </c>
      <c r="C547" t="s">
        <v>378</v>
      </c>
      <c r="D547" t="s">
        <v>12</v>
      </c>
      <c r="E547" t="s">
        <v>12</v>
      </c>
      <c r="H547" t="s">
        <v>376</v>
      </c>
      <c r="I547" t="s">
        <v>835</v>
      </c>
      <c r="L547" t="s">
        <v>312</v>
      </c>
      <c r="M547" t="s">
        <v>327</v>
      </c>
    </row>
    <row r="548" spans="1:13" x14ac:dyDescent="0.3">
      <c r="A548" t="s">
        <v>798</v>
      </c>
      <c r="B548" t="s">
        <v>279</v>
      </c>
      <c r="C548" t="s">
        <v>380</v>
      </c>
      <c r="D548" t="s">
        <v>9</v>
      </c>
      <c r="E548" t="s">
        <v>10</v>
      </c>
    </row>
    <row r="549" spans="1:13" x14ac:dyDescent="0.3">
      <c r="A549" t="s">
        <v>798</v>
      </c>
      <c r="B549" t="s">
        <v>279</v>
      </c>
      <c r="C549" t="s">
        <v>16</v>
      </c>
      <c r="D549" t="s">
        <v>836</v>
      </c>
      <c r="E549" t="s">
        <v>37</v>
      </c>
    </row>
    <row r="550" spans="1:13" x14ac:dyDescent="0.3">
      <c r="A550" t="s">
        <v>798</v>
      </c>
      <c r="B550" t="s">
        <v>279</v>
      </c>
      <c r="C550" t="s">
        <v>11</v>
      </c>
      <c r="D550" t="s">
        <v>12</v>
      </c>
      <c r="E550" t="s">
        <v>13</v>
      </c>
      <c r="H550" t="s">
        <v>382</v>
      </c>
      <c r="I550" t="s">
        <v>837</v>
      </c>
      <c r="L550" t="s">
        <v>14</v>
      </c>
      <c r="M550" t="s">
        <v>837</v>
      </c>
    </row>
    <row r="551" spans="1:13" x14ac:dyDescent="0.3">
      <c r="A551" t="s">
        <v>799</v>
      </c>
      <c r="B551" t="s">
        <v>282</v>
      </c>
      <c r="C551" t="s">
        <v>384</v>
      </c>
      <c r="D551" t="s">
        <v>12</v>
      </c>
      <c r="E551" t="s">
        <v>12</v>
      </c>
      <c r="H551" t="s">
        <v>376</v>
      </c>
      <c r="I551">
        <v>29.5</v>
      </c>
      <c r="L551" t="s">
        <v>312</v>
      </c>
      <c r="M551" t="s">
        <v>385</v>
      </c>
    </row>
    <row r="552" spans="1:13" x14ac:dyDescent="0.3">
      <c r="A552" t="s">
        <v>799</v>
      </c>
      <c r="B552" t="s">
        <v>282</v>
      </c>
      <c r="C552" t="s">
        <v>280</v>
      </c>
      <c r="D552" t="s">
        <v>838</v>
      </c>
      <c r="E552" t="s">
        <v>387</v>
      </c>
      <c r="H552" t="s">
        <v>25</v>
      </c>
      <c r="I552" t="s">
        <v>388</v>
      </c>
    </row>
    <row r="553" spans="1:13" x14ac:dyDescent="0.3">
      <c r="A553" t="s">
        <v>839</v>
      </c>
      <c r="B553" t="s">
        <v>390</v>
      </c>
      <c r="C553" t="s">
        <v>11</v>
      </c>
      <c r="D553" t="s">
        <v>12</v>
      </c>
      <c r="E553" t="s">
        <v>391</v>
      </c>
      <c r="H553" t="s">
        <v>392</v>
      </c>
      <c r="I553" t="s">
        <v>393</v>
      </c>
      <c r="L553" t="s">
        <v>394</v>
      </c>
      <c r="M553" t="s">
        <v>837</v>
      </c>
    </row>
    <row r="554" spans="1:13" x14ac:dyDescent="0.3">
      <c r="A554" t="s">
        <v>840</v>
      </c>
      <c r="B554" t="s">
        <v>396</v>
      </c>
      <c r="C554" t="s">
        <v>11</v>
      </c>
      <c r="D554" t="s">
        <v>12</v>
      </c>
      <c r="E554" t="s">
        <v>391</v>
      </c>
      <c r="H554" t="s">
        <v>392</v>
      </c>
      <c r="I554" t="s">
        <v>397</v>
      </c>
      <c r="L554" t="s">
        <v>394</v>
      </c>
      <c r="M554" t="s">
        <v>837</v>
      </c>
    </row>
    <row r="555" spans="1:13" x14ac:dyDescent="0.3">
      <c r="A555" t="s">
        <v>838</v>
      </c>
      <c r="B555" t="s">
        <v>387</v>
      </c>
      <c r="C555" t="s">
        <v>280</v>
      </c>
      <c r="D555" t="s">
        <v>841</v>
      </c>
      <c r="E555" t="s">
        <v>399</v>
      </c>
      <c r="H555" t="s">
        <v>25</v>
      </c>
      <c r="I555" t="s">
        <v>400</v>
      </c>
    </row>
    <row r="556" spans="1:13" x14ac:dyDescent="0.3">
      <c r="A556" t="s">
        <v>838</v>
      </c>
      <c r="B556" t="s">
        <v>387</v>
      </c>
      <c r="C556" t="s">
        <v>308</v>
      </c>
      <c r="D556" t="s">
        <v>842</v>
      </c>
      <c r="E556" t="s">
        <v>402</v>
      </c>
      <c r="H556" t="s">
        <v>25</v>
      </c>
      <c r="I556" t="s">
        <v>403</v>
      </c>
      <c r="L556" t="s">
        <v>312</v>
      </c>
      <c r="M556" t="s">
        <v>404</v>
      </c>
    </row>
    <row r="557" spans="1:13" x14ac:dyDescent="0.3">
      <c r="A557" t="s">
        <v>838</v>
      </c>
      <c r="B557" t="s">
        <v>387</v>
      </c>
      <c r="C557" t="s">
        <v>308</v>
      </c>
      <c r="D557" t="s">
        <v>843</v>
      </c>
      <c r="E557" t="s">
        <v>406</v>
      </c>
      <c r="H557" t="s">
        <v>25</v>
      </c>
      <c r="I557" t="s">
        <v>407</v>
      </c>
      <c r="L557" t="s">
        <v>312</v>
      </c>
      <c r="M557" t="s">
        <v>404</v>
      </c>
    </row>
    <row r="558" spans="1:13" x14ac:dyDescent="0.3">
      <c r="A558" t="s">
        <v>842</v>
      </c>
      <c r="B558" t="s">
        <v>402</v>
      </c>
      <c r="C558" t="s">
        <v>11</v>
      </c>
      <c r="D558" t="s">
        <v>12</v>
      </c>
      <c r="E558" t="s">
        <v>391</v>
      </c>
      <c r="H558" t="s">
        <v>392</v>
      </c>
      <c r="I558" t="s">
        <v>844</v>
      </c>
      <c r="L558" t="s">
        <v>394</v>
      </c>
      <c r="M558" t="s">
        <v>837</v>
      </c>
    </row>
    <row r="559" spans="1:13" x14ac:dyDescent="0.3">
      <c r="A559" t="s">
        <v>843</v>
      </c>
      <c r="B559" t="s">
        <v>406</v>
      </c>
      <c r="C559" t="s">
        <v>11</v>
      </c>
      <c r="D559" t="s">
        <v>12</v>
      </c>
      <c r="E559" t="s">
        <v>391</v>
      </c>
      <c r="H559" t="s">
        <v>392</v>
      </c>
      <c r="I559" t="s">
        <v>845</v>
      </c>
      <c r="L559" t="s">
        <v>394</v>
      </c>
      <c r="M559" t="s">
        <v>837</v>
      </c>
    </row>
    <row r="560" spans="1:13" x14ac:dyDescent="0.3">
      <c r="A560" t="s">
        <v>841</v>
      </c>
      <c r="B560" t="s">
        <v>399</v>
      </c>
      <c r="C560" t="s">
        <v>308</v>
      </c>
      <c r="D560" t="s">
        <v>839</v>
      </c>
      <c r="E560" t="s">
        <v>390</v>
      </c>
      <c r="H560" t="s">
        <v>25</v>
      </c>
      <c r="I560" t="s">
        <v>410</v>
      </c>
      <c r="L560" t="s">
        <v>312</v>
      </c>
      <c r="M560" t="s">
        <v>411</v>
      </c>
    </row>
    <row r="561" spans="1:13" x14ac:dyDescent="0.3">
      <c r="A561" t="s">
        <v>841</v>
      </c>
      <c r="B561" t="s">
        <v>399</v>
      </c>
      <c r="C561" t="s">
        <v>308</v>
      </c>
      <c r="D561" t="s">
        <v>840</v>
      </c>
      <c r="E561" t="s">
        <v>396</v>
      </c>
      <c r="H561" t="s">
        <v>25</v>
      </c>
      <c r="I561" t="s">
        <v>412</v>
      </c>
      <c r="L561" t="s">
        <v>312</v>
      </c>
      <c r="M561" t="s">
        <v>413</v>
      </c>
    </row>
    <row r="562" spans="1:13" x14ac:dyDescent="0.3">
      <c r="A562" t="s">
        <v>818</v>
      </c>
      <c r="B562" t="s">
        <v>345</v>
      </c>
      <c r="C562" t="s">
        <v>11</v>
      </c>
      <c r="D562" t="s">
        <v>12</v>
      </c>
      <c r="E562" t="s">
        <v>391</v>
      </c>
      <c r="H562" t="s">
        <v>392</v>
      </c>
      <c r="I562" t="s">
        <v>846</v>
      </c>
      <c r="L562" t="s">
        <v>394</v>
      </c>
      <c r="M562" t="s">
        <v>837</v>
      </c>
    </row>
    <row r="563" spans="1:13" x14ac:dyDescent="0.3">
      <c r="A563" t="s">
        <v>804</v>
      </c>
      <c r="B563" t="s">
        <v>297</v>
      </c>
      <c r="C563" t="s">
        <v>308</v>
      </c>
      <c r="D563" t="s">
        <v>847</v>
      </c>
      <c r="E563" t="s">
        <v>402</v>
      </c>
      <c r="H563" t="s">
        <v>25</v>
      </c>
      <c r="I563" t="s">
        <v>416</v>
      </c>
      <c r="L563" t="s">
        <v>312</v>
      </c>
      <c r="M563" t="s">
        <v>404</v>
      </c>
    </row>
    <row r="564" spans="1:13" x14ac:dyDescent="0.3">
      <c r="A564" t="s">
        <v>804</v>
      </c>
      <c r="B564" t="s">
        <v>297</v>
      </c>
      <c r="C564" t="s">
        <v>308</v>
      </c>
      <c r="D564" t="s">
        <v>848</v>
      </c>
      <c r="E564" t="s">
        <v>406</v>
      </c>
      <c r="H564" t="s">
        <v>25</v>
      </c>
      <c r="I564" t="s">
        <v>418</v>
      </c>
      <c r="L564" t="s">
        <v>312</v>
      </c>
      <c r="M564" t="s">
        <v>404</v>
      </c>
    </row>
    <row r="565" spans="1:13" x14ac:dyDescent="0.3">
      <c r="A565" t="s">
        <v>804</v>
      </c>
      <c r="B565" t="s">
        <v>297</v>
      </c>
      <c r="C565" t="s">
        <v>308</v>
      </c>
      <c r="D565" t="s">
        <v>849</v>
      </c>
      <c r="E565" t="s">
        <v>420</v>
      </c>
      <c r="H565" t="s">
        <v>25</v>
      </c>
      <c r="I565" t="s">
        <v>421</v>
      </c>
      <c r="L565" t="s">
        <v>312</v>
      </c>
      <c r="M565" t="s">
        <v>343</v>
      </c>
    </row>
    <row r="566" spans="1:13" x14ac:dyDescent="0.3">
      <c r="A566" t="s">
        <v>847</v>
      </c>
      <c r="B566" t="s">
        <v>402</v>
      </c>
      <c r="C566" t="s">
        <v>11</v>
      </c>
      <c r="D566" t="s">
        <v>12</v>
      </c>
      <c r="E566" t="s">
        <v>391</v>
      </c>
      <c r="H566" t="s">
        <v>392</v>
      </c>
      <c r="I566" t="s">
        <v>850</v>
      </c>
      <c r="L566" t="s">
        <v>394</v>
      </c>
      <c r="M566" t="s">
        <v>837</v>
      </c>
    </row>
    <row r="567" spans="1:13" x14ac:dyDescent="0.3">
      <c r="A567" t="s">
        <v>848</v>
      </c>
      <c r="B567" t="s">
        <v>406</v>
      </c>
      <c r="C567" t="s">
        <v>11</v>
      </c>
      <c r="D567" t="s">
        <v>12</v>
      </c>
      <c r="E567" t="s">
        <v>391</v>
      </c>
      <c r="H567" t="s">
        <v>392</v>
      </c>
      <c r="I567" t="s">
        <v>851</v>
      </c>
      <c r="L567" t="s">
        <v>394</v>
      </c>
      <c r="M567" t="s">
        <v>837</v>
      </c>
    </row>
    <row r="568" spans="1:13" x14ac:dyDescent="0.3">
      <c r="A568" t="s">
        <v>849</v>
      </c>
      <c r="B568" t="s">
        <v>420</v>
      </c>
      <c r="C568" t="s">
        <v>11</v>
      </c>
      <c r="D568" t="s">
        <v>12</v>
      </c>
      <c r="E568" t="s">
        <v>391</v>
      </c>
      <c r="H568" t="s">
        <v>392</v>
      </c>
      <c r="I568" t="s">
        <v>852</v>
      </c>
      <c r="L568" t="s">
        <v>394</v>
      </c>
      <c r="M568" t="s">
        <v>837</v>
      </c>
    </row>
    <row r="569" spans="1:13" x14ac:dyDescent="0.3">
      <c r="A569" t="s">
        <v>822</v>
      </c>
      <c r="B569" t="s">
        <v>358</v>
      </c>
      <c r="C569" t="s">
        <v>11</v>
      </c>
      <c r="D569" t="s">
        <v>12</v>
      </c>
      <c r="E569" t="s">
        <v>391</v>
      </c>
      <c r="H569" t="s">
        <v>392</v>
      </c>
      <c r="I569" t="s">
        <v>853</v>
      </c>
      <c r="L569" t="s">
        <v>394</v>
      </c>
      <c r="M569" t="s">
        <v>837</v>
      </c>
    </row>
    <row r="570" spans="1:13" x14ac:dyDescent="0.3">
      <c r="A570" t="s">
        <v>807</v>
      </c>
      <c r="B570" t="s">
        <v>306</v>
      </c>
      <c r="C570" t="s">
        <v>308</v>
      </c>
      <c r="D570" t="s">
        <v>854</v>
      </c>
      <c r="E570" t="s">
        <v>427</v>
      </c>
      <c r="H570" t="s">
        <v>25</v>
      </c>
      <c r="I570" t="s">
        <v>428</v>
      </c>
      <c r="L570" t="s">
        <v>312</v>
      </c>
      <c r="M570" t="s">
        <v>404</v>
      </c>
    </row>
    <row r="571" spans="1:13" x14ac:dyDescent="0.3">
      <c r="A571" t="s">
        <v>854</v>
      </c>
      <c r="B571" t="s">
        <v>427</v>
      </c>
      <c r="C571" t="s">
        <v>11</v>
      </c>
      <c r="D571" t="s">
        <v>12</v>
      </c>
      <c r="E571" t="s">
        <v>391</v>
      </c>
      <c r="H571" t="s">
        <v>392</v>
      </c>
      <c r="I571" t="s">
        <v>855</v>
      </c>
      <c r="L571" t="s">
        <v>394</v>
      </c>
      <c r="M571" t="s">
        <v>837</v>
      </c>
    </row>
    <row r="572" spans="1:13" x14ac:dyDescent="0.3">
      <c r="A572" t="s">
        <v>824</v>
      </c>
      <c r="B572" t="s">
        <v>364</v>
      </c>
      <c r="C572" t="s">
        <v>11</v>
      </c>
      <c r="D572" t="s">
        <v>12</v>
      </c>
      <c r="E572" t="s">
        <v>391</v>
      </c>
      <c r="H572" t="s">
        <v>392</v>
      </c>
      <c r="I572" t="s">
        <v>856</v>
      </c>
      <c r="L572" t="s">
        <v>394</v>
      </c>
      <c r="M572" t="s">
        <v>837</v>
      </c>
    </row>
    <row r="573" spans="1:13" x14ac:dyDescent="0.3">
      <c r="A573" t="s">
        <v>813</v>
      </c>
      <c r="B573" t="s">
        <v>329</v>
      </c>
      <c r="C573" t="s">
        <v>11</v>
      </c>
      <c r="D573" t="s">
        <v>12</v>
      </c>
      <c r="E573" t="s">
        <v>391</v>
      </c>
      <c r="H573" t="s">
        <v>392</v>
      </c>
      <c r="I573" t="s">
        <v>857</v>
      </c>
      <c r="L573" t="s">
        <v>394</v>
      </c>
      <c r="M573" t="s">
        <v>837</v>
      </c>
    </row>
    <row r="574" spans="1:13" x14ac:dyDescent="0.3">
      <c r="A574" t="s">
        <v>803</v>
      </c>
      <c r="B574" t="s">
        <v>294</v>
      </c>
      <c r="C574" t="s">
        <v>308</v>
      </c>
      <c r="D574" t="s">
        <v>858</v>
      </c>
      <c r="E574" t="s">
        <v>402</v>
      </c>
      <c r="H574" t="s">
        <v>25</v>
      </c>
      <c r="I574" t="s">
        <v>433</v>
      </c>
      <c r="L574" t="s">
        <v>312</v>
      </c>
      <c r="M574" t="s">
        <v>404</v>
      </c>
    </row>
    <row r="575" spans="1:13" x14ac:dyDescent="0.3">
      <c r="A575" t="s">
        <v>803</v>
      </c>
      <c r="B575" t="s">
        <v>294</v>
      </c>
      <c r="C575" t="s">
        <v>308</v>
      </c>
      <c r="D575" t="s">
        <v>859</v>
      </c>
      <c r="E575" t="s">
        <v>406</v>
      </c>
      <c r="H575" t="s">
        <v>25</v>
      </c>
      <c r="I575" t="s">
        <v>435</v>
      </c>
      <c r="L575" t="s">
        <v>312</v>
      </c>
      <c r="M575" t="s">
        <v>404</v>
      </c>
    </row>
    <row r="576" spans="1:13" x14ac:dyDescent="0.3">
      <c r="A576" t="s">
        <v>858</v>
      </c>
      <c r="B576" t="s">
        <v>402</v>
      </c>
      <c r="C576" t="s">
        <v>11</v>
      </c>
      <c r="D576" t="s">
        <v>12</v>
      </c>
      <c r="E576" t="s">
        <v>391</v>
      </c>
      <c r="H576" t="s">
        <v>392</v>
      </c>
      <c r="I576" t="s">
        <v>860</v>
      </c>
      <c r="L576" t="s">
        <v>394</v>
      </c>
      <c r="M576" t="s">
        <v>837</v>
      </c>
    </row>
    <row r="577" spans="1:13" x14ac:dyDescent="0.3">
      <c r="A577" t="s">
        <v>859</v>
      </c>
      <c r="B577" t="s">
        <v>406</v>
      </c>
      <c r="C577" t="s">
        <v>11</v>
      </c>
      <c r="D577" t="s">
        <v>12</v>
      </c>
      <c r="E577" t="s">
        <v>391</v>
      </c>
      <c r="H577" t="s">
        <v>392</v>
      </c>
      <c r="I577" t="s">
        <v>861</v>
      </c>
      <c r="L577" t="s">
        <v>394</v>
      </c>
      <c r="M577" t="s">
        <v>837</v>
      </c>
    </row>
    <row r="578" spans="1:13" x14ac:dyDescent="0.3">
      <c r="A578" t="s">
        <v>808</v>
      </c>
      <c r="B578" t="s">
        <v>310</v>
      </c>
      <c r="C578" t="s">
        <v>11</v>
      </c>
      <c r="D578" t="s">
        <v>12</v>
      </c>
      <c r="E578" t="s">
        <v>391</v>
      </c>
      <c r="H578" t="s">
        <v>392</v>
      </c>
      <c r="I578" t="s">
        <v>862</v>
      </c>
      <c r="L578" t="s">
        <v>394</v>
      </c>
      <c r="M578" t="s">
        <v>837</v>
      </c>
    </row>
    <row r="579" spans="1:13" x14ac:dyDescent="0.3">
      <c r="A579" t="s">
        <v>809</v>
      </c>
      <c r="B579" t="s">
        <v>315</v>
      </c>
      <c r="C579" t="s">
        <v>11</v>
      </c>
      <c r="D579" t="s">
        <v>12</v>
      </c>
      <c r="E579" t="s">
        <v>391</v>
      </c>
      <c r="H579" t="s">
        <v>392</v>
      </c>
      <c r="I579" t="s">
        <v>863</v>
      </c>
      <c r="L579" t="s">
        <v>394</v>
      </c>
      <c r="M579" t="s">
        <v>837</v>
      </c>
    </row>
    <row r="580" spans="1:13" x14ac:dyDescent="0.3">
      <c r="A580" t="s">
        <v>801</v>
      </c>
      <c r="B580" t="s">
        <v>288</v>
      </c>
      <c r="C580" t="s">
        <v>308</v>
      </c>
      <c r="D580" t="s">
        <v>864</v>
      </c>
      <c r="E580" t="s">
        <v>402</v>
      </c>
      <c r="H580" t="s">
        <v>25</v>
      </c>
      <c r="I580" t="s">
        <v>441</v>
      </c>
      <c r="L580" t="s">
        <v>312</v>
      </c>
      <c r="M580" t="s">
        <v>404</v>
      </c>
    </row>
    <row r="581" spans="1:13" x14ac:dyDescent="0.3">
      <c r="A581" t="s">
        <v>801</v>
      </c>
      <c r="B581" t="s">
        <v>288</v>
      </c>
      <c r="C581" t="s">
        <v>308</v>
      </c>
      <c r="D581" t="s">
        <v>865</v>
      </c>
      <c r="E581" t="s">
        <v>406</v>
      </c>
      <c r="H581" t="s">
        <v>25</v>
      </c>
      <c r="I581" t="s">
        <v>443</v>
      </c>
      <c r="L581" t="s">
        <v>312</v>
      </c>
      <c r="M581" t="s">
        <v>404</v>
      </c>
    </row>
    <row r="582" spans="1:13" x14ac:dyDescent="0.3">
      <c r="A582" t="s">
        <v>801</v>
      </c>
      <c r="B582" t="s">
        <v>288</v>
      </c>
      <c r="C582" t="s">
        <v>308</v>
      </c>
      <c r="D582" t="s">
        <v>866</v>
      </c>
      <c r="E582" t="s">
        <v>420</v>
      </c>
      <c r="H582" t="s">
        <v>25</v>
      </c>
      <c r="I582" t="s">
        <v>445</v>
      </c>
      <c r="L582" t="s">
        <v>312</v>
      </c>
      <c r="M582" t="s">
        <v>343</v>
      </c>
    </row>
    <row r="583" spans="1:13" x14ac:dyDescent="0.3">
      <c r="A583" t="s">
        <v>864</v>
      </c>
      <c r="B583" t="s">
        <v>402</v>
      </c>
      <c r="C583" t="s">
        <v>11</v>
      </c>
      <c r="D583" t="s">
        <v>12</v>
      </c>
      <c r="E583" t="s">
        <v>391</v>
      </c>
      <c r="H583" t="s">
        <v>392</v>
      </c>
      <c r="I583" t="s">
        <v>867</v>
      </c>
      <c r="L583" t="s">
        <v>394</v>
      </c>
      <c r="M583" t="s">
        <v>837</v>
      </c>
    </row>
    <row r="584" spans="1:13" x14ac:dyDescent="0.3">
      <c r="A584" t="s">
        <v>865</v>
      </c>
      <c r="B584" t="s">
        <v>406</v>
      </c>
      <c r="C584" t="s">
        <v>11</v>
      </c>
      <c r="D584" t="s">
        <v>12</v>
      </c>
      <c r="E584" t="s">
        <v>391</v>
      </c>
      <c r="H584" t="s">
        <v>392</v>
      </c>
      <c r="I584" t="s">
        <v>868</v>
      </c>
      <c r="L584" t="s">
        <v>394</v>
      </c>
      <c r="M584" t="s">
        <v>837</v>
      </c>
    </row>
    <row r="585" spans="1:13" x14ac:dyDescent="0.3">
      <c r="A585" t="s">
        <v>866</v>
      </c>
      <c r="B585" t="s">
        <v>420</v>
      </c>
      <c r="C585" t="s">
        <v>11</v>
      </c>
      <c r="D585" t="s">
        <v>12</v>
      </c>
      <c r="E585" t="s">
        <v>391</v>
      </c>
      <c r="H585" t="s">
        <v>392</v>
      </c>
      <c r="I585" t="s">
        <v>869</v>
      </c>
      <c r="L585" t="s">
        <v>394</v>
      </c>
      <c r="M585" t="s">
        <v>837</v>
      </c>
    </row>
    <row r="586" spans="1:13" x14ac:dyDescent="0.3">
      <c r="A586" t="s">
        <v>819</v>
      </c>
      <c r="B586" t="s">
        <v>348</v>
      </c>
      <c r="C586" t="s">
        <v>11</v>
      </c>
      <c r="D586" t="s">
        <v>12</v>
      </c>
      <c r="E586" t="s">
        <v>391</v>
      </c>
      <c r="H586" t="s">
        <v>392</v>
      </c>
      <c r="I586" t="s">
        <v>870</v>
      </c>
      <c r="L586" t="s">
        <v>394</v>
      </c>
      <c r="M586" t="s">
        <v>837</v>
      </c>
    </row>
    <row r="587" spans="1:13" x14ac:dyDescent="0.3">
      <c r="A587" t="s">
        <v>817</v>
      </c>
      <c r="B587" t="s">
        <v>341</v>
      </c>
      <c r="C587" t="s">
        <v>11</v>
      </c>
      <c r="D587" t="s">
        <v>12</v>
      </c>
      <c r="E587" t="s">
        <v>391</v>
      </c>
      <c r="H587" t="s">
        <v>392</v>
      </c>
      <c r="I587" t="s">
        <v>871</v>
      </c>
      <c r="L587" t="s">
        <v>394</v>
      </c>
      <c r="M587" t="s">
        <v>837</v>
      </c>
    </row>
    <row r="588" spans="1:13" x14ac:dyDescent="0.3">
      <c r="A588" t="s">
        <v>823</v>
      </c>
      <c r="B588" t="s">
        <v>361</v>
      </c>
      <c r="C588" t="s">
        <v>11</v>
      </c>
      <c r="D588" t="s">
        <v>12</v>
      </c>
      <c r="E588" t="s">
        <v>391</v>
      </c>
      <c r="H588" t="s">
        <v>392</v>
      </c>
      <c r="I588" t="s">
        <v>872</v>
      </c>
      <c r="L588" t="s">
        <v>394</v>
      </c>
      <c r="M588" t="s">
        <v>837</v>
      </c>
    </row>
    <row r="589" spans="1:13" x14ac:dyDescent="0.3">
      <c r="A589" t="s">
        <v>812</v>
      </c>
      <c r="B589" t="s">
        <v>325</v>
      </c>
      <c r="C589" t="s">
        <v>11</v>
      </c>
      <c r="D589" t="s">
        <v>12</v>
      </c>
      <c r="E589" t="s">
        <v>391</v>
      </c>
      <c r="H589" t="s">
        <v>392</v>
      </c>
      <c r="I589" t="s">
        <v>873</v>
      </c>
      <c r="L589" t="s">
        <v>394</v>
      </c>
      <c r="M589" t="s">
        <v>837</v>
      </c>
    </row>
    <row r="590" spans="1:13" s="22" customFormat="1" x14ac:dyDescent="0.3">
      <c r="A590" s="22" t="s">
        <v>832</v>
      </c>
      <c r="B590" s="22" t="s">
        <v>453</v>
      </c>
      <c r="C590" s="22" t="s">
        <v>11</v>
      </c>
      <c r="D590" s="22" t="s">
        <v>12</v>
      </c>
      <c r="E590" s="22" t="s">
        <v>391</v>
      </c>
      <c r="H590" s="22" t="s">
        <v>392</v>
      </c>
      <c r="I590" s="22" t="s">
        <v>454</v>
      </c>
      <c r="L590" s="22" t="s">
        <v>394</v>
      </c>
      <c r="M590" s="22" t="s">
        <v>837</v>
      </c>
    </row>
    <row r="591" spans="1:13" s="22" customFormat="1" x14ac:dyDescent="0.3">
      <c r="A591" s="22" t="s">
        <v>825</v>
      </c>
      <c r="B591" s="22" t="s">
        <v>874</v>
      </c>
      <c r="C591" s="22" t="s">
        <v>11</v>
      </c>
      <c r="D591" s="22" t="s">
        <v>12</v>
      </c>
      <c r="E591" s="22" t="s">
        <v>391</v>
      </c>
      <c r="H591" s="22" t="s">
        <v>392</v>
      </c>
      <c r="I591" s="22" t="s">
        <v>875</v>
      </c>
      <c r="L591" s="22" t="s">
        <v>394</v>
      </c>
      <c r="M591" s="22" t="s">
        <v>837</v>
      </c>
    </row>
    <row r="592" spans="1:13" s="22" customFormat="1" x14ac:dyDescent="0.3">
      <c r="A592" s="22" t="s">
        <v>828</v>
      </c>
      <c r="B592" s="22" t="s">
        <v>876</v>
      </c>
      <c r="C592" s="22" t="s">
        <v>11</v>
      </c>
      <c r="D592" s="22" t="s">
        <v>12</v>
      </c>
      <c r="E592" s="22" t="s">
        <v>391</v>
      </c>
      <c r="H592" s="22" t="s">
        <v>392</v>
      </c>
      <c r="I592" s="22" t="s">
        <v>877</v>
      </c>
      <c r="L592" s="22" t="s">
        <v>394</v>
      </c>
      <c r="M592" s="22" t="s">
        <v>837</v>
      </c>
    </row>
    <row r="593" spans="1:13" x14ac:dyDescent="0.3">
      <c r="A593" t="s">
        <v>810</v>
      </c>
      <c r="B593" t="s">
        <v>319</v>
      </c>
      <c r="C593" t="s">
        <v>11</v>
      </c>
      <c r="D593" t="s">
        <v>12</v>
      </c>
      <c r="E593" t="s">
        <v>391</v>
      </c>
      <c r="H593" t="s">
        <v>392</v>
      </c>
      <c r="I593" t="s">
        <v>878</v>
      </c>
      <c r="L593" t="s">
        <v>394</v>
      </c>
      <c r="M593" t="s">
        <v>837</v>
      </c>
    </row>
    <row r="594" spans="1:13" x14ac:dyDescent="0.3">
      <c r="A594" t="s">
        <v>811</v>
      </c>
      <c r="B594" t="s">
        <v>322</v>
      </c>
      <c r="C594" t="s">
        <v>11</v>
      </c>
      <c r="D594" t="s">
        <v>12</v>
      </c>
      <c r="E594" t="s">
        <v>391</v>
      </c>
      <c r="H594" t="s">
        <v>392</v>
      </c>
      <c r="I594" t="s">
        <v>879</v>
      </c>
      <c r="L594" t="s">
        <v>394</v>
      </c>
      <c r="M594" t="s">
        <v>837</v>
      </c>
    </row>
    <row r="595" spans="1:13" x14ac:dyDescent="0.3">
      <c r="A595" t="s">
        <v>802</v>
      </c>
      <c r="B595" t="s">
        <v>291</v>
      </c>
      <c r="C595" t="s">
        <v>308</v>
      </c>
      <c r="D595" t="s">
        <v>880</v>
      </c>
      <c r="E595" t="s">
        <v>458</v>
      </c>
      <c r="H595" t="s">
        <v>25</v>
      </c>
      <c r="I595" t="s">
        <v>459</v>
      </c>
      <c r="L595" t="s">
        <v>312</v>
      </c>
      <c r="M595" t="s">
        <v>404</v>
      </c>
    </row>
    <row r="596" spans="1:13" x14ac:dyDescent="0.3">
      <c r="A596" t="s">
        <v>802</v>
      </c>
      <c r="B596" t="s">
        <v>291</v>
      </c>
      <c r="C596" t="s">
        <v>308</v>
      </c>
      <c r="D596" t="s">
        <v>881</v>
      </c>
      <c r="E596" t="s">
        <v>461</v>
      </c>
      <c r="H596" t="s">
        <v>25</v>
      </c>
      <c r="I596" t="s">
        <v>462</v>
      </c>
      <c r="L596" t="s">
        <v>312</v>
      </c>
      <c r="M596" t="s">
        <v>404</v>
      </c>
    </row>
    <row r="597" spans="1:13" x14ac:dyDescent="0.3">
      <c r="A597" t="s">
        <v>802</v>
      </c>
      <c r="B597" t="s">
        <v>291</v>
      </c>
      <c r="C597" t="s">
        <v>308</v>
      </c>
      <c r="D597" t="s">
        <v>882</v>
      </c>
      <c r="E597" t="s">
        <v>464</v>
      </c>
      <c r="H597" t="s">
        <v>25</v>
      </c>
      <c r="I597" t="s">
        <v>465</v>
      </c>
      <c r="L597" t="s">
        <v>312</v>
      </c>
      <c r="M597" t="s">
        <v>404</v>
      </c>
    </row>
    <row r="598" spans="1:13" x14ac:dyDescent="0.3">
      <c r="A598" t="s">
        <v>802</v>
      </c>
      <c r="B598" t="s">
        <v>291</v>
      </c>
      <c r="C598" t="s">
        <v>308</v>
      </c>
      <c r="D598" t="s">
        <v>883</v>
      </c>
      <c r="E598" t="s">
        <v>467</v>
      </c>
      <c r="H598" t="s">
        <v>25</v>
      </c>
      <c r="I598" t="s">
        <v>468</v>
      </c>
      <c r="L598" t="s">
        <v>312</v>
      </c>
      <c r="M598" t="s">
        <v>404</v>
      </c>
    </row>
    <row r="599" spans="1:13" x14ac:dyDescent="0.3">
      <c r="A599" t="s">
        <v>802</v>
      </c>
      <c r="B599" t="s">
        <v>291</v>
      </c>
      <c r="C599" t="s">
        <v>308</v>
      </c>
      <c r="D599" t="s">
        <v>884</v>
      </c>
      <c r="E599" t="s">
        <v>470</v>
      </c>
      <c r="H599" t="s">
        <v>25</v>
      </c>
      <c r="I599" t="s">
        <v>471</v>
      </c>
      <c r="L599" t="s">
        <v>312</v>
      </c>
      <c r="M599" t="s">
        <v>404</v>
      </c>
    </row>
    <row r="600" spans="1:13" x14ac:dyDescent="0.3">
      <c r="A600" t="s">
        <v>880</v>
      </c>
      <c r="B600" t="s">
        <v>458</v>
      </c>
      <c r="C600" t="s">
        <v>11</v>
      </c>
      <c r="D600" t="s">
        <v>12</v>
      </c>
      <c r="E600" t="s">
        <v>391</v>
      </c>
      <c r="H600" t="s">
        <v>392</v>
      </c>
      <c r="I600" t="s">
        <v>885</v>
      </c>
      <c r="L600" t="s">
        <v>394</v>
      </c>
      <c r="M600" t="s">
        <v>837</v>
      </c>
    </row>
    <row r="601" spans="1:13" x14ac:dyDescent="0.3">
      <c r="A601" t="s">
        <v>881</v>
      </c>
      <c r="B601" t="s">
        <v>461</v>
      </c>
      <c r="C601" t="s">
        <v>11</v>
      </c>
      <c r="D601" t="s">
        <v>12</v>
      </c>
      <c r="E601" t="s">
        <v>391</v>
      </c>
      <c r="H601" t="s">
        <v>392</v>
      </c>
      <c r="I601" t="s">
        <v>886</v>
      </c>
      <c r="L601" t="s">
        <v>394</v>
      </c>
      <c r="M601" t="s">
        <v>837</v>
      </c>
    </row>
    <row r="602" spans="1:13" x14ac:dyDescent="0.3">
      <c r="A602" t="s">
        <v>882</v>
      </c>
      <c r="B602" t="s">
        <v>464</v>
      </c>
      <c r="C602" t="s">
        <v>11</v>
      </c>
      <c r="D602" t="s">
        <v>12</v>
      </c>
      <c r="E602" t="s">
        <v>391</v>
      </c>
      <c r="H602" t="s">
        <v>392</v>
      </c>
      <c r="I602" t="s">
        <v>887</v>
      </c>
      <c r="L602" t="s">
        <v>394</v>
      </c>
      <c r="M602" t="s">
        <v>837</v>
      </c>
    </row>
    <row r="603" spans="1:13" x14ac:dyDescent="0.3">
      <c r="A603" t="s">
        <v>883</v>
      </c>
      <c r="B603" t="s">
        <v>467</v>
      </c>
      <c r="C603" t="s">
        <v>11</v>
      </c>
      <c r="D603" t="s">
        <v>12</v>
      </c>
      <c r="E603" t="s">
        <v>391</v>
      </c>
      <c r="H603" t="s">
        <v>392</v>
      </c>
      <c r="I603" t="s">
        <v>888</v>
      </c>
      <c r="L603" t="s">
        <v>394</v>
      </c>
      <c r="M603" t="s">
        <v>837</v>
      </c>
    </row>
    <row r="604" spans="1:13" x14ac:dyDescent="0.3">
      <c r="A604" t="s">
        <v>884</v>
      </c>
      <c r="B604" t="s">
        <v>470</v>
      </c>
      <c r="C604" t="s">
        <v>11</v>
      </c>
      <c r="D604" t="s">
        <v>12</v>
      </c>
      <c r="E604" t="s">
        <v>391</v>
      </c>
      <c r="H604" t="s">
        <v>392</v>
      </c>
      <c r="I604" t="s">
        <v>889</v>
      </c>
      <c r="L604" t="s">
        <v>394</v>
      </c>
      <c r="M604" t="s">
        <v>837</v>
      </c>
    </row>
    <row r="605" spans="1:13" x14ac:dyDescent="0.3">
      <c r="A605" t="s">
        <v>805</v>
      </c>
      <c r="B605" t="s">
        <v>300</v>
      </c>
      <c r="C605" t="s">
        <v>280</v>
      </c>
      <c r="D605" t="s">
        <v>890</v>
      </c>
      <c r="E605" t="s">
        <v>478</v>
      </c>
      <c r="H605" t="s">
        <v>25</v>
      </c>
      <c r="I605" t="s">
        <v>479</v>
      </c>
    </row>
    <row r="606" spans="1:13" x14ac:dyDescent="0.3">
      <c r="A606" t="s">
        <v>805</v>
      </c>
      <c r="B606" t="s">
        <v>300</v>
      </c>
      <c r="C606" t="s">
        <v>308</v>
      </c>
      <c r="D606" t="s">
        <v>891</v>
      </c>
      <c r="E606" t="s">
        <v>484</v>
      </c>
      <c r="H606" t="s">
        <v>25</v>
      </c>
      <c r="I606" t="s">
        <v>485</v>
      </c>
      <c r="L606" t="s">
        <v>312</v>
      </c>
      <c r="M606" t="s">
        <v>343</v>
      </c>
    </row>
    <row r="607" spans="1:13" x14ac:dyDescent="0.3">
      <c r="A607" t="s">
        <v>890</v>
      </c>
      <c r="B607" t="s">
        <v>478</v>
      </c>
      <c r="C607" t="s">
        <v>280</v>
      </c>
      <c r="D607" t="s">
        <v>892</v>
      </c>
      <c r="E607" t="s">
        <v>488</v>
      </c>
      <c r="H607" t="s">
        <v>25</v>
      </c>
      <c r="I607" t="s">
        <v>489</v>
      </c>
    </row>
    <row r="608" spans="1:13" x14ac:dyDescent="0.3">
      <c r="A608" t="s">
        <v>890</v>
      </c>
      <c r="B608" t="s">
        <v>478</v>
      </c>
      <c r="C608" t="s">
        <v>308</v>
      </c>
      <c r="D608" t="s">
        <v>893</v>
      </c>
      <c r="E608" t="s">
        <v>491</v>
      </c>
      <c r="H608" t="s">
        <v>25</v>
      </c>
      <c r="I608" t="s">
        <v>492</v>
      </c>
      <c r="L608" t="s">
        <v>312</v>
      </c>
      <c r="M608" t="s">
        <v>404</v>
      </c>
    </row>
    <row r="609" spans="1:13" x14ac:dyDescent="0.3">
      <c r="A609" t="s">
        <v>890</v>
      </c>
      <c r="B609" t="s">
        <v>478</v>
      </c>
      <c r="C609" t="s">
        <v>308</v>
      </c>
      <c r="D609" t="s">
        <v>894</v>
      </c>
      <c r="E609" t="s">
        <v>494</v>
      </c>
      <c r="H609" t="s">
        <v>25</v>
      </c>
      <c r="I609" t="s">
        <v>495</v>
      </c>
      <c r="L609" t="s">
        <v>312</v>
      </c>
      <c r="M609" t="s">
        <v>496</v>
      </c>
    </row>
    <row r="610" spans="1:13" x14ac:dyDescent="0.3">
      <c r="A610" t="s">
        <v>892</v>
      </c>
      <c r="B610" t="s">
        <v>488</v>
      </c>
      <c r="C610" t="s">
        <v>308</v>
      </c>
      <c r="D610" t="s">
        <v>895</v>
      </c>
      <c r="E610" t="s">
        <v>498</v>
      </c>
      <c r="H610" t="s">
        <v>25</v>
      </c>
      <c r="I610" t="s">
        <v>499</v>
      </c>
      <c r="L610" t="s">
        <v>312</v>
      </c>
      <c r="M610" t="s">
        <v>385</v>
      </c>
    </row>
    <row r="611" spans="1:13" x14ac:dyDescent="0.3">
      <c r="A611" t="s">
        <v>892</v>
      </c>
      <c r="B611" t="s">
        <v>488</v>
      </c>
      <c r="C611" t="s">
        <v>308</v>
      </c>
      <c r="D611" t="s">
        <v>896</v>
      </c>
      <c r="E611" t="s">
        <v>501</v>
      </c>
      <c r="H611" t="s">
        <v>25</v>
      </c>
      <c r="I611" t="s">
        <v>502</v>
      </c>
      <c r="L611" t="s">
        <v>312</v>
      </c>
      <c r="M611" t="s">
        <v>503</v>
      </c>
    </row>
    <row r="612" spans="1:13" x14ac:dyDescent="0.3">
      <c r="A612" t="s">
        <v>896</v>
      </c>
      <c r="B612" t="s">
        <v>501</v>
      </c>
      <c r="C612" t="s">
        <v>11</v>
      </c>
      <c r="D612" t="s">
        <v>12</v>
      </c>
      <c r="E612" t="s">
        <v>391</v>
      </c>
      <c r="H612" t="s">
        <v>392</v>
      </c>
      <c r="I612" t="s">
        <v>897</v>
      </c>
      <c r="L612" t="s">
        <v>394</v>
      </c>
      <c r="M612" t="s">
        <v>837</v>
      </c>
    </row>
    <row r="613" spans="1:13" x14ac:dyDescent="0.3">
      <c r="A613" t="s">
        <v>895</v>
      </c>
      <c r="B613" t="s">
        <v>498</v>
      </c>
      <c r="C613" t="s">
        <v>11</v>
      </c>
      <c r="D613" t="s">
        <v>12</v>
      </c>
      <c r="E613" t="s">
        <v>391</v>
      </c>
      <c r="H613" t="s">
        <v>392</v>
      </c>
      <c r="I613" t="s">
        <v>898</v>
      </c>
      <c r="L613" t="s">
        <v>394</v>
      </c>
      <c r="M613" t="s">
        <v>837</v>
      </c>
    </row>
    <row r="614" spans="1:13" x14ac:dyDescent="0.3">
      <c r="A614" t="s">
        <v>893</v>
      </c>
      <c r="B614" t="s">
        <v>491</v>
      </c>
      <c r="C614" t="s">
        <v>11</v>
      </c>
      <c r="D614" t="s">
        <v>12</v>
      </c>
      <c r="E614" t="s">
        <v>391</v>
      </c>
      <c r="H614" t="s">
        <v>392</v>
      </c>
      <c r="I614" t="s">
        <v>899</v>
      </c>
      <c r="L614" t="s">
        <v>394</v>
      </c>
      <c r="M614" t="s">
        <v>837</v>
      </c>
    </row>
    <row r="615" spans="1:13" x14ac:dyDescent="0.3">
      <c r="A615" t="s">
        <v>894</v>
      </c>
      <c r="B615" t="s">
        <v>494</v>
      </c>
      <c r="C615" t="s">
        <v>11</v>
      </c>
      <c r="D615" t="s">
        <v>12</v>
      </c>
      <c r="E615" t="s">
        <v>391</v>
      </c>
      <c r="H615" t="s">
        <v>392</v>
      </c>
      <c r="I615" t="s">
        <v>900</v>
      </c>
      <c r="L615" t="s">
        <v>394</v>
      </c>
      <c r="M615" t="s">
        <v>837</v>
      </c>
    </row>
    <row r="616" spans="1:13" x14ac:dyDescent="0.3">
      <c r="A616" t="s">
        <v>891</v>
      </c>
      <c r="B616" t="s">
        <v>484</v>
      </c>
      <c r="C616" t="s">
        <v>11</v>
      </c>
      <c r="D616" t="s">
        <v>12</v>
      </c>
      <c r="E616" t="s">
        <v>391</v>
      </c>
      <c r="H616" t="s">
        <v>392</v>
      </c>
      <c r="I616" t="s">
        <v>901</v>
      </c>
      <c r="L616" t="s">
        <v>394</v>
      </c>
      <c r="M616" t="s">
        <v>837</v>
      </c>
    </row>
    <row r="617" spans="1:13" x14ac:dyDescent="0.3">
      <c r="A617" t="s">
        <v>814</v>
      </c>
      <c r="B617" t="s">
        <v>332</v>
      </c>
      <c r="C617" t="s">
        <v>11</v>
      </c>
      <c r="D617" t="s">
        <v>12</v>
      </c>
      <c r="E617" t="s">
        <v>391</v>
      </c>
      <c r="H617" t="s">
        <v>392</v>
      </c>
      <c r="I617" t="s">
        <v>902</v>
      </c>
      <c r="L617" t="s">
        <v>394</v>
      </c>
      <c r="M617" t="s">
        <v>837</v>
      </c>
    </row>
    <row r="618" spans="1:13" s="22" customFormat="1" x14ac:dyDescent="0.3">
      <c r="A618" s="22" t="s">
        <v>831</v>
      </c>
      <c r="B618" s="22" t="s">
        <v>367</v>
      </c>
      <c r="C618" s="22" t="s">
        <v>11</v>
      </c>
      <c r="D618" s="22" t="s">
        <v>12</v>
      </c>
      <c r="E618" s="22" t="s">
        <v>391</v>
      </c>
      <c r="H618" s="22" t="s">
        <v>392</v>
      </c>
      <c r="I618" s="22" t="s">
        <v>903</v>
      </c>
      <c r="L618" s="22" t="s">
        <v>394</v>
      </c>
      <c r="M618" s="22" t="s">
        <v>837</v>
      </c>
    </row>
    <row r="619" spans="1:13" s="22" customFormat="1" x14ac:dyDescent="0.3">
      <c r="A619" s="22" t="s">
        <v>831</v>
      </c>
      <c r="B619" s="23" t="s">
        <v>367</v>
      </c>
      <c r="C619" s="22" t="s">
        <v>11</v>
      </c>
      <c r="D619" s="22" t="s">
        <v>12</v>
      </c>
      <c r="E619" s="22" t="s">
        <v>391</v>
      </c>
      <c r="H619" s="22" t="s">
        <v>392</v>
      </c>
      <c r="I619" s="22" t="s">
        <v>904</v>
      </c>
      <c r="L619" s="22" t="s">
        <v>394</v>
      </c>
      <c r="M619" s="22" t="s">
        <v>837</v>
      </c>
    </row>
    <row r="620" spans="1:13" x14ac:dyDescent="0.3">
      <c r="A620" t="s">
        <v>815</v>
      </c>
      <c r="B620" t="s">
        <v>335</v>
      </c>
      <c r="C620" t="s">
        <v>11</v>
      </c>
      <c r="D620" t="s">
        <v>12</v>
      </c>
      <c r="E620" t="s">
        <v>391</v>
      </c>
      <c r="H620" t="s">
        <v>392</v>
      </c>
      <c r="I620" t="s">
        <v>905</v>
      </c>
      <c r="L620" t="s">
        <v>394</v>
      </c>
      <c r="M620" t="s">
        <v>837</v>
      </c>
    </row>
    <row r="621" spans="1:13" x14ac:dyDescent="0.3">
      <c r="A621" t="s">
        <v>820</v>
      </c>
      <c r="B621" t="s">
        <v>351</v>
      </c>
      <c r="C621" t="s">
        <v>11</v>
      </c>
      <c r="D621" t="s">
        <v>12</v>
      </c>
      <c r="E621" t="s">
        <v>391</v>
      </c>
      <c r="H621" t="s">
        <v>392</v>
      </c>
      <c r="I621" t="s">
        <v>906</v>
      </c>
      <c r="L621" t="s">
        <v>394</v>
      </c>
      <c r="M621" t="s">
        <v>837</v>
      </c>
    </row>
    <row r="622" spans="1:13" x14ac:dyDescent="0.3">
      <c r="A622" t="s">
        <v>816</v>
      </c>
      <c r="B622" t="s">
        <v>338</v>
      </c>
      <c r="C622" t="s">
        <v>11</v>
      </c>
      <c r="D622" t="s">
        <v>12</v>
      </c>
      <c r="E622" t="s">
        <v>391</v>
      </c>
      <c r="H622" t="s">
        <v>392</v>
      </c>
      <c r="I622" t="s">
        <v>907</v>
      </c>
      <c r="L622" t="s">
        <v>394</v>
      </c>
      <c r="M622" t="s">
        <v>837</v>
      </c>
    </row>
    <row r="623" spans="1:13" x14ac:dyDescent="0.3">
      <c r="A623" t="s">
        <v>806</v>
      </c>
      <c r="B623" t="s">
        <v>303</v>
      </c>
      <c r="C623" t="s">
        <v>280</v>
      </c>
      <c r="D623" t="s">
        <v>908</v>
      </c>
      <c r="E623" t="s">
        <v>478</v>
      </c>
      <c r="H623" t="s">
        <v>25</v>
      </c>
      <c r="I623" t="s">
        <v>515</v>
      </c>
    </row>
    <row r="624" spans="1:13" x14ac:dyDescent="0.3">
      <c r="A624" t="s">
        <v>806</v>
      </c>
      <c r="B624" t="s">
        <v>303</v>
      </c>
      <c r="C624" t="s">
        <v>308</v>
      </c>
      <c r="D624" t="s">
        <v>909</v>
      </c>
      <c r="E624" t="s">
        <v>484</v>
      </c>
      <c r="H624" t="s">
        <v>25</v>
      </c>
      <c r="I624" t="s">
        <v>517</v>
      </c>
      <c r="L624" t="s">
        <v>312</v>
      </c>
      <c r="M624" t="s">
        <v>343</v>
      </c>
    </row>
    <row r="625" spans="1:13" x14ac:dyDescent="0.3">
      <c r="A625" t="s">
        <v>806</v>
      </c>
      <c r="B625" t="s">
        <v>303</v>
      </c>
      <c r="C625" t="s">
        <v>308</v>
      </c>
      <c r="D625" t="s">
        <v>910</v>
      </c>
      <c r="E625" t="s">
        <v>481</v>
      </c>
      <c r="H625" t="s">
        <v>25</v>
      </c>
      <c r="I625" t="s">
        <v>519</v>
      </c>
      <c r="L625" t="s">
        <v>312</v>
      </c>
      <c r="M625" t="s">
        <v>343</v>
      </c>
    </row>
    <row r="626" spans="1:13" x14ac:dyDescent="0.3">
      <c r="A626" t="s">
        <v>806</v>
      </c>
      <c r="B626" t="s">
        <v>303</v>
      </c>
      <c r="C626" t="s">
        <v>308</v>
      </c>
      <c r="D626" t="s">
        <v>911</v>
      </c>
      <c r="E626" t="s">
        <v>521</v>
      </c>
      <c r="H626" t="s">
        <v>25</v>
      </c>
      <c r="I626" t="s">
        <v>522</v>
      </c>
      <c r="L626" t="s">
        <v>312</v>
      </c>
      <c r="M626" t="s">
        <v>343</v>
      </c>
    </row>
    <row r="627" spans="1:13" x14ac:dyDescent="0.3">
      <c r="A627" t="s">
        <v>806</v>
      </c>
      <c r="B627" t="s">
        <v>303</v>
      </c>
      <c r="C627" t="s">
        <v>308</v>
      </c>
      <c r="D627" t="s">
        <v>912</v>
      </c>
      <c r="E627" s="1" t="s">
        <v>524</v>
      </c>
      <c r="H627" t="s">
        <v>25</v>
      </c>
      <c r="I627" t="s">
        <v>525</v>
      </c>
      <c r="L627" t="s">
        <v>312</v>
      </c>
      <c r="M627" t="s">
        <v>343</v>
      </c>
    </row>
    <row r="628" spans="1:13" x14ac:dyDescent="0.3">
      <c r="A628" t="s">
        <v>806</v>
      </c>
      <c r="B628" t="s">
        <v>303</v>
      </c>
      <c r="C628" t="s">
        <v>308</v>
      </c>
      <c r="D628" t="s">
        <v>913</v>
      </c>
      <c r="E628" t="s">
        <v>527</v>
      </c>
      <c r="H628" t="s">
        <v>25</v>
      </c>
      <c r="I628" t="s">
        <v>528</v>
      </c>
      <c r="L628" t="s">
        <v>312</v>
      </c>
      <c r="M628" t="s">
        <v>343</v>
      </c>
    </row>
    <row r="629" spans="1:13" x14ac:dyDescent="0.3">
      <c r="A629" t="s">
        <v>910</v>
      </c>
      <c r="B629" t="s">
        <v>481</v>
      </c>
      <c r="C629" t="s">
        <v>11</v>
      </c>
      <c r="D629" t="s">
        <v>12</v>
      </c>
      <c r="E629" t="s">
        <v>391</v>
      </c>
      <c r="H629" t="s">
        <v>392</v>
      </c>
      <c r="I629" t="s">
        <v>914</v>
      </c>
      <c r="L629" t="s">
        <v>394</v>
      </c>
      <c r="M629" t="s">
        <v>837</v>
      </c>
    </row>
    <row r="630" spans="1:13" x14ac:dyDescent="0.3">
      <c r="A630" t="s">
        <v>912</v>
      </c>
      <c r="B630" s="1" t="s">
        <v>524</v>
      </c>
      <c r="C630" t="s">
        <v>11</v>
      </c>
      <c r="D630" t="s">
        <v>12</v>
      </c>
      <c r="E630" t="s">
        <v>391</v>
      </c>
      <c r="H630" t="s">
        <v>392</v>
      </c>
      <c r="I630" t="s">
        <v>915</v>
      </c>
      <c r="L630" t="s">
        <v>394</v>
      </c>
      <c r="M630" t="s">
        <v>837</v>
      </c>
    </row>
    <row r="631" spans="1:13" x14ac:dyDescent="0.3">
      <c r="A631" t="s">
        <v>911</v>
      </c>
      <c r="B631" s="1" t="s">
        <v>521</v>
      </c>
      <c r="C631" t="s">
        <v>11</v>
      </c>
      <c r="D631" t="s">
        <v>12</v>
      </c>
      <c r="E631" t="s">
        <v>391</v>
      </c>
      <c r="H631" t="s">
        <v>392</v>
      </c>
      <c r="I631" t="s">
        <v>916</v>
      </c>
      <c r="L631" t="s">
        <v>394</v>
      </c>
      <c r="M631" t="s">
        <v>837</v>
      </c>
    </row>
    <row r="632" spans="1:13" x14ac:dyDescent="0.3">
      <c r="A632" t="s">
        <v>908</v>
      </c>
      <c r="B632" t="s">
        <v>478</v>
      </c>
      <c r="C632" t="s">
        <v>280</v>
      </c>
      <c r="D632" t="s">
        <v>917</v>
      </c>
      <c r="E632" t="s">
        <v>488</v>
      </c>
      <c r="H632" t="s">
        <v>25</v>
      </c>
      <c r="I632" t="s">
        <v>489</v>
      </c>
    </row>
    <row r="633" spans="1:13" x14ac:dyDescent="0.3">
      <c r="A633" t="s">
        <v>908</v>
      </c>
      <c r="B633" t="s">
        <v>478</v>
      </c>
      <c r="C633" t="s">
        <v>308</v>
      </c>
      <c r="D633" t="s">
        <v>918</v>
      </c>
      <c r="E633" t="s">
        <v>491</v>
      </c>
      <c r="H633" t="s">
        <v>25</v>
      </c>
      <c r="I633" t="s">
        <v>534</v>
      </c>
      <c r="L633" t="s">
        <v>312</v>
      </c>
      <c r="M633" t="s">
        <v>404</v>
      </c>
    </row>
    <row r="634" spans="1:13" x14ac:dyDescent="0.3">
      <c r="A634" t="s">
        <v>908</v>
      </c>
      <c r="B634" t="s">
        <v>478</v>
      </c>
      <c r="C634" t="s">
        <v>308</v>
      </c>
      <c r="D634" t="s">
        <v>919</v>
      </c>
      <c r="E634" t="s">
        <v>494</v>
      </c>
      <c r="H634" t="s">
        <v>25</v>
      </c>
      <c r="I634" t="s">
        <v>536</v>
      </c>
      <c r="L634" t="s">
        <v>312</v>
      </c>
      <c r="M634" t="s">
        <v>496</v>
      </c>
    </row>
    <row r="635" spans="1:13" x14ac:dyDescent="0.3">
      <c r="A635" t="s">
        <v>908</v>
      </c>
      <c r="B635" t="s">
        <v>478</v>
      </c>
      <c r="C635" t="s">
        <v>537</v>
      </c>
      <c r="D635" t="s">
        <v>12</v>
      </c>
      <c r="E635" t="s">
        <v>12</v>
      </c>
      <c r="H635" t="s">
        <v>376</v>
      </c>
      <c r="I635">
        <v>50</v>
      </c>
      <c r="L635" t="s">
        <v>312</v>
      </c>
      <c r="M635" t="s">
        <v>538</v>
      </c>
    </row>
    <row r="636" spans="1:13" x14ac:dyDescent="0.3">
      <c r="A636" t="s">
        <v>908</v>
      </c>
      <c r="B636" t="s">
        <v>478</v>
      </c>
      <c r="C636" t="s">
        <v>539</v>
      </c>
      <c r="D636" t="s">
        <v>12</v>
      </c>
      <c r="E636" t="s">
        <v>12</v>
      </c>
      <c r="H636" t="s">
        <v>376</v>
      </c>
      <c r="I636">
        <v>18.5</v>
      </c>
      <c r="L636" t="s">
        <v>312</v>
      </c>
      <c r="M636" t="s">
        <v>385</v>
      </c>
    </row>
    <row r="637" spans="1:13" x14ac:dyDescent="0.3">
      <c r="A637" t="s">
        <v>908</v>
      </c>
      <c r="B637" t="s">
        <v>478</v>
      </c>
      <c r="C637" t="s">
        <v>540</v>
      </c>
      <c r="D637" t="s">
        <v>12</v>
      </c>
      <c r="E637" t="s">
        <v>12</v>
      </c>
      <c r="H637" t="s">
        <v>376</v>
      </c>
      <c r="I637">
        <v>415</v>
      </c>
      <c r="L637" t="s">
        <v>312</v>
      </c>
      <c r="M637" t="s">
        <v>541</v>
      </c>
    </row>
    <row r="638" spans="1:13" x14ac:dyDescent="0.3">
      <c r="A638" t="s">
        <v>920</v>
      </c>
      <c r="B638" t="s">
        <v>501</v>
      </c>
      <c r="C638" t="s">
        <v>11</v>
      </c>
      <c r="D638" t="s">
        <v>12</v>
      </c>
      <c r="E638" t="s">
        <v>391</v>
      </c>
      <c r="H638" t="s">
        <v>392</v>
      </c>
      <c r="I638" t="s">
        <v>921</v>
      </c>
      <c r="L638" t="s">
        <v>394</v>
      </c>
      <c r="M638" t="s">
        <v>837</v>
      </c>
    </row>
    <row r="639" spans="1:13" x14ac:dyDescent="0.3">
      <c r="A639" t="s">
        <v>917</v>
      </c>
      <c r="B639" t="s">
        <v>488</v>
      </c>
      <c r="C639" t="s">
        <v>308</v>
      </c>
      <c r="D639" t="s">
        <v>922</v>
      </c>
      <c r="E639" t="s">
        <v>498</v>
      </c>
      <c r="H639" t="s">
        <v>25</v>
      </c>
      <c r="I639" t="s">
        <v>545</v>
      </c>
      <c r="L639" t="s">
        <v>312</v>
      </c>
      <c r="M639" t="s">
        <v>385</v>
      </c>
    </row>
    <row r="640" spans="1:13" x14ac:dyDescent="0.3">
      <c r="A640" t="s">
        <v>917</v>
      </c>
      <c r="B640" t="s">
        <v>488</v>
      </c>
      <c r="C640" t="s">
        <v>308</v>
      </c>
      <c r="D640" t="s">
        <v>920</v>
      </c>
      <c r="E640" t="s">
        <v>501</v>
      </c>
      <c r="H640" t="s">
        <v>25</v>
      </c>
      <c r="I640" t="s">
        <v>546</v>
      </c>
      <c r="L640" t="s">
        <v>312</v>
      </c>
      <c r="M640" t="s">
        <v>503</v>
      </c>
    </row>
    <row r="641" spans="1:13" x14ac:dyDescent="0.3">
      <c r="A641" t="s">
        <v>922</v>
      </c>
      <c r="B641" t="s">
        <v>498</v>
      </c>
      <c r="C641" t="s">
        <v>11</v>
      </c>
      <c r="D641" t="s">
        <v>12</v>
      </c>
      <c r="E641" t="s">
        <v>391</v>
      </c>
      <c r="H641" t="s">
        <v>392</v>
      </c>
      <c r="I641" t="s">
        <v>923</v>
      </c>
      <c r="L641" t="s">
        <v>394</v>
      </c>
      <c r="M641" t="s">
        <v>837</v>
      </c>
    </row>
    <row r="642" spans="1:13" x14ac:dyDescent="0.3">
      <c r="A642" t="s">
        <v>918</v>
      </c>
      <c r="B642" t="s">
        <v>491</v>
      </c>
      <c r="C642" t="s">
        <v>11</v>
      </c>
      <c r="D642" t="s">
        <v>12</v>
      </c>
      <c r="E642" t="s">
        <v>391</v>
      </c>
      <c r="H642" t="s">
        <v>392</v>
      </c>
      <c r="I642" t="s">
        <v>924</v>
      </c>
      <c r="L642" t="s">
        <v>394</v>
      </c>
      <c r="M642" t="s">
        <v>837</v>
      </c>
    </row>
    <row r="643" spans="1:13" x14ac:dyDescent="0.3">
      <c r="A643" t="s">
        <v>919</v>
      </c>
      <c r="B643" t="s">
        <v>494</v>
      </c>
      <c r="C643" t="s">
        <v>11</v>
      </c>
      <c r="D643" t="s">
        <v>12</v>
      </c>
      <c r="E643" t="s">
        <v>391</v>
      </c>
      <c r="H643" t="s">
        <v>392</v>
      </c>
      <c r="I643" t="s">
        <v>925</v>
      </c>
      <c r="L643" t="s">
        <v>394</v>
      </c>
      <c r="M643" t="s">
        <v>837</v>
      </c>
    </row>
    <row r="644" spans="1:13" x14ac:dyDescent="0.3">
      <c r="A644" t="s">
        <v>913</v>
      </c>
      <c r="B644" t="s">
        <v>550</v>
      </c>
      <c r="C644" t="s">
        <v>11</v>
      </c>
      <c r="D644" t="s">
        <v>12</v>
      </c>
      <c r="E644" t="s">
        <v>391</v>
      </c>
      <c r="H644" t="s">
        <v>392</v>
      </c>
      <c r="I644" t="s">
        <v>926</v>
      </c>
      <c r="L644" t="s">
        <v>394</v>
      </c>
      <c r="M644" t="s">
        <v>837</v>
      </c>
    </row>
    <row r="645" spans="1:13" x14ac:dyDescent="0.3">
      <c r="A645" t="s">
        <v>909</v>
      </c>
      <c r="B645" t="s">
        <v>484</v>
      </c>
      <c r="C645" t="s">
        <v>11</v>
      </c>
      <c r="D645" t="s">
        <v>12</v>
      </c>
      <c r="E645" t="s">
        <v>391</v>
      </c>
      <c r="H645" t="s">
        <v>392</v>
      </c>
      <c r="I645" t="s">
        <v>927</v>
      </c>
      <c r="L645" t="s">
        <v>394</v>
      </c>
      <c r="M645" t="s">
        <v>837</v>
      </c>
    </row>
    <row r="646" spans="1:13" x14ac:dyDescent="0.3">
      <c r="A646" t="s">
        <v>821</v>
      </c>
      <c r="B646" t="s">
        <v>355</v>
      </c>
      <c r="C646" t="s">
        <v>11</v>
      </c>
      <c r="D646" t="s">
        <v>12</v>
      </c>
      <c r="E646" t="s">
        <v>391</v>
      </c>
      <c r="H646" t="s">
        <v>392</v>
      </c>
      <c r="I646" t="s">
        <v>928</v>
      </c>
      <c r="L646" t="s">
        <v>394</v>
      </c>
      <c r="M646" t="s">
        <v>837</v>
      </c>
    </row>
    <row r="647" spans="1:13" x14ac:dyDescent="0.3">
      <c r="A647" t="s">
        <v>929</v>
      </c>
      <c r="B647" t="s">
        <v>279</v>
      </c>
      <c r="C647" t="s">
        <v>280</v>
      </c>
      <c r="D647" t="s">
        <v>930</v>
      </c>
      <c r="E647" t="s">
        <v>282</v>
      </c>
      <c r="H647" t="s">
        <v>25</v>
      </c>
      <c r="I647" t="s">
        <v>283</v>
      </c>
    </row>
    <row r="648" spans="1:13" x14ac:dyDescent="0.3">
      <c r="A648" t="s">
        <v>929</v>
      </c>
      <c r="B648" t="s">
        <v>279</v>
      </c>
      <c r="C648" t="s">
        <v>280</v>
      </c>
      <c r="D648" t="s">
        <v>931</v>
      </c>
      <c r="E648" t="s">
        <v>285</v>
      </c>
      <c r="H648" t="s">
        <v>25</v>
      </c>
      <c r="I648" t="s">
        <v>286</v>
      </c>
    </row>
    <row r="649" spans="1:13" x14ac:dyDescent="0.3">
      <c r="A649" t="s">
        <v>929</v>
      </c>
      <c r="B649" t="s">
        <v>279</v>
      </c>
      <c r="C649" t="s">
        <v>280</v>
      </c>
      <c r="D649" t="s">
        <v>932</v>
      </c>
      <c r="E649" t="s">
        <v>288</v>
      </c>
      <c r="H649" t="s">
        <v>25</v>
      </c>
      <c r="I649" t="s">
        <v>289</v>
      </c>
    </row>
    <row r="650" spans="1:13" x14ac:dyDescent="0.3">
      <c r="A650" t="s">
        <v>929</v>
      </c>
      <c r="B650" t="s">
        <v>279</v>
      </c>
      <c r="C650" t="s">
        <v>280</v>
      </c>
      <c r="D650" t="s">
        <v>933</v>
      </c>
      <c r="E650" t="s">
        <v>291</v>
      </c>
      <c r="H650" t="s">
        <v>25</v>
      </c>
      <c r="I650" t="s">
        <v>292</v>
      </c>
    </row>
    <row r="651" spans="1:13" x14ac:dyDescent="0.3">
      <c r="A651" t="s">
        <v>929</v>
      </c>
      <c r="B651" t="s">
        <v>279</v>
      </c>
      <c r="C651" t="s">
        <v>280</v>
      </c>
      <c r="D651" t="s">
        <v>934</v>
      </c>
      <c r="E651" t="s">
        <v>294</v>
      </c>
      <c r="H651" t="s">
        <v>25</v>
      </c>
      <c r="I651" t="s">
        <v>295</v>
      </c>
    </row>
    <row r="652" spans="1:13" x14ac:dyDescent="0.3">
      <c r="A652" t="s">
        <v>929</v>
      </c>
      <c r="B652" t="s">
        <v>279</v>
      </c>
      <c r="C652" t="s">
        <v>280</v>
      </c>
      <c r="D652" t="s">
        <v>935</v>
      </c>
      <c r="E652" t="s">
        <v>297</v>
      </c>
      <c r="H652" t="s">
        <v>25</v>
      </c>
      <c r="I652" t="s">
        <v>298</v>
      </c>
    </row>
    <row r="653" spans="1:13" x14ac:dyDescent="0.3">
      <c r="A653" t="s">
        <v>929</v>
      </c>
      <c r="B653" t="s">
        <v>279</v>
      </c>
      <c r="C653" t="s">
        <v>280</v>
      </c>
      <c r="D653" t="s">
        <v>936</v>
      </c>
      <c r="E653" t="s">
        <v>300</v>
      </c>
      <c r="H653" t="s">
        <v>25</v>
      </c>
      <c r="I653" t="s">
        <v>301</v>
      </c>
    </row>
    <row r="654" spans="1:13" x14ac:dyDescent="0.3">
      <c r="A654" t="s">
        <v>929</v>
      </c>
      <c r="B654" t="s">
        <v>279</v>
      </c>
      <c r="C654" t="s">
        <v>280</v>
      </c>
      <c r="D654" t="s">
        <v>937</v>
      </c>
      <c r="E654" t="s">
        <v>303</v>
      </c>
      <c r="H654" t="s">
        <v>25</v>
      </c>
      <c r="I654" t="s">
        <v>304</v>
      </c>
    </row>
    <row r="655" spans="1:13" x14ac:dyDescent="0.3">
      <c r="A655" t="s">
        <v>929</v>
      </c>
      <c r="B655" t="s">
        <v>279</v>
      </c>
      <c r="C655" t="s">
        <v>280</v>
      </c>
      <c r="D655" t="s">
        <v>938</v>
      </c>
      <c r="E655" t="s">
        <v>306</v>
      </c>
      <c r="H655" t="s">
        <v>25</v>
      </c>
      <c r="I655" t="s">
        <v>307</v>
      </c>
    </row>
    <row r="656" spans="1:13" x14ac:dyDescent="0.3">
      <c r="A656" t="s">
        <v>929</v>
      </c>
      <c r="B656" t="s">
        <v>279</v>
      </c>
      <c r="C656" t="s">
        <v>308</v>
      </c>
      <c r="D656" t="s">
        <v>939</v>
      </c>
      <c r="E656" t="s">
        <v>310</v>
      </c>
      <c r="H656" t="s">
        <v>25</v>
      </c>
      <c r="I656" t="s">
        <v>311</v>
      </c>
      <c r="L656" t="s">
        <v>312</v>
      </c>
      <c r="M656" t="s">
        <v>313</v>
      </c>
    </row>
    <row r="657" spans="1:13" x14ac:dyDescent="0.3">
      <c r="A657" t="s">
        <v>929</v>
      </c>
      <c r="B657" t="s">
        <v>279</v>
      </c>
      <c r="C657" t="s">
        <v>308</v>
      </c>
      <c r="D657" t="s">
        <v>940</v>
      </c>
      <c r="E657" t="s">
        <v>315</v>
      </c>
      <c r="H657" t="s">
        <v>25</v>
      </c>
      <c r="I657" t="s">
        <v>316</v>
      </c>
      <c r="L657" t="s">
        <v>312</v>
      </c>
      <c r="M657" t="s">
        <v>317</v>
      </c>
    </row>
    <row r="658" spans="1:13" x14ac:dyDescent="0.3">
      <c r="A658" t="s">
        <v>929</v>
      </c>
      <c r="B658" t="s">
        <v>279</v>
      </c>
      <c r="C658" t="s">
        <v>308</v>
      </c>
      <c r="D658" t="s">
        <v>941</v>
      </c>
      <c r="E658" t="s">
        <v>319</v>
      </c>
      <c r="H658" t="s">
        <v>25</v>
      </c>
      <c r="I658" t="s">
        <v>320</v>
      </c>
      <c r="L658" t="s">
        <v>312</v>
      </c>
      <c r="M658" t="s">
        <v>313</v>
      </c>
    </row>
    <row r="659" spans="1:13" x14ac:dyDescent="0.3">
      <c r="A659" t="s">
        <v>929</v>
      </c>
      <c r="B659" t="s">
        <v>279</v>
      </c>
      <c r="C659" t="s">
        <v>308</v>
      </c>
      <c r="D659" t="s">
        <v>942</v>
      </c>
      <c r="E659" t="s">
        <v>322</v>
      </c>
      <c r="H659" t="s">
        <v>25</v>
      </c>
      <c r="I659" t="s">
        <v>323</v>
      </c>
      <c r="L659" t="s">
        <v>312</v>
      </c>
      <c r="M659" t="s">
        <v>317</v>
      </c>
    </row>
    <row r="660" spans="1:13" x14ac:dyDescent="0.3">
      <c r="A660" t="s">
        <v>929</v>
      </c>
      <c r="B660" t="s">
        <v>279</v>
      </c>
      <c r="C660" t="s">
        <v>308</v>
      </c>
      <c r="D660" t="s">
        <v>943</v>
      </c>
      <c r="E660" t="s">
        <v>325</v>
      </c>
      <c r="H660" t="s">
        <v>25</v>
      </c>
      <c r="I660" t="s">
        <v>326</v>
      </c>
      <c r="L660" t="s">
        <v>312</v>
      </c>
      <c r="M660" t="s">
        <v>327</v>
      </c>
    </row>
    <row r="661" spans="1:13" x14ac:dyDescent="0.3">
      <c r="A661" t="s">
        <v>929</v>
      </c>
      <c r="B661" t="s">
        <v>279</v>
      </c>
      <c r="C661" t="s">
        <v>308</v>
      </c>
      <c r="D661" t="s">
        <v>944</v>
      </c>
      <c r="E661" t="s">
        <v>329</v>
      </c>
      <c r="H661" t="s">
        <v>25</v>
      </c>
      <c r="I661" t="s">
        <v>330</v>
      </c>
      <c r="L661" t="s">
        <v>312</v>
      </c>
      <c r="M661" t="s">
        <v>317</v>
      </c>
    </row>
    <row r="662" spans="1:13" x14ac:dyDescent="0.3">
      <c r="A662" t="s">
        <v>929</v>
      </c>
      <c r="B662" t="s">
        <v>279</v>
      </c>
      <c r="C662" t="s">
        <v>308</v>
      </c>
      <c r="D662" t="s">
        <v>945</v>
      </c>
      <c r="E662" t="s">
        <v>332</v>
      </c>
      <c r="H662" t="s">
        <v>25</v>
      </c>
      <c r="I662" t="s">
        <v>333</v>
      </c>
      <c r="L662" t="s">
        <v>312</v>
      </c>
      <c r="M662" t="s">
        <v>327</v>
      </c>
    </row>
    <row r="663" spans="1:13" x14ac:dyDescent="0.3">
      <c r="A663" t="s">
        <v>929</v>
      </c>
      <c r="B663" t="s">
        <v>279</v>
      </c>
      <c r="C663" t="s">
        <v>308</v>
      </c>
      <c r="D663" t="s">
        <v>946</v>
      </c>
      <c r="E663" t="s">
        <v>335</v>
      </c>
      <c r="H663" t="s">
        <v>25</v>
      </c>
      <c r="I663" t="s">
        <v>336</v>
      </c>
      <c r="L663" t="s">
        <v>312</v>
      </c>
      <c r="M663" t="s">
        <v>313</v>
      </c>
    </row>
    <row r="664" spans="1:13" x14ac:dyDescent="0.3">
      <c r="A664" t="s">
        <v>929</v>
      </c>
      <c r="B664" t="s">
        <v>279</v>
      </c>
      <c r="C664" t="s">
        <v>308</v>
      </c>
      <c r="D664" t="s">
        <v>947</v>
      </c>
      <c r="E664" t="s">
        <v>338</v>
      </c>
      <c r="H664" t="s">
        <v>25</v>
      </c>
      <c r="I664" t="s">
        <v>339</v>
      </c>
      <c r="L664" t="s">
        <v>312</v>
      </c>
      <c r="M664" t="s">
        <v>317</v>
      </c>
    </row>
    <row r="665" spans="1:13" x14ac:dyDescent="0.3">
      <c r="A665" t="s">
        <v>929</v>
      </c>
      <c r="B665" t="s">
        <v>279</v>
      </c>
      <c r="C665" t="s">
        <v>308</v>
      </c>
      <c r="D665" t="s">
        <v>948</v>
      </c>
      <c r="E665" t="s">
        <v>341</v>
      </c>
      <c r="H665" t="s">
        <v>25</v>
      </c>
      <c r="I665" t="s">
        <v>342</v>
      </c>
      <c r="L665" t="s">
        <v>312</v>
      </c>
      <c r="M665" t="s">
        <v>343</v>
      </c>
    </row>
    <row r="666" spans="1:13" x14ac:dyDescent="0.3">
      <c r="A666" t="s">
        <v>929</v>
      </c>
      <c r="B666" t="s">
        <v>279</v>
      </c>
      <c r="C666" t="s">
        <v>308</v>
      </c>
      <c r="D666" t="s">
        <v>949</v>
      </c>
      <c r="E666" t="s">
        <v>345</v>
      </c>
      <c r="H666" t="s">
        <v>25</v>
      </c>
      <c r="I666" t="s">
        <v>346</v>
      </c>
      <c r="L666" t="s">
        <v>312</v>
      </c>
      <c r="M666" t="s">
        <v>313</v>
      </c>
    </row>
    <row r="667" spans="1:13" x14ac:dyDescent="0.3">
      <c r="A667" t="s">
        <v>929</v>
      </c>
      <c r="B667" t="s">
        <v>279</v>
      </c>
      <c r="C667" t="s">
        <v>308</v>
      </c>
      <c r="D667" t="s">
        <v>950</v>
      </c>
      <c r="E667" t="s">
        <v>348</v>
      </c>
      <c r="H667" t="s">
        <v>25</v>
      </c>
      <c r="I667" t="s">
        <v>349</v>
      </c>
      <c r="L667" t="s">
        <v>312</v>
      </c>
      <c r="M667" t="s">
        <v>317</v>
      </c>
    </row>
    <row r="668" spans="1:13" x14ac:dyDescent="0.3">
      <c r="A668" t="s">
        <v>929</v>
      </c>
      <c r="B668" t="s">
        <v>279</v>
      </c>
      <c r="C668" t="s">
        <v>308</v>
      </c>
      <c r="D668" t="s">
        <v>951</v>
      </c>
      <c r="E668" t="s">
        <v>355</v>
      </c>
      <c r="H668" t="s">
        <v>25</v>
      </c>
      <c r="I668" t="s">
        <v>356</v>
      </c>
      <c r="L668" t="s">
        <v>312</v>
      </c>
      <c r="M668" t="s">
        <v>317</v>
      </c>
    </row>
    <row r="669" spans="1:13" x14ac:dyDescent="0.3">
      <c r="A669" t="s">
        <v>929</v>
      </c>
      <c r="B669" t="s">
        <v>279</v>
      </c>
      <c r="C669" t="s">
        <v>308</v>
      </c>
      <c r="D669" t="s">
        <v>952</v>
      </c>
      <c r="E669" t="s">
        <v>358</v>
      </c>
      <c r="H669" t="s">
        <v>25</v>
      </c>
      <c r="I669" t="s">
        <v>359</v>
      </c>
      <c r="L669" t="s">
        <v>312</v>
      </c>
      <c r="M669" t="s">
        <v>343</v>
      </c>
    </row>
    <row r="670" spans="1:13" x14ac:dyDescent="0.3">
      <c r="A670" t="s">
        <v>929</v>
      </c>
      <c r="B670" t="s">
        <v>279</v>
      </c>
      <c r="C670" t="s">
        <v>308</v>
      </c>
      <c r="D670" t="s">
        <v>953</v>
      </c>
      <c r="E670" t="s">
        <v>361</v>
      </c>
      <c r="H670" t="s">
        <v>25</v>
      </c>
      <c r="I670" t="s">
        <v>362</v>
      </c>
      <c r="L670" t="s">
        <v>312</v>
      </c>
      <c r="M670" t="s">
        <v>343</v>
      </c>
    </row>
    <row r="671" spans="1:13" x14ac:dyDescent="0.3">
      <c r="A671" t="s">
        <v>929</v>
      </c>
      <c r="B671" t="s">
        <v>279</v>
      </c>
      <c r="C671" t="s">
        <v>308</v>
      </c>
      <c r="D671" t="s">
        <v>954</v>
      </c>
      <c r="E671" t="s">
        <v>364</v>
      </c>
      <c r="H671" t="s">
        <v>25</v>
      </c>
      <c r="I671" t="s">
        <v>365</v>
      </c>
      <c r="L671" t="s">
        <v>312</v>
      </c>
      <c r="M671" t="s">
        <v>343</v>
      </c>
    </row>
    <row r="672" spans="1:13" x14ac:dyDescent="0.3">
      <c r="A672" t="s">
        <v>929</v>
      </c>
      <c r="B672" t="s">
        <v>279</v>
      </c>
      <c r="C672" t="s">
        <v>308</v>
      </c>
      <c r="D672" t="s">
        <v>955</v>
      </c>
      <c r="E672" t="s">
        <v>367</v>
      </c>
      <c r="H672" t="s">
        <v>25</v>
      </c>
      <c r="I672" t="s">
        <v>368</v>
      </c>
      <c r="L672" t="s">
        <v>312</v>
      </c>
      <c r="M672" t="s">
        <v>353</v>
      </c>
    </row>
    <row r="673" spans="1:13" x14ac:dyDescent="0.3">
      <c r="A673" t="s">
        <v>929</v>
      </c>
      <c r="B673" t="s">
        <v>279</v>
      </c>
      <c r="C673" t="s">
        <v>308</v>
      </c>
      <c r="D673" t="s">
        <v>956</v>
      </c>
      <c r="E673" t="s">
        <v>370</v>
      </c>
      <c r="H673" t="s">
        <v>25</v>
      </c>
      <c r="I673" t="s">
        <v>371</v>
      </c>
      <c r="L673" t="s">
        <v>312</v>
      </c>
      <c r="M673" t="s">
        <v>353</v>
      </c>
    </row>
    <row r="674" spans="1:13" x14ac:dyDescent="0.3">
      <c r="A674" t="s">
        <v>929</v>
      </c>
      <c r="B674" t="s">
        <v>279</v>
      </c>
      <c r="C674" t="s">
        <v>22</v>
      </c>
      <c r="D674" t="s">
        <v>23</v>
      </c>
      <c r="E674" t="s">
        <v>28</v>
      </c>
      <c r="F674" t="s">
        <v>25</v>
      </c>
      <c r="G674" t="s">
        <v>957</v>
      </c>
      <c r="J674" t="s">
        <v>373</v>
      </c>
      <c r="K674" t="s">
        <v>374</v>
      </c>
    </row>
    <row r="675" spans="1:13" x14ac:dyDescent="0.3">
      <c r="A675" t="s">
        <v>929</v>
      </c>
      <c r="B675" t="s">
        <v>279</v>
      </c>
      <c r="C675" t="s">
        <v>375</v>
      </c>
      <c r="D675" t="s">
        <v>12</v>
      </c>
      <c r="E675" t="s">
        <v>12</v>
      </c>
      <c r="H675" t="s">
        <v>376</v>
      </c>
      <c r="I675" t="s">
        <v>958</v>
      </c>
      <c r="L675" t="s">
        <v>312</v>
      </c>
      <c r="M675" t="s">
        <v>327</v>
      </c>
    </row>
    <row r="676" spans="1:13" x14ac:dyDescent="0.3">
      <c r="A676" t="s">
        <v>929</v>
      </c>
      <c r="B676" t="s">
        <v>279</v>
      </c>
      <c r="C676" t="s">
        <v>378</v>
      </c>
      <c r="D676" t="s">
        <v>12</v>
      </c>
      <c r="E676" t="s">
        <v>12</v>
      </c>
      <c r="H676" t="s">
        <v>376</v>
      </c>
      <c r="I676" t="s">
        <v>959</v>
      </c>
      <c r="L676" t="s">
        <v>312</v>
      </c>
      <c r="M676" t="s">
        <v>327</v>
      </c>
    </row>
    <row r="677" spans="1:13" x14ac:dyDescent="0.3">
      <c r="A677" t="s">
        <v>929</v>
      </c>
      <c r="B677" t="s">
        <v>279</v>
      </c>
      <c r="C677" t="s">
        <v>380</v>
      </c>
      <c r="D677" t="s">
        <v>9</v>
      </c>
      <c r="E677" t="s">
        <v>10</v>
      </c>
    </row>
    <row r="678" spans="1:13" x14ac:dyDescent="0.3">
      <c r="A678" t="s">
        <v>929</v>
      </c>
      <c r="B678" t="s">
        <v>279</v>
      </c>
      <c r="C678" t="s">
        <v>16</v>
      </c>
      <c r="D678" t="s">
        <v>381</v>
      </c>
      <c r="E678" t="s">
        <v>37</v>
      </c>
    </row>
    <row r="679" spans="1:13" x14ac:dyDescent="0.3">
      <c r="A679" t="s">
        <v>929</v>
      </c>
      <c r="B679" t="s">
        <v>279</v>
      </c>
      <c r="C679" t="s">
        <v>11</v>
      </c>
      <c r="D679" t="s">
        <v>12</v>
      </c>
      <c r="E679" t="s">
        <v>13</v>
      </c>
      <c r="H679" t="s">
        <v>382</v>
      </c>
      <c r="I679" t="s">
        <v>960</v>
      </c>
      <c r="L679" t="s">
        <v>14</v>
      </c>
      <c r="M679" t="s">
        <v>960</v>
      </c>
    </row>
    <row r="680" spans="1:13" x14ac:dyDescent="0.3">
      <c r="A680" t="s">
        <v>930</v>
      </c>
      <c r="B680" t="s">
        <v>282</v>
      </c>
      <c r="C680" t="s">
        <v>384</v>
      </c>
      <c r="D680" t="s">
        <v>12</v>
      </c>
      <c r="E680" t="s">
        <v>12</v>
      </c>
      <c r="H680" t="s">
        <v>376</v>
      </c>
      <c r="I680">
        <v>29.5</v>
      </c>
      <c r="L680" t="s">
        <v>312</v>
      </c>
      <c r="M680" t="s">
        <v>385</v>
      </c>
    </row>
    <row r="681" spans="1:13" x14ac:dyDescent="0.3">
      <c r="A681" t="s">
        <v>930</v>
      </c>
      <c r="B681" t="s">
        <v>282</v>
      </c>
      <c r="C681" t="s">
        <v>280</v>
      </c>
      <c r="D681" t="s">
        <v>961</v>
      </c>
      <c r="E681" t="s">
        <v>387</v>
      </c>
      <c r="H681" t="s">
        <v>25</v>
      </c>
      <c r="I681" t="s">
        <v>388</v>
      </c>
    </row>
    <row r="682" spans="1:13" x14ac:dyDescent="0.3">
      <c r="A682" t="s">
        <v>962</v>
      </c>
      <c r="B682" t="s">
        <v>390</v>
      </c>
      <c r="C682" t="s">
        <v>11</v>
      </c>
      <c r="D682" t="s">
        <v>12</v>
      </c>
      <c r="E682" t="s">
        <v>391</v>
      </c>
      <c r="H682" t="s">
        <v>392</v>
      </c>
      <c r="I682" t="s">
        <v>393</v>
      </c>
      <c r="L682" t="s">
        <v>394</v>
      </c>
      <c r="M682" t="s">
        <v>960</v>
      </c>
    </row>
    <row r="683" spans="1:13" x14ac:dyDescent="0.3">
      <c r="A683" t="s">
        <v>963</v>
      </c>
      <c r="B683" t="s">
        <v>396</v>
      </c>
      <c r="C683" t="s">
        <v>11</v>
      </c>
      <c r="D683" t="s">
        <v>12</v>
      </c>
      <c r="E683" t="s">
        <v>391</v>
      </c>
      <c r="H683" t="s">
        <v>392</v>
      </c>
      <c r="I683" t="s">
        <v>397</v>
      </c>
      <c r="L683" t="s">
        <v>394</v>
      </c>
      <c r="M683" t="s">
        <v>960</v>
      </c>
    </row>
    <row r="684" spans="1:13" x14ac:dyDescent="0.3">
      <c r="A684" t="s">
        <v>961</v>
      </c>
      <c r="B684" t="s">
        <v>387</v>
      </c>
      <c r="C684" t="s">
        <v>280</v>
      </c>
      <c r="D684" t="s">
        <v>964</v>
      </c>
      <c r="E684" t="s">
        <v>399</v>
      </c>
      <c r="H684" t="s">
        <v>25</v>
      </c>
      <c r="I684" t="s">
        <v>400</v>
      </c>
    </row>
    <row r="685" spans="1:13" x14ac:dyDescent="0.3">
      <c r="A685" t="s">
        <v>961</v>
      </c>
      <c r="B685" t="s">
        <v>387</v>
      </c>
      <c r="C685" t="s">
        <v>308</v>
      </c>
      <c r="D685" t="s">
        <v>965</v>
      </c>
      <c r="E685" t="s">
        <v>402</v>
      </c>
      <c r="H685" t="s">
        <v>25</v>
      </c>
      <c r="I685" t="s">
        <v>403</v>
      </c>
      <c r="L685" t="s">
        <v>312</v>
      </c>
      <c r="M685" t="s">
        <v>404</v>
      </c>
    </row>
    <row r="686" spans="1:13" x14ac:dyDescent="0.3">
      <c r="A686" t="s">
        <v>961</v>
      </c>
      <c r="B686" t="s">
        <v>387</v>
      </c>
      <c r="C686" t="s">
        <v>308</v>
      </c>
      <c r="D686" t="s">
        <v>966</v>
      </c>
      <c r="E686" t="s">
        <v>406</v>
      </c>
      <c r="H686" t="s">
        <v>25</v>
      </c>
      <c r="I686" t="s">
        <v>407</v>
      </c>
      <c r="L686" t="s">
        <v>312</v>
      </c>
      <c r="M686" t="s">
        <v>404</v>
      </c>
    </row>
    <row r="687" spans="1:13" x14ac:dyDescent="0.3">
      <c r="A687" t="s">
        <v>965</v>
      </c>
      <c r="B687" t="s">
        <v>402</v>
      </c>
      <c r="C687" t="s">
        <v>11</v>
      </c>
      <c r="D687" t="s">
        <v>12</v>
      </c>
      <c r="E687" t="s">
        <v>391</v>
      </c>
      <c r="H687" t="s">
        <v>392</v>
      </c>
      <c r="I687" t="s">
        <v>967</v>
      </c>
      <c r="L687" t="s">
        <v>394</v>
      </c>
      <c r="M687" t="s">
        <v>960</v>
      </c>
    </row>
    <row r="688" spans="1:13" x14ac:dyDescent="0.3">
      <c r="A688" t="s">
        <v>966</v>
      </c>
      <c r="B688" t="s">
        <v>406</v>
      </c>
      <c r="C688" t="s">
        <v>11</v>
      </c>
      <c r="D688" t="s">
        <v>12</v>
      </c>
      <c r="E688" t="s">
        <v>391</v>
      </c>
      <c r="H688" t="s">
        <v>392</v>
      </c>
      <c r="I688" t="s">
        <v>968</v>
      </c>
      <c r="L688" t="s">
        <v>394</v>
      </c>
      <c r="M688" t="s">
        <v>960</v>
      </c>
    </row>
    <row r="689" spans="1:13" x14ac:dyDescent="0.3">
      <c r="A689" t="s">
        <v>964</v>
      </c>
      <c r="B689" t="s">
        <v>399</v>
      </c>
      <c r="C689" t="s">
        <v>308</v>
      </c>
      <c r="D689" t="s">
        <v>962</v>
      </c>
      <c r="E689" t="s">
        <v>390</v>
      </c>
      <c r="H689" t="s">
        <v>25</v>
      </c>
      <c r="I689" t="s">
        <v>410</v>
      </c>
      <c r="L689" t="s">
        <v>312</v>
      </c>
      <c r="M689" t="s">
        <v>411</v>
      </c>
    </row>
    <row r="690" spans="1:13" x14ac:dyDescent="0.3">
      <c r="A690" t="s">
        <v>964</v>
      </c>
      <c r="B690" t="s">
        <v>399</v>
      </c>
      <c r="C690" t="s">
        <v>308</v>
      </c>
      <c r="D690" t="s">
        <v>963</v>
      </c>
      <c r="E690" t="s">
        <v>396</v>
      </c>
      <c r="H690" t="s">
        <v>25</v>
      </c>
      <c r="I690" t="s">
        <v>412</v>
      </c>
      <c r="L690" t="s">
        <v>312</v>
      </c>
      <c r="M690" t="s">
        <v>413</v>
      </c>
    </row>
    <row r="691" spans="1:13" x14ac:dyDescent="0.3">
      <c r="A691" t="s">
        <v>949</v>
      </c>
      <c r="B691" t="s">
        <v>345</v>
      </c>
      <c r="C691" t="s">
        <v>11</v>
      </c>
      <c r="D691" t="s">
        <v>12</v>
      </c>
      <c r="E691" t="s">
        <v>391</v>
      </c>
      <c r="H691" t="s">
        <v>392</v>
      </c>
      <c r="I691" t="s">
        <v>969</v>
      </c>
      <c r="L691" t="s">
        <v>394</v>
      </c>
      <c r="M691" t="s">
        <v>960</v>
      </c>
    </row>
    <row r="692" spans="1:13" x14ac:dyDescent="0.3">
      <c r="A692" t="s">
        <v>935</v>
      </c>
      <c r="B692" t="s">
        <v>297</v>
      </c>
      <c r="C692" t="s">
        <v>308</v>
      </c>
      <c r="D692" t="s">
        <v>970</v>
      </c>
      <c r="E692" t="s">
        <v>402</v>
      </c>
      <c r="H692" t="s">
        <v>25</v>
      </c>
      <c r="I692" t="s">
        <v>416</v>
      </c>
      <c r="L692" t="s">
        <v>312</v>
      </c>
      <c r="M692" t="s">
        <v>404</v>
      </c>
    </row>
    <row r="693" spans="1:13" x14ac:dyDescent="0.3">
      <c r="A693" t="s">
        <v>935</v>
      </c>
      <c r="B693" t="s">
        <v>297</v>
      </c>
      <c r="C693" t="s">
        <v>308</v>
      </c>
      <c r="D693" t="s">
        <v>971</v>
      </c>
      <c r="E693" t="s">
        <v>406</v>
      </c>
      <c r="H693" t="s">
        <v>25</v>
      </c>
      <c r="I693" t="s">
        <v>418</v>
      </c>
      <c r="L693" t="s">
        <v>312</v>
      </c>
      <c r="M693" t="s">
        <v>404</v>
      </c>
    </row>
    <row r="694" spans="1:13" x14ac:dyDescent="0.3">
      <c r="A694" t="s">
        <v>935</v>
      </c>
      <c r="B694" t="s">
        <v>297</v>
      </c>
      <c r="C694" t="s">
        <v>308</v>
      </c>
      <c r="D694" t="s">
        <v>972</v>
      </c>
      <c r="E694" t="s">
        <v>420</v>
      </c>
      <c r="H694" t="s">
        <v>25</v>
      </c>
      <c r="I694" t="s">
        <v>421</v>
      </c>
      <c r="L694" t="s">
        <v>312</v>
      </c>
      <c r="M694" t="s">
        <v>343</v>
      </c>
    </row>
    <row r="695" spans="1:13" x14ac:dyDescent="0.3">
      <c r="A695" t="s">
        <v>970</v>
      </c>
      <c r="B695" t="s">
        <v>402</v>
      </c>
      <c r="C695" t="s">
        <v>11</v>
      </c>
      <c r="D695" t="s">
        <v>12</v>
      </c>
      <c r="E695" t="s">
        <v>391</v>
      </c>
      <c r="H695" t="s">
        <v>392</v>
      </c>
      <c r="I695" t="s">
        <v>973</v>
      </c>
      <c r="L695" t="s">
        <v>394</v>
      </c>
      <c r="M695" t="s">
        <v>960</v>
      </c>
    </row>
    <row r="696" spans="1:13" x14ac:dyDescent="0.3">
      <c r="A696" t="s">
        <v>971</v>
      </c>
      <c r="B696" t="s">
        <v>406</v>
      </c>
      <c r="C696" t="s">
        <v>11</v>
      </c>
      <c r="D696" t="s">
        <v>12</v>
      </c>
      <c r="E696" t="s">
        <v>391</v>
      </c>
      <c r="H696" t="s">
        <v>392</v>
      </c>
      <c r="I696" t="s">
        <v>974</v>
      </c>
      <c r="L696" t="s">
        <v>394</v>
      </c>
      <c r="M696" t="s">
        <v>960</v>
      </c>
    </row>
    <row r="697" spans="1:13" x14ac:dyDescent="0.3">
      <c r="A697" t="s">
        <v>972</v>
      </c>
      <c r="B697" t="s">
        <v>420</v>
      </c>
      <c r="C697" t="s">
        <v>11</v>
      </c>
      <c r="D697" t="s">
        <v>12</v>
      </c>
      <c r="E697" t="s">
        <v>391</v>
      </c>
      <c r="H697" t="s">
        <v>392</v>
      </c>
      <c r="I697" t="s">
        <v>975</v>
      </c>
      <c r="L697" t="s">
        <v>394</v>
      </c>
      <c r="M697" t="s">
        <v>960</v>
      </c>
    </row>
    <row r="698" spans="1:13" x14ac:dyDescent="0.3">
      <c r="A698" t="s">
        <v>952</v>
      </c>
      <c r="B698" t="s">
        <v>358</v>
      </c>
      <c r="C698" t="s">
        <v>11</v>
      </c>
      <c r="D698" t="s">
        <v>12</v>
      </c>
      <c r="E698" t="s">
        <v>391</v>
      </c>
      <c r="H698" t="s">
        <v>392</v>
      </c>
      <c r="I698" t="s">
        <v>976</v>
      </c>
      <c r="L698" t="s">
        <v>394</v>
      </c>
      <c r="M698" t="s">
        <v>960</v>
      </c>
    </row>
    <row r="699" spans="1:13" x14ac:dyDescent="0.3">
      <c r="A699" t="s">
        <v>938</v>
      </c>
      <c r="B699" t="s">
        <v>306</v>
      </c>
      <c r="C699" t="s">
        <v>308</v>
      </c>
      <c r="D699" t="s">
        <v>977</v>
      </c>
      <c r="E699" t="s">
        <v>427</v>
      </c>
      <c r="H699" t="s">
        <v>25</v>
      </c>
      <c r="I699" t="s">
        <v>428</v>
      </c>
      <c r="L699" t="s">
        <v>312</v>
      </c>
      <c r="M699" t="s">
        <v>404</v>
      </c>
    </row>
    <row r="700" spans="1:13" x14ac:dyDescent="0.3">
      <c r="A700" t="s">
        <v>977</v>
      </c>
      <c r="B700" t="s">
        <v>427</v>
      </c>
      <c r="C700" t="s">
        <v>11</v>
      </c>
      <c r="D700" t="s">
        <v>12</v>
      </c>
      <c r="E700" t="s">
        <v>391</v>
      </c>
      <c r="H700" t="s">
        <v>392</v>
      </c>
      <c r="I700" t="s">
        <v>978</v>
      </c>
      <c r="L700" t="s">
        <v>394</v>
      </c>
      <c r="M700" t="s">
        <v>960</v>
      </c>
    </row>
    <row r="701" spans="1:13" x14ac:dyDescent="0.3">
      <c r="A701" t="s">
        <v>954</v>
      </c>
      <c r="B701" t="s">
        <v>364</v>
      </c>
      <c r="C701" t="s">
        <v>11</v>
      </c>
      <c r="D701" t="s">
        <v>12</v>
      </c>
      <c r="E701" t="s">
        <v>391</v>
      </c>
      <c r="H701" t="s">
        <v>392</v>
      </c>
      <c r="I701" t="s">
        <v>979</v>
      </c>
      <c r="L701" t="s">
        <v>394</v>
      </c>
      <c r="M701" t="s">
        <v>960</v>
      </c>
    </row>
    <row r="702" spans="1:13" x14ac:dyDescent="0.3">
      <c r="A702" t="s">
        <v>944</v>
      </c>
      <c r="B702" t="s">
        <v>329</v>
      </c>
      <c r="C702" t="s">
        <v>11</v>
      </c>
      <c r="D702" t="s">
        <v>12</v>
      </c>
      <c r="E702" t="s">
        <v>391</v>
      </c>
      <c r="H702" t="s">
        <v>392</v>
      </c>
      <c r="I702" t="s">
        <v>980</v>
      </c>
      <c r="L702" t="s">
        <v>394</v>
      </c>
      <c r="M702" t="s">
        <v>960</v>
      </c>
    </row>
    <row r="703" spans="1:13" x14ac:dyDescent="0.3">
      <c r="A703" t="s">
        <v>934</v>
      </c>
      <c r="B703" t="s">
        <v>294</v>
      </c>
      <c r="C703" t="s">
        <v>308</v>
      </c>
      <c r="D703" t="s">
        <v>981</v>
      </c>
      <c r="E703" t="s">
        <v>402</v>
      </c>
      <c r="H703" t="s">
        <v>25</v>
      </c>
      <c r="I703" t="s">
        <v>433</v>
      </c>
      <c r="L703" t="s">
        <v>312</v>
      </c>
      <c r="M703" t="s">
        <v>404</v>
      </c>
    </row>
    <row r="704" spans="1:13" x14ac:dyDescent="0.3">
      <c r="A704" t="s">
        <v>934</v>
      </c>
      <c r="B704" t="s">
        <v>294</v>
      </c>
      <c r="C704" t="s">
        <v>308</v>
      </c>
      <c r="D704" t="s">
        <v>982</v>
      </c>
      <c r="E704" t="s">
        <v>406</v>
      </c>
      <c r="H704" t="s">
        <v>25</v>
      </c>
      <c r="I704" t="s">
        <v>435</v>
      </c>
      <c r="L704" t="s">
        <v>312</v>
      </c>
      <c r="M704" t="s">
        <v>404</v>
      </c>
    </row>
    <row r="705" spans="1:13" x14ac:dyDescent="0.3">
      <c r="A705" t="s">
        <v>981</v>
      </c>
      <c r="B705" t="s">
        <v>402</v>
      </c>
      <c r="C705" t="s">
        <v>11</v>
      </c>
      <c r="D705" t="s">
        <v>12</v>
      </c>
      <c r="E705" t="s">
        <v>391</v>
      </c>
      <c r="H705" t="s">
        <v>392</v>
      </c>
      <c r="I705" t="s">
        <v>983</v>
      </c>
      <c r="L705" t="s">
        <v>394</v>
      </c>
      <c r="M705" t="s">
        <v>960</v>
      </c>
    </row>
    <row r="706" spans="1:13" x14ac:dyDescent="0.3">
      <c r="A706" t="s">
        <v>982</v>
      </c>
      <c r="B706" t="s">
        <v>406</v>
      </c>
      <c r="C706" t="s">
        <v>11</v>
      </c>
      <c r="D706" t="s">
        <v>12</v>
      </c>
      <c r="E706" t="s">
        <v>391</v>
      </c>
      <c r="H706" t="s">
        <v>392</v>
      </c>
      <c r="I706" t="s">
        <v>984</v>
      </c>
      <c r="L706" t="s">
        <v>394</v>
      </c>
      <c r="M706" t="s">
        <v>960</v>
      </c>
    </row>
    <row r="707" spans="1:13" x14ac:dyDescent="0.3">
      <c r="A707" t="s">
        <v>939</v>
      </c>
      <c r="B707" t="s">
        <v>310</v>
      </c>
      <c r="C707" t="s">
        <v>11</v>
      </c>
      <c r="D707" t="s">
        <v>12</v>
      </c>
      <c r="E707" t="s">
        <v>391</v>
      </c>
      <c r="H707" t="s">
        <v>392</v>
      </c>
      <c r="I707" t="s">
        <v>985</v>
      </c>
      <c r="L707" t="s">
        <v>394</v>
      </c>
      <c r="M707" t="s">
        <v>960</v>
      </c>
    </row>
    <row r="708" spans="1:13" x14ac:dyDescent="0.3">
      <c r="A708" t="s">
        <v>940</v>
      </c>
      <c r="B708" t="s">
        <v>315</v>
      </c>
      <c r="C708" t="s">
        <v>11</v>
      </c>
      <c r="D708" t="s">
        <v>12</v>
      </c>
      <c r="E708" t="s">
        <v>391</v>
      </c>
      <c r="H708" t="s">
        <v>392</v>
      </c>
      <c r="I708" t="s">
        <v>986</v>
      </c>
      <c r="L708" t="s">
        <v>394</v>
      </c>
      <c r="M708" t="s">
        <v>960</v>
      </c>
    </row>
    <row r="709" spans="1:13" x14ac:dyDescent="0.3">
      <c r="A709" t="s">
        <v>932</v>
      </c>
      <c r="B709" t="s">
        <v>288</v>
      </c>
      <c r="C709" t="s">
        <v>308</v>
      </c>
      <c r="D709" t="s">
        <v>987</v>
      </c>
      <c r="E709" t="s">
        <v>402</v>
      </c>
      <c r="H709" t="s">
        <v>25</v>
      </c>
      <c r="I709" t="s">
        <v>441</v>
      </c>
      <c r="L709" t="s">
        <v>312</v>
      </c>
      <c r="M709" t="s">
        <v>404</v>
      </c>
    </row>
    <row r="710" spans="1:13" x14ac:dyDescent="0.3">
      <c r="A710" t="s">
        <v>932</v>
      </c>
      <c r="B710" t="s">
        <v>288</v>
      </c>
      <c r="C710" t="s">
        <v>308</v>
      </c>
      <c r="D710" t="s">
        <v>988</v>
      </c>
      <c r="E710" t="s">
        <v>406</v>
      </c>
      <c r="H710" t="s">
        <v>25</v>
      </c>
      <c r="I710" t="s">
        <v>443</v>
      </c>
      <c r="L710" t="s">
        <v>312</v>
      </c>
      <c r="M710" t="s">
        <v>404</v>
      </c>
    </row>
    <row r="711" spans="1:13" x14ac:dyDescent="0.3">
      <c r="A711" t="s">
        <v>932</v>
      </c>
      <c r="B711" t="s">
        <v>288</v>
      </c>
      <c r="C711" t="s">
        <v>308</v>
      </c>
      <c r="D711" t="s">
        <v>989</v>
      </c>
      <c r="E711" t="s">
        <v>420</v>
      </c>
      <c r="H711" t="s">
        <v>25</v>
      </c>
      <c r="I711" t="s">
        <v>445</v>
      </c>
      <c r="L711" t="s">
        <v>312</v>
      </c>
      <c r="M711" t="s">
        <v>343</v>
      </c>
    </row>
    <row r="712" spans="1:13" x14ac:dyDescent="0.3">
      <c r="A712" t="s">
        <v>987</v>
      </c>
      <c r="B712" t="s">
        <v>402</v>
      </c>
      <c r="C712" t="s">
        <v>11</v>
      </c>
      <c r="D712" t="s">
        <v>12</v>
      </c>
      <c r="E712" t="s">
        <v>391</v>
      </c>
      <c r="H712" t="s">
        <v>392</v>
      </c>
      <c r="I712" t="s">
        <v>990</v>
      </c>
      <c r="L712" t="s">
        <v>394</v>
      </c>
      <c r="M712" t="s">
        <v>960</v>
      </c>
    </row>
    <row r="713" spans="1:13" x14ac:dyDescent="0.3">
      <c r="A713" t="s">
        <v>988</v>
      </c>
      <c r="B713" t="s">
        <v>406</v>
      </c>
      <c r="C713" t="s">
        <v>11</v>
      </c>
      <c r="D713" t="s">
        <v>12</v>
      </c>
      <c r="E713" t="s">
        <v>391</v>
      </c>
      <c r="H713" t="s">
        <v>392</v>
      </c>
      <c r="I713" t="s">
        <v>991</v>
      </c>
      <c r="L713" t="s">
        <v>394</v>
      </c>
      <c r="M713" t="s">
        <v>960</v>
      </c>
    </row>
    <row r="714" spans="1:13" x14ac:dyDescent="0.3">
      <c r="A714" t="s">
        <v>989</v>
      </c>
      <c r="B714" t="s">
        <v>420</v>
      </c>
      <c r="C714" t="s">
        <v>11</v>
      </c>
      <c r="D714" t="s">
        <v>12</v>
      </c>
      <c r="E714" t="s">
        <v>391</v>
      </c>
      <c r="H714" t="s">
        <v>392</v>
      </c>
      <c r="I714" t="s">
        <v>992</v>
      </c>
      <c r="L714" t="s">
        <v>394</v>
      </c>
      <c r="M714" t="s">
        <v>960</v>
      </c>
    </row>
    <row r="715" spans="1:13" x14ac:dyDescent="0.3">
      <c r="A715" t="s">
        <v>950</v>
      </c>
      <c r="B715" t="s">
        <v>348</v>
      </c>
      <c r="C715" t="s">
        <v>11</v>
      </c>
      <c r="D715" t="s">
        <v>12</v>
      </c>
      <c r="E715" t="s">
        <v>391</v>
      </c>
      <c r="H715" t="s">
        <v>392</v>
      </c>
      <c r="I715" t="s">
        <v>993</v>
      </c>
      <c r="L715" t="s">
        <v>394</v>
      </c>
      <c r="M715" t="s">
        <v>960</v>
      </c>
    </row>
    <row r="716" spans="1:13" x14ac:dyDescent="0.3">
      <c r="A716" t="s">
        <v>948</v>
      </c>
      <c r="B716" t="s">
        <v>341</v>
      </c>
      <c r="C716" t="s">
        <v>11</v>
      </c>
      <c r="D716" t="s">
        <v>12</v>
      </c>
      <c r="E716" t="s">
        <v>391</v>
      </c>
      <c r="H716" t="s">
        <v>392</v>
      </c>
      <c r="I716" t="s">
        <v>994</v>
      </c>
      <c r="L716" t="s">
        <v>394</v>
      </c>
      <c r="M716" t="s">
        <v>960</v>
      </c>
    </row>
    <row r="717" spans="1:13" x14ac:dyDescent="0.3">
      <c r="A717" t="s">
        <v>953</v>
      </c>
      <c r="B717" t="s">
        <v>361</v>
      </c>
      <c r="C717" t="s">
        <v>11</v>
      </c>
      <c r="D717" t="s">
        <v>12</v>
      </c>
      <c r="E717" t="s">
        <v>391</v>
      </c>
      <c r="H717" t="s">
        <v>392</v>
      </c>
      <c r="I717" t="s">
        <v>995</v>
      </c>
      <c r="L717" t="s">
        <v>394</v>
      </c>
      <c r="M717" t="s">
        <v>960</v>
      </c>
    </row>
    <row r="718" spans="1:13" x14ac:dyDescent="0.3">
      <c r="A718" t="s">
        <v>943</v>
      </c>
      <c r="B718" t="s">
        <v>325</v>
      </c>
      <c r="C718" t="s">
        <v>11</v>
      </c>
      <c r="D718" t="s">
        <v>12</v>
      </c>
      <c r="E718" t="s">
        <v>391</v>
      </c>
      <c r="H718" t="s">
        <v>392</v>
      </c>
      <c r="I718" t="s">
        <v>996</v>
      </c>
      <c r="L718" t="s">
        <v>394</v>
      </c>
      <c r="M718" t="s">
        <v>960</v>
      </c>
    </row>
    <row r="719" spans="1:13" x14ac:dyDescent="0.3">
      <c r="A719" t="s">
        <v>956</v>
      </c>
      <c r="B719" t="s">
        <v>453</v>
      </c>
      <c r="C719" t="s">
        <v>11</v>
      </c>
      <c r="D719" t="s">
        <v>12</v>
      </c>
      <c r="E719" t="s">
        <v>391</v>
      </c>
      <c r="H719" t="s">
        <v>392</v>
      </c>
      <c r="I719" t="s">
        <v>454</v>
      </c>
      <c r="L719" t="s">
        <v>394</v>
      </c>
      <c r="M719" t="s">
        <v>960</v>
      </c>
    </row>
    <row r="720" spans="1:13" x14ac:dyDescent="0.3">
      <c r="A720" t="s">
        <v>941</v>
      </c>
      <c r="B720" t="s">
        <v>319</v>
      </c>
      <c r="C720" t="s">
        <v>11</v>
      </c>
      <c r="D720" t="s">
        <v>12</v>
      </c>
      <c r="E720" t="s">
        <v>391</v>
      </c>
      <c r="H720" t="s">
        <v>392</v>
      </c>
      <c r="I720" t="s">
        <v>997</v>
      </c>
      <c r="L720" t="s">
        <v>394</v>
      </c>
      <c r="M720" t="s">
        <v>960</v>
      </c>
    </row>
    <row r="721" spans="1:13" x14ac:dyDescent="0.3">
      <c r="A721" t="s">
        <v>942</v>
      </c>
      <c r="B721" t="s">
        <v>322</v>
      </c>
      <c r="C721" t="s">
        <v>11</v>
      </c>
      <c r="D721" t="s">
        <v>12</v>
      </c>
      <c r="E721" t="s">
        <v>391</v>
      </c>
      <c r="H721" t="s">
        <v>392</v>
      </c>
      <c r="I721" t="s">
        <v>998</v>
      </c>
      <c r="L721" t="s">
        <v>394</v>
      </c>
      <c r="M721" t="s">
        <v>960</v>
      </c>
    </row>
    <row r="722" spans="1:13" x14ac:dyDescent="0.3">
      <c r="A722" t="s">
        <v>933</v>
      </c>
      <c r="B722" t="s">
        <v>291</v>
      </c>
      <c r="C722" t="s">
        <v>308</v>
      </c>
      <c r="D722" t="s">
        <v>999</v>
      </c>
      <c r="E722" t="s">
        <v>458</v>
      </c>
      <c r="H722" t="s">
        <v>25</v>
      </c>
      <c r="I722" t="s">
        <v>459</v>
      </c>
      <c r="L722" t="s">
        <v>312</v>
      </c>
      <c r="M722" t="s">
        <v>404</v>
      </c>
    </row>
    <row r="723" spans="1:13" x14ac:dyDescent="0.3">
      <c r="A723" t="s">
        <v>933</v>
      </c>
      <c r="B723" t="s">
        <v>291</v>
      </c>
      <c r="C723" t="s">
        <v>308</v>
      </c>
      <c r="D723" t="s">
        <v>1000</v>
      </c>
      <c r="E723" t="s">
        <v>461</v>
      </c>
      <c r="H723" t="s">
        <v>25</v>
      </c>
      <c r="I723" t="s">
        <v>462</v>
      </c>
      <c r="L723" t="s">
        <v>312</v>
      </c>
      <c r="M723" t="s">
        <v>404</v>
      </c>
    </row>
    <row r="724" spans="1:13" x14ac:dyDescent="0.3">
      <c r="A724" t="s">
        <v>933</v>
      </c>
      <c r="B724" t="s">
        <v>291</v>
      </c>
      <c r="C724" t="s">
        <v>308</v>
      </c>
      <c r="D724" t="s">
        <v>1001</v>
      </c>
      <c r="E724" t="s">
        <v>464</v>
      </c>
      <c r="H724" t="s">
        <v>25</v>
      </c>
      <c r="I724" t="s">
        <v>465</v>
      </c>
      <c r="L724" t="s">
        <v>312</v>
      </c>
      <c r="M724" t="s">
        <v>404</v>
      </c>
    </row>
    <row r="725" spans="1:13" x14ac:dyDescent="0.3">
      <c r="A725" t="s">
        <v>933</v>
      </c>
      <c r="B725" t="s">
        <v>291</v>
      </c>
      <c r="C725" t="s">
        <v>308</v>
      </c>
      <c r="D725" t="s">
        <v>1002</v>
      </c>
      <c r="E725" t="s">
        <v>467</v>
      </c>
      <c r="H725" t="s">
        <v>25</v>
      </c>
      <c r="I725" t="s">
        <v>468</v>
      </c>
      <c r="L725" t="s">
        <v>312</v>
      </c>
      <c r="M725" t="s">
        <v>404</v>
      </c>
    </row>
    <row r="726" spans="1:13" x14ac:dyDescent="0.3">
      <c r="A726" t="s">
        <v>933</v>
      </c>
      <c r="B726" t="s">
        <v>291</v>
      </c>
      <c r="C726" t="s">
        <v>308</v>
      </c>
      <c r="D726" t="s">
        <v>1003</v>
      </c>
      <c r="E726" t="s">
        <v>470</v>
      </c>
      <c r="H726" t="s">
        <v>25</v>
      </c>
      <c r="I726" t="s">
        <v>471</v>
      </c>
      <c r="L726" t="s">
        <v>312</v>
      </c>
      <c r="M726" t="s">
        <v>404</v>
      </c>
    </row>
    <row r="727" spans="1:13" x14ac:dyDescent="0.3">
      <c r="A727" t="s">
        <v>999</v>
      </c>
      <c r="B727" t="s">
        <v>458</v>
      </c>
      <c r="C727" t="s">
        <v>11</v>
      </c>
      <c r="D727" t="s">
        <v>12</v>
      </c>
      <c r="E727" t="s">
        <v>391</v>
      </c>
      <c r="H727" t="s">
        <v>392</v>
      </c>
      <c r="I727" t="s">
        <v>1004</v>
      </c>
      <c r="L727" t="s">
        <v>394</v>
      </c>
      <c r="M727" t="s">
        <v>960</v>
      </c>
    </row>
    <row r="728" spans="1:13" x14ac:dyDescent="0.3">
      <c r="A728" t="s">
        <v>1000</v>
      </c>
      <c r="B728" t="s">
        <v>461</v>
      </c>
      <c r="C728" t="s">
        <v>11</v>
      </c>
      <c r="D728" t="s">
        <v>12</v>
      </c>
      <c r="E728" t="s">
        <v>391</v>
      </c>
      <c r="H728" t="s">
        <v>392</v>
      </c>
      <c r="I728" t="s">
        <v>1005</v>
      </c>
      <c r="L728" t="s">
        <v>394</v>
      </c>
      <c r="M728" t="s">
        <v>960</v>
      </c>
    </row>
    <row r="729" spans="1:13" x14ac:dyDescent="0.3">
      <c r="A729" t="s">
        <v>1001</v>
      </c>
      <c r="B729" t="s">
        <v>464</v>
      </c>
      <c r="C729" t="s">
        <v>11</v>
      </c>
      <c r="D729" t="s">
        <v>12</v>
      </c>
      <c r="E729" t="s">
        <v>391</v>
      </c>
      <c r="H729" t="s">
        <v>392</v>
      </c>
      <c r="I729" t="s">
        <v>1006</v>
      </c>
      <c r="L729" t="s">
        <v>394</v>
      </c>
      <c r="M729" t="s">
        <v>960</v>
      </c>
    </row>
    <row r="730" spans="1:13" x14ac:dyDescent="0.3">
      <c r="A730" t="s">
        <v>1002</v>
      </c>
      <c r="B730" t="s">
        <v>467</v>
      </c>
      <c r="C730" t="s">
        <v>11</v>
      </c>
      <c r="D730" t="s">
        <v>12</v>
      </c>
      <c r="E730" t="s">
        <v>391</v>
      </c>
      <c r="H730" t="s">
        <v>392</v>
      </c>
      <c r="I730" t="s">
        <v>1007</v>
      </c>
      <c r="L730" t="s">
        <v>394</v>
      </c>
      <c r="M730" t="s">
        <v>960</v>
      </c>
    </row>
    <row r="731" spans="1:13" x14ac:dyDescent="0.3">
      <c r="A731" t="s">
        <v>1003</v>
      </c>
      <c r="B731" t="s">
        <v>470</v>
      </c>
      <c r="C731" t="s">
        <v>11</v>
      </c>
      <c r="D731" t="s">
        <v>12</v>
      </c>
      <c r="E731" t="s">
        <v>391</v>
      </c>
      <c r="H731" t="s">
        <v>392</v>
      </c>
      <c r="I731" t="s">
        <v>1008</v>
      </c>
      <c r="L731" t="s">
        <v>394</v>
      </c>
      <c r="M731" t="s">
        <v>960</v>
      </c>
    </row>
    <row r="732" spans="1:13" x14ac:dyDescent="0.3">
      <c r="A732" t="s">
        <v>936</v>
      </c>
      <c r="B732" t="s">
        <v>300</v>
      </c>
      <c r="C732" t="s">
        <v>280</v>
      </c>
      <c r="D732" t="s">
        <v>1009</v>
      </c>
      <c r="E732" t="s">
        <v>478</v>
      </c>
      <c r="H732" t="s">
        <v>25</v>
      </c>
      <c r="I732" t="s">
        <v>479</v>
      </c>
    </row>
    <row r="733" spans="1:13" x14ac:dyDescent="0.3">
      <c r="A733" t="s">
        <v>936</v>
      </c>
      <c r="B733" t="s">
        <v>300</v>
      </c>
      <c r="C733" t="s">
        <v>308</v>
      </c>
      <c r="D733" t="s">
        <v>1010</v>
      </c>
      <c r="E733" t="s">
        <v>481</v>
      </c>
      <c r="H733" t="s">
        <v>25</v>
      </c>
      <c r="I733" t="s">
        <v>482</v>
      </c>
      <c r="L733" t="s">
        <v>312</v>
      </c>
      <c r="M733" t="s">
        <v>343</v>
      </c>
    </row>
    <row r="734" spans="1:13" x14ac:dyDescent="0.3">
      <c r="A734" t="s">
        <v>936</v>
      </c>
      <c r="B734" t="s">
        <v>300</v>
      </c>
      <c r="C734" t="s">
        <v>308</v>
      </c>
      <c r="D734" t="s">
        <v>1011</v>
      </c>
      <c r="E734" t="s">
        <v>484</v>
      </c>
      <c r="H734" t="s">
        <v>25</v>
      </c>
      <c r="I734" t="s">
        <v>485</v>
      </c>
      <c r="L734" t="s">
        <v>312</v>
      </c>
      <c r="M734" t="s">
        <v>343</v>
      </c>
    </row>
    <row r="735" spans="1:13" x14ac:dyDescent="0.3">
      <c r="A735" t="s">
        <v>1010</v>
      </c>
      <c r="B735" t="s">
        <v>481</v>
      </c>
      <c r="C735" t="s">
        <v>11</v>
      </c>
      <c r="D735" t="s">
        <v>12</v>
      </c>
      <c r="E735" t="s">
        <v>391</v>
      </c>
      <c r="H735" t="s">
        <v>392</v>
      </c>
      <c r="I735" t="s">
        <v>1012</v>
      </c>
      <c r="L735" t="s">
        <v>394</v>
      </c>
      <c r="M735" t="s">
        <v>960</v>
      </c>
    </row>
    <row r="736" spans="1:13" x14ac:dyDescent="0.3">
      <c r="A736" t="s">
        <v>1009</v>
      </c>
      <c r="B736" t="s">
        <v>478</v>
      </c>
      <c r="C736" t="s">
        <v>280</v>
      </c>
      <c r="D736" t="s">
        <v>1013</v>
      </c>
      <c r="E736" t="s">
        <v>488</v>
      </c>
      <c r="H736" t="s">
        <v>25</v>
      </c>
      <c r="I736" t="s">
        <v>489</v>
      </c>
    </row>
    <row r="737" spans="1:13" x14ac:dyDescent="0.3">
      <c r="A737" t="s">
        <v>1009</v>
      </c>
      <c r="B737" t="s">
        <v>478</v>
      </c>
      <c r="C737" t="s">
        <v>308</v>
      </c>
      <c r="D737" t="s">
        <v>1014</v>
      </c>
      <c r="E737" t="s">
        <v>491</v>
      </c>
      <c r="H737" t="s">
        <v>25</v>
      </c>
      <c r="I737" t="s">
        <v>492</v>
      </c>
      <c r="L737" t="s">
        <v>312</v>
      </c>
      <c r="M737" t="s">
        <v>404</v>
      </c>
    </row>
    <row r="738" spans="1:13" x14ac:dyDescent="0.3">
      <c r="A738" t="s">
        <v>1009</v>
      </c>
      <c r="B738" t="s">
        <v>478</v>
      </c>
      <c r="C738" t="s">
        <v>308</v>
      </c>
      <c r="D738" t="s">
        <v>1015</v>
      </c>
      <c r="E738" t="s">
        <v>494</v>
      </c>
      <c r="H738" t="s">
        <v>25</v>
      </c>
      <c r="I738" t="s">
        <v>495</v>
      </c>
      <c r="L738" t="s">
        <v>312</v>
      </c>
      <c r="M738" t="s">
        <v>496</v>
      </c>
    </row>
    <row r="739" spans="1:13" x14ac:dyDescent="0.3">
      <c r="A739" t="s">
        <v>1013</v>
      </c>
      <c r="B739" t="s">
        <v>488</v>
      </c>
      <c r="C739" t="s">
        <v>308</v>
      </c>
      <c r="D739" t="s">
        <v>1016</v>
      </c>
      <c r="E739" t="s">
        <v>498</v>
      </c>
      <c r="H739" t="s">
        <v>25</v>
      </c>
      <c r="I739" t="s">
        <v>499</v>
      </c>
      <c r="L739" t="s">
        <v>312</v>
      </c>
      <c r="M739" t="s">
        <v>385</v>
      </c>
    </row>
    <row r="740" spans="1:13" x14ac:dyDescent="0.3">
      <c r="A740" t="s">
        <v>1013</v>
      </c>
      <c r="B740" t="s">
        <v>488</v>
      </c>
      <c r="C740" t="s">
        <v>308</v>
      </c>
      <c r="D740" t="s">
        <v>1017</v>
      </c>
      <c r="E740" t="s">
        <v>501</v>
      </c>
      <c r="H740" t="s">
        <v>25</v>
      </c>
      <c r="I740" t="s">
        <v>502</v>
      </c>
      <c r="L740" t="s">
        <v>312</v>
      </c>
      <c r="M740" t="s">
        <v>503</v>
      </c>
    </row>
    <row r="741" spans="1:13" x14ac:dyDescent="0.3">
      <c r="A741" t="s">
        <v>1017</v>
      </c>
      <c r="B741" t="s">
        <v>501</v>
      </c>
      <c r="C741" t="s">
        <v>11</v>
      </c>
      <c r="D741" t="s">
        <v>12</v>
      </c>
      <c r="E741" t="s">
        <v>391</v>
      </c>
      <c r="H741" t="s">
        <v>392</v>
      </c>
      <c r="I741" t="s">
        <v>1018</v>
      </c>
      <c r="L741" t="s">
        <v>394</v>
      </c>
      <c r="M741" t="s">
        <v>960</v>
      </c>
    </row>
    <row r="742" spans="1:13" x14ac:dyDescent="0.3">
      <c r="A742" t="s">
        <v>1016</v>
      </c>
      <c r="B742" t="s">
        <v>498</v>
      </c>
      <c r="C742" t="s">
        <v>11</v>
      </c>
      <c r="D742" t="s">
        <v>12</v>
      </c>
      <c r="E742" t="s">
        <v>391</v>
      </c>
      <c r="H742" t="s">
        <v>392</v>
      </c>
      <c r="I742" t="s">
        <v>1019</v>
      </c>
      <c r="L742" t="s">
        <v>394</v>
      </c>
      <c r="M742" t="s">
        <v>960</v>
      </c>
    </row>
    <row r="743" spans="1:13" x14ac:dyDescent="0.3">
      <c r="A743" t="s">
        <v>1014</v>
      </c>
      <c r="B743" t="s">
        <v>491</v>
      </c>
      <c r="C743" t="s">
        <v>11</v>
      </c>
      <c r="D743" t="s">
        <v>12</v>
      </c>
      <c r="E743" t="s">
        <v>391</v>
      </c>
      <c r="H743" t="s">
        <v>392</v>
      </c>
      <c r="I743" t="s">
        <v>1020</v>
      </c>
      <c r="L743" t="s">
        <v>394</v>
      </c>
      <c r="M743" t="s">
        <v>960</v>
      </c>
    </row>
    <row r="744" spans="1:13" x14ac:dyDescent="0.3">
      <c r="A744" t="s">
        <v>1015</v>
      </c>
      <c r="B744" t="s">
        <v>494</v>
      </c>
      <c r="C744" t="s">
        <v>11</v>
      </c>
      <c r="D744" t="s">
        <v>12</v>
      </c>
      <c r="E744" t="s">
        <v>391</v>
      </c>
      <c r="H744" t="s">
        <v>392</v>
      </c>
      <c r="I744" t="s">
        <v>1021</v>
      </c>
      <c r="L744" t="s">
        <v>394</v>
      </c>
      <c r="M744" t="s">
        <v>960</v>
      </c>
    </row>
    <row r="745" spans="1:13" x14ac:dyDescent="0.3">
      <c r="A745" t="s">
        <v>1011</v>
      </c>
      <c r="B745" t="s">
        <v>484</v>
      </c>
      <c r="C745" t="s">
        <v>11</v>
      </c>
      <c r="D745" t="s">
        <v>12</v>
      </c>
      <c r="E745" t="s">
        <v>391</v>
      </c>
      <c r="H745" t="s">
        <v>392</v>
      </c>
      <c r="I745" t="s">
        <v>1022</v>
      </c>
      <c r="L745" t="s">
        <v>394</v>
      </c>
      <c r="M745" t="s">
        <v>960</v>
      </c>
    </row>
    <row r="746" spans="1:13" x14ac:dyDescent="0.3">
      <c r="A746" t="s">
        <v>945</v>
      </c>
      <c r="B746" t="s">
        <v>332</v>
      </c>
      <c r="C746" t="s">
        <v>11</v>
      </c>
      <c r="D746" t="s">
        <v>12</v>
      </c>
      <c r="E746" t="s">
        <v>391</v>
      </c>
      <c r="H746" t="s">
        <v>392</v>
      </c>
      <c r="I746" t="s">
        <v>1023</v>
      </c>
      <c r="L746" t="s">
        <v>394</v>
      </c>
      <c r="M746" t="s">
        <v>960</v>
      </c>
    </row>
    <row r="747" spans="1:13" x14ac:dyDescent="0.3">
      <c r="A747" t="s">
        <v>955</v>
      </c>
      <c r="B747" s="1" t="s">
        <v>367</v>
      </c>
      <c r="C747" t="s">
        <v>11</v>
      </c>
      <c r="D747" t="s">
        <v>12</v>
      </c>
      <c r="E747" t="s">
        <v>391</v>
      </c>
      <c r="H747" t="s">
        <v>392</v>
      </c>
      <c r="I747" t="s">
        <v>1024</v>
      </c>
      <c r="L747" t="s">
        <v>394</v>
      </c>
      <c r="M747" t="s">
        <v>960</v>
      </c>
    </row>
    <row r="748" spans="1:13" x14ac:dyDescent="0.3">
      <c r="A748" t="s">
        <v>946</v>
      </c>
      <c r="B748" t="s">
        <v>335</v>
      </c>
      <c r="C748" t="s">
        <v>11</v>
      </c>
      <c r="D748" t="s">
        <v>12</v>
      </c>
      <c r="E748" t="s">
        <v>391</v>
      </c>
      <c r="H748" t="s">
        <v>392</v>
      </c>
      <c r="I748" t="s">
        <v>1025</v>
      </c>
      <c r="L748" t="s">
        <v>394</v>
      </c>
      <c r="M748" t="s">
        <v>960</v>
      </c>
    </row>
    <row r="749" spans="1:13" x14ac:dyDescent="0.3">
      <c r="A749" t="s">
        <v>947</v>
      </c>
      <c r="B749" t="s">
        <v>338</v>
      </c>
      <c r="C749" t="s">
        <v>11</v>
      </c>
      <c r="D749" t="s">
        <v>12</v>
      </c>
      <c r="E749" t="s">
        <v>391</v>
      </c>
      <c r="H749" t="s">
        <v>392</v>
      </c>
      <c r="I749" t="s">
        <v>1026</v>
      </c>
      <c r="L749" t="s">
        <v>394</v>
      </c>
      <c r="M749" t="s">
        <v>960</v>
      </c>
    </row>
    <row r="750" spans="1:13" x14ac:dyDescent="0.3">
      <c r="A750" t="s">
        <v>937</v>
      </c>
      <c r="B750" t="s">
        <v>303</v>
      </c>
      <c r="C750" t="s">
        <v>280</v>
      </c>
      <c r="D750" t="s">
        <v>1027</v>
      </c>
      <c r="E750" t="s">
        <v>478</v>
      </c>
      <c r="H750" t="s">
        <v>25</v>
      </c>
      <c r="I750" t="s">
        <v>515</v>
      </c>
    </row>
    <row r="751" spans="1:13" x14ac:dyDescent="0.3">
      <c r="A751" t="s">
        <v>937</v>
      </c>
      <c r="B751" t="s">
        <v>303</v>
      </c>
      <c r="C751" t="s">
        <v>308</v>
      </c>
      <c r="D751" t="s">
        <v>1028</v>
      </c>
      <c r="E751" t="s">
        <v>484</v>
      </c>
      <c r="H751" t="s">
        <v>25</v>
      </c>
      <c r="I751" t="s">
        <v>517</v>
      </c>
      <c r="L751" t="s">
        <v>312</v>
      </c>
      <c r="M751" t="s">
        <v>343</v>
      </c>
    </row>
    <row r="752" spans="1:13" x14ac:dyDescent="0.3">
      <c r="A752" t="s">
        <v>937</v>
      </c>
      <c r="B752" t="s">
        <v>303</v>
      </c>
      <c r="C752" t="s">
        <v>308</v>
      </c>
      <c r="D752" t="s">
        <v>1029</v>
      </c>
      <c r="E752" t="s">
        <v>481</v>
      </c>
      <c r="H752" t="s">
        <v>25</v>
      </c>
      <c r="I752" t="s">
        <v>519</v>
      </c>
      <c r="L752" t="s">
        <v>312</v>
      </c>
      <c r="M752" t="s">
        <v>343</v>
      </c>
    </row>
    <row r="753" spans="1:13" x14ac:dyDescent="0.3">
      <c r="A753" t="s">
        <v>937</v>
      </c>
      <c r="B753" t="s">
        <v>303</v>
      </c>
      <c r="C753" t="s">
        <v>308</v>
      </c>
      <c r="D753" t="s">
        <v>1030</v>
      </c>
      <c r="E753" t="s">
        <v>521</v>
      </c>
      <c r="H753" t="s">
        <v>25</v>
      </c>
      <c r="I753" t="s">
        <v>522</v>
      </c>
      <c r="L753" t="s">
        <v>312</v>
      </c>
      <c r="M753" t="s">
        <v>343</v>
      </c>
    </row>
    <row r="754" spans="1:13" x14ac:dyDescent="0.3">
      <c r="A754" t="s">
        <v>937</v>
      </c>
      <c r="B754" t="s">
        <v>303</v>
      </c>
      <c r="C754" t="s">
        <v>308</v>
      </c>
      <c r="D754" t="s">
        <v>1031</v>
      </c>
      <c r="E754" s="1" t="s">
        <v>524</v>
      </c>
      <c r="H754" t="s">
        <v>25</v>
      </c>
      <c r="I754" t="s">
        <v>525</v>
      </c>
      <c r="L754" t="s">
        <v>312</v>
      </c>
      <c r="M754" t="s">
        <v>343</v>
      </c>
    </row>
    <row r="755" spans="1:13" x14ac:dyDescent="0.3">
      <c r="A755" t="s">
        <v>937</v>
      </c>
      <c r="B755" t="s">
        <v>303</v>
      </c>
      <c r="C755" t="s">
        <v>308</v>
      </c>
      <c r="D755" t="s">
        <v>1032</v>
      </c>
      <c r="E755" t="s">
        <v>527</v>
      </c>
      <c r="H755" t="s">
        <v>25</v>
      </c>
      <c r="I755" t="s">
        <v>528</v>
      </c>
      <c r="L755" t="s">
        <v>312</v>
      </c>
      <c r="M755" t="s">
        <v>343</v>
      </c>
    </row>
    <row r="756" spans="1:13" x14ac:dyDescent="0.3">
      <c r="A756" t="s">
        <v>1029</v>
      </c>
      <c r="B756" t="s">
        <v>481</v>
      </c>
      <c r="C756" t="s">
        <v>11</v>
      </c>
      <c r="D756" t="s">
        <v>12</v>
      </c>
      <c r="E756" t="s">
        <v>391</v>
      </c>
      <c r="H756" t="s">
        <v>392</v>
      </c>
      <c r="I756" t="s">
        <v>1033</v>
      </c>
      <c r="L756" t="s">
        <v>394</v>
      </c>
      <c r="M756" t="s">
        <v>960</v>
      </c>
    </row>
    <row r="757" spans="1:13" x14ac:dyDescent="0.3">
      <c r="A757" t="s">
        <v>1031</v>
      </c>
      <c r="B757" s="1" t="s">
        <v>524</v>
      </c>
      <c r="C757" t="s">
        <v>11</v>
      </c>
      <c r="D757" t="s">
        <v>12</v>
      </c>
      <c r="E757" t="s">
        <v>391</v>
      </c>
      <c r="H757" t="s">
        <v>392</v>
      </c>
      <c r="I757" t="s">
        <v>1034</v>
      </c>
      <c r="L757" t="s">
        <v>394</v>
      </c>
      <c r="M757" t="s">
        <v>960</v>
      </c>
    </row>
    <row r="758" spans="1:13" x14ac:dyDescent="0.3">
      <c r="A758" t="s">
        <v>1030</v>
      </c>
      <c r="B758" s="1" t="s">
        <v>521</v>
      </c>
      <c r="C758" t="s">
        <v>11</v>
      </c>
      <c r="D758" t="s">
        <v>12</v>
      </c>
      <c r="E758" t="s">
        <v>391</v>
      </c>
      <c r="H758" t="s">
        <v>392</v>
      </c>
      <c r="I758" t="s">
        <v>1035</v>
      </c>
      <c r="L758" t="s">
        <v>394</v>
      </c>
      <c r="M758" t="s">
        <v>960</v>
      </c>
    </row>
    <row r="759" spans="1:13" x14ac:dyDescent="0.3">
      <c r="A759" t="s">
        <v>1027</v>
      </c>
      <c r="B759" t="s">
        <v>478</v>
      </c>
      <c r="C759" t="s">
        <v>280</v>
      </c>
      <c r="D759" t="s">
        <v>1036</v>
      </c>
      <c r="E759" t="s">
        <v>488</v>
      </c>
      <c r="H759" t="s">
        <v>25</v>
      </c>
      <c r="I759" t="s">
        <v>489</v>
      </c>
    </row>
    <row r="760" spans="1:13" x14ac:dyDescent="0.3">
      <c r="A760" t="s">
        <v>1027</v>
      </c>
      <c r="B760" t="s">
        <v>478</v>
      </c>
      <c r="C760" t="s">
        <v>308</v>
      </c>
      <c r="D760" t="s">
        <v>1037</v>
      </c>
      <c r="E760" t="s">
        <v>491</v>
      </c>
      <c r="H760" t="s">
        <v>25</v>
      </c>
      <c r="I760" t="s">
        <v>534</v>
      </c>
      <c r="L760" t="s">
        <v>312</v>
      </c>
      <c r="M760" t="s">
        <v>404</v>
      </c>
    </row>
    <row r="761" spans="1:13" x14ac:dyDescent="0.3">
      <c r="A761" t="s">
        <v>1027</v>
      </c>
      <c r="B761" t="s">
        <v>478</v>
      </c>
      <c r="C761" t="s">
        <v>308</v>
      </c>
      <c r="D761" t="s">
        <v>1038</v>
      </c>
      <c r="E761" t="s">
        <v>494</v>
      </c>
      <c r="H761" t="s">
        <v>25</v>
      </c>
      <c r="I761" t="s">
        <v>536</v>
      </c>
      <c r="L761" t="s">
        <v>312</v>
      </c>
      <c r="M761" t="s">
        <v>496</v>
      </c>
    </row>
    <row r="762" spans="1:13" x14ac:dyDescent="0.3">
      <c r="A762" t="s">
        <v>1027</v>
      </c>
      <c r="B762" t="s">
        <v>478</v>
      </c>
      <c r="C762" t="s">
        <v>537</v>
      </c>
      <c r="D762" t="s">
        <v>12</v>
      </c>
      <c r="E762" t="s">
        <v>12</v>
      </c>
      <c r="H762" t="s">
        <v>376</v>
      </c>
      <c r="I762">
        <v>50</v>
      </c>
      <c r="L762" t="s">
        <v>312</v>
      </c>
      <c r="M762" t="s">
        <v>538</v>
      </c>
    </row>
    <row r="763" spans="1:13" x14ac:dyDescent="0.3">
      <c r="A763" t="s">
        <v>1027</v>
      </c>
      <c r="B763" t="s">
        <v>478</v>
      </c>
      <c r="C763" t="s">
        <v>539</v>
      </c>
      <c r="D763" t="s">
        <v>12</v>
      </c>
      <c r="E763" t="s">
        <v>12</v>
      </c>
      <c r="H763" t="s">
        <v>376</v>
      </c>
      <c r="I763">
        <v>5</v>
      </c>
      <c r="L763" t="s">
        <v>312</v>
      </c>
      <c r="M763" t="s">
        <v>385</v>
      </c>
    </row>
    <row r="764" spans="1:13" x14ac:dyDescent="0.3">
      <c r="A764" t="s">
        <v>1027</v>
      </c>
      <c r="B764" t="s">
        <v>478</v>
      </c>
      <c r="C764" t="s">
        <v>540</v>
      </c>
      <c r="D764" t="s">
        <v>12</v>
      </c>
      <c r="E764" t="s">
        <v>12</v>
      </c>
      <c r="H764" t="s">
        <v>376</v>
      </c>
      <c r="I764">
        <v>415</v>
      </c>
      <c r="L764" t="s">
        <v>312</v>
      </c>
      <c r="M764" t="s">
        <v>541</v>
      </c>
    </row>
    <row r="765" spans="1:13" x14ac:dyDescent="0.3">
      <c r="A765" t="s">
        <v>1039</v>
      </c>
      <c r="B765" t="s">
        <v>501</v>
      </c>
      <c r="C765" t="s">
        <v>11</v>
      </c>
      <c r="D765" t="s">
        <v>12</v>
      </c>
      <c r="E765" t="s">
        <v>391</v>
      </c>
      <c r="H765" t="s">
        <v>392</v>
      </c>
      <c r="I765" t="s">
        <v>1040</v>
      </c>
      <c r="L765" t="s">
        <v>394</v>
      </c>
      <c r="M765" t="s">
        <v>960</v>
      </c>
    </row>
    <row r="766" spans="1:13" x14ac:dyDescent="0.3">
      <c r="A766" t="s">
        <v>1036</v>
      </c>
      <c r="B766" t="s">
        <v>488</v>
      </c>
      <c r="C766" t="s">
        <v>308</v>
      </c>
      <c r="D766" t="s">
        <v>1041</v>
      </c>
      <c r="E766" t="s">
        <v>498</v>
      </c>
      <c r="H766" t="s">
        <v>25</v>
      </c>
      <c r="I766" t="s">
        <v>545</v>
      </c>
      <c r="L766" t="s">
        <v>312</v>
      </c>
      <c r="M766" t="s">
        <v>385</v>
      </c>
    </row>
    <row r="767" spans="1:13" x14ac:dyDescent="0.3">
      <c r="A767" t="s">
        <v>1036</v>
      </c>
      <c r="B767" t="s">
        <v>488</v>
      </c>
      <c r="C767" t="s">
        <v>308</v>
      </c>
      <c r="D767" t="s">
        <v>1039</v>
      </c>
      <c r="E767" t="s">
        <v>501</v>
      </c>
      <c r="H767" t="s">
        <v>25</v>
      </c>
      <c r="I767" t="s">
        <v>546</v>
      </c>
      <c r="L767" t="s">
        <v>312</v>
      </c>
      <c r="M767" t="s">
        <v>503</v>
      </c>
    </row>
    <row r="768" spans="1:13" x14ac:dyDescent="0.3">
      <c r="A768" t="s">
        <v>1041</v>
      </c>
      <c r="B768" t="s">
        <v>498</v>
      </c>
      <c r="C768" t="s">
        <v>11</v>
      </c>
      <c r="D768" t="s">
        <v>12</v>
      </c>
      <c r="E768" t="s">
        <v>391</v>
      </c>
      <c r="H768" t="s">
        <v>392</v>
      </c>
      <c r="I768" t="s">
        <v>1042</v>
      </c>
      <c r="L768" t="s">
        <v>394</v>
      </c>
      <c r="M768" t="s">
        <v>960</v>
      </c>
    </row>
    <row r="769" spans="1:13" x14ac:dyDescent="0.3">
      <c r="A769" t="s">
        <v>1037</v>
      </c>
      <c r="B769" t="s">
        <v>491</v>
      </c>
      <c r="C769" t="s">
        <v>11</v>
      </c>
      <c r="D769" t="s">
        <v>12</v>
      </c>
      <c r="E769" t="s">
        <v>391</v>
      </c>
      <c r="H769" t="s">
        <v>392</v>
      </c>
      <c r="I769" t="s">
        <v>1043</v>
      </c>
      <c r="L769" t="s">
        <v>394</v>
      </c>
      <c r="M769" t="s">
        <v>960</v>
      </c>
    </row>
    <row r="770" spans="1:13" x14ac:dyDescent="0.3">
      <c r="A770" t="s">
        <v>1038</v>
      </c>
      <c r="B770" t="s">
        <v>494</v>
      </c>
      <c r="C770" t="s">
        <v>11</v>
      </c>
      <c r="D770" t="s">
        <v>12</v>
      </c>
      <c r="E770" t="s">
        <v>391</v>
      </c>
      <c r="H770" t="s">
        <v>392</v>
      </c>
      <c r="I770" t="s">
        <v>1044</v>
      </c>
      <c r="L770" t="s">
        <v>394</v>
      </c>
      <c r="M770" t="s">
        <v>960</v>
      </c>
    </row>
    <row r="771" spans="1:13" x14ac:dyDescent="0.3">
      <c r="A771" t="s">
        <v>1032</v>
      </c>
      <c r="B771" t="s">
        <v>550</v>
      </c>
      <c r="C771" t="s">
        <v>11</v>
      </c>
      <c r="D771" t="s">
        <v>12</v>
      </c>
      <c r="E771" t="s">
        <v>391</v>
      </c>
      <c r="H771" t="s">
        <v>392</v>
      </c>
      <c r="I771" t="s">
        <v>1045</v>
      </c>
      <c r="L771" t="s">
        <v>394</v>
      </c>
      <c r="M771" t="s">
        <v>960</v>
      </c>
    </row>
    <row r="772" spans="1:13" x14ac:dyDescent="0.3">
      <c r="A772" t="s">
        <v>1028</v>
      </c>
      <c r="B772" t="s">
        <v>484</v>
      </c>
      <c r="C772" t="s">
        <v>11</v>
      </c>
      <c r="D772" t="s">
        <v>12</v>
      </c>
      <c r="E772" t="s">
        <v>391</v>
      </c>
      <c r="H772" t="s">
        <v>392</v>
      </c>
      <c r="I772" t="s">
        <v>1046</v>
      </c>
      <c r="L772" t="s">
        <v>394</v>
      </c>
      <c r="M772" t="s">
        <v>960</v>
      </c>
    </row>
    <row r="773" spans="1:13" x14ac:dyDescent="0.3">
      <c r="A773" t="s">
        <v>951</v>
      </c>
      <c r="B773" t="s">
        <v>355</v>
      </c>
      <c r="C773" t="s">
        <v>11</v>
      </c>
      <c r="D773" t="s">
        <v>12</v>
      </c>
      <c r="E773" t="s">
        <v>391</v>
      </c>
      <c r="H773" t="s">
        <v>392</v>
      </c>
      <c r="I773" t="s">
        <v>1047</v>
      </c>
      <c r="L773" t="s">
        <v>394</v>
      </c>
      <c r="M773" t="s">
        <v>960</v>
      </c>
    </row>
    <row r="774" spans="1:13" x14ac:dyDescent="0.3">
      <c r="A774" t="s">
        <v>1048</v>
      </c>
      <c r="B774" t="s">
        <v>37</v>
      </c>
      <c r="C774" t="s">
        <v>33</v>
      </c>
      <c r="D774" t="s">
        <v>1049</v>
      </c>
      <c r="E774" t="s">
        <v>1050</v>
      </c>
      <c r="F774" t="s">
        <v>25</v>
      </c>
      <c r="G774" t="s">
        <v>1051</v>
      </c>
    </row>
    <row r="775" spans="1:13" x14ac:dyDescent="0.3">
      <c r="A775" t="s">
        <v>1052</v>
      </c>
      <c r="B775" t="s">
        <v>37</v>
      </c>
      <c r="C775" t="s">
        <v>33</v>
      </c>
      <c r="D775" t="s">
        <v>1049</v>
      </c>
      <c r="E775" t="s">
        <v>1050</v>
      </c>
      <c r="F775" t="s">
        <v>25</v>
      </c>
      <c r="G775" t="s">
        <v>1053</v>
      </c>
    </row>
    <row r="776" spans="1:13" x14ac:dyDescent="0.3">
      <c r="A776" t="s">
        <v>1054</v>
      </c>
      <c r="B776" t="s">
        <v>37</v>
      </c>
      <c r="C776" t="s">
        <v>33</v>
      </c>
      <c r="D776" t="s">
        <v>1049</v>
      </c>
      <c r="E776" t="s">
        <v>1050</v>
      </c>
      <c r="F776" t="s">
        <v>25</v>
      </c>
      <c r="G776" t="s">
        <v>1055</v>
      </c>
    </row>
    <row r="777" spans="1:13" x14ac:dyDescent="0.3">
      <c r="A777" t="s">
        <v>1056</v>
      </c>
      <c r="B777" t="s">
        <v>37</v>
      </c>
      <c r="C777" t="s">
        <v>33</v>
      </c>
      <c r="D777" t="s">
        <v>1049</v>
      </c>
      <c r="E777" t="s">
        <v>1050</v>
      </c>
      <c r="F777" t="s">
        <v>25</v>
      </c>
      <c r="G777" t="s">
        <v>1057</v>
      </c>
    </row>
    <row r="778" spans="1:13" x14ac:dyDescent="0.3">
      <c r="A778" t="s">
        <v>1058</v>
      </c>
      <c r="B778" t="s">
        <v>37</v>
      </c>
      <c r="C778" t="s">
        <v>33</v>
      </c>
      <c r="D778" t="s">
        <v>1049</v>
      </c>
      <c r="E778" t="s">
        <v>1050</v>
      </c>
      <c r="F778" t="s">
        <v>25</v>
      </c>
      <c r="G778" t="s">
        <v>1059</v>
      </c>
    </row>
    <row r="779" spans="1:13" x14ac:dyDescent="0.3">
      <c r="A779" t="s">
        <v>1060</v>
      </c>
      <c r="B779" t="s">
        <v>37</v>
      </c>
      <c r="C779" t="s">
        <v>33</v>
      </c>
      <c r="D779" t="s">
        <v>1049</v>
      </c>
      <c r="E779" t="s">
        <v>1050</v>
      </c>
      <c r="F779" t="s">
        <v>25</v>
      </c>
      <c r="G779" t="s">
        <v>1061</v>
      </c>
    </row>
    <row r="780" spans="1:13" x14ac:dyDescent="0.3">
      <c r="A780" t="s">
        <v>1062</v>
      </c>
      <c r="B780" t="s">
        <v>37</v>
      </c>
      <c r="C780" t="s">
        <v>33</v>
      </c>
      <c r="D780" t="s">
        <v>1049</v>
      </c>
      <c r="E780" t="s">
        <v>1050</v>
      </c>
      <c r="F780" t="s">
        <v>25</v>
      </c>
      <c r="G780" t="s">
        <v>1063</v>
      </c>
    </row>
    <row r="781" spans="1:13" x14ac:dyDescent="0.3">
      <c r="A781" t="s">
        <v>836</v>
      </c>
      <c r="B781" t="s">
        <v>37</v>
      </c>
      <c r="C781" t="s">
        <v>33</v>
      </c>
      <c r="D781" t="s">
        <v>1049</v>
      </c>
      <c r="E781" t="s">
        <v>1050</v>
      </c>
      <c r="F781" t="s">
        <v>25</v>
      </c>
      <c r="G781" t="s">
        <v>1064</v>
      </c>
    </row>
    <row r="782" spans="1:13" x14ac:dyDescent="0.3">
      <c r="A782" t="s">
        <v>1065</v>
      </c>
      <c r="B782" t="s">
        <v>37</v>
      </c>
      <c r="C782" t="s">
        <v>33</v>
      </c>
      <c r="D782" t="s">
        <v>1049</v>
      </c>
      <c r="E782" t="s">
        <v>1050</v>
      </c>
      <c r="F782" t="s">
        <v>25</v>
      </c>
      <c r="G782" t="s">
        <v>1066</v>
      </c>
    </row>
    <row r="783" spans="1:13" x14ac:dyDescent="0.3">
      <c r="A783" t="s">
        <v>1067</v>
      </c>
      <c r="B783" t="s">
        <v>37</v>
      </c>
      <c r="C783" t="s">
        <v>33</v>
      </c>
      <c r="D783" t="s">
        <v>1049</v>
      </c>
      <c r="E783" t="s">
        <v>1050</v>
      </c>
      <c r="F783" t="s">
        <v>25</v>
      </c>
      <c r="G783" t="s">
        <v>1068</v>
      </c>
    </row>
    <row r="784" spans="1:13" x14ac:dyDescent="0.3">
      <c r="A784" t="s">
        <v>1069</v>
      </c>
      <c r="B784" t="s">
        <v>37</v>
      </c>
      <c r="C784" t="s">
        <v>33</v>
      </c>
      <c r="D784" t="s">
        <v>1049</v>
      </c>
      <c r="E784" t="s">
        <v>1050</v>
      </c>
      <c r="F784" t="s">
        <v>25</v>
      </c>
      <c r="G784" t="s">
        <v>1070</v>
      </c>
    </row>
    <row r="785" spans="1:7" x14ac:dyDescent="0.3">
      <c r="A785" t="s">
        <v>1071</v>
      </c>
      <c r="B785" t="s">
        <v>37</v>
      </c>
      <c r="C785" t="s">
        <v>33</v>
      </c>
      <c r="D785" t="s">
        <v>1049</v>
      </c>
      <c r="E785" t="s">
        <v>1050</v>
      </c>
      <c r="F785" t="s">
        <v>25</v>
      </c>
      <c r="G785" t="s">
        <v>1072</v>
      </c>
    </row>
    <row r="786" spans="1:7" x14ac:dyDescent="0.3">
      <c r="A786" t="s">
        <v>381</v>
      </c>
      <c r="B786" t="s">
        <v>37</v>
      </c>
      <c r="C786" t="s">
        <v>33</v>
      </c>
      <c r="D786" t="s">
        <v>1049</v>
      </c>
      <c r="E786" t="s">
        <v>1050</v>
      </c>
      <c r="F786" t="s">
        <v>25</v>
      </c>
      <c r="G786" t="s">
        <v>1073</v>
      </c>
    </row>
    <row r="787" spans="1:7" x14ac:dyDescent="0.3">
      <c r="A787" t="s">
        <v>587</v>
      </c>
      <c r="B787" t="s">
        <v>37</v>
      </c>
      <c r="C787" t="s">
        <v>33</v>
      </c>
      <c r="D787" t="s">
        <v>1049</v>
      </c>
      <c r="E787" t="s">
        <v>1050</v>
      </c>
      <c r="F787" t="s">
        <v>25</v>
      </c>
      <c r="G787" t="s">
        <v>1074</v>
      </c>
    </row>
    <row r="788" spans="1:7" x14ac:dyDescent="0.3">
      <c r="A788" t="s">
        <v>1075</v>
      </c>
      <c r="B788" t="s">
        <v>37</v>
      </c>
      <c r="C788" t="s">
        <v>33</v>
      </c>
      <c r="D788" t="s">
        <v>1049</v>
      </c>
      <c r="E788" t="s">
        <v>1050</v>
      </c>
      <c r="F788" t="s">
        <v>25</v>
      </c>
      <c r="G788" t="s">
        <v>1076</v>
      </c>
    </row>
    <row r="789" spans="1:7" x14ac:dyDescent="0.3">
      <c r="A789" t="s">
        <v>1077</v>
      </c>
      <c r="B789" t="s">
        <v>37</v>
      </c>
      <c r="C789" t="s">
        <v>33</v>
      </c>
      <c r="D789" t="s">
        <v>1049</v>
      </c>
      <c r="E789" t="s">
        <v>1050</v>
      </c>
      <c r="F789" t="s">
        <v>25</v>
      </c>
      <c r="G789" t="s">
        <v>1078</v>
      </c>
    </row>
    <row r="790" spans="1:7" x14ac:dyDescent="0.3">
      <c r="A790" t="s">
        <v>1079</v>
      </c>
      <c r="B790" t="s">
        <v>37</v>
      </c>
      <c r="C790" t="s">
        <v>33</v>
      </c>
      <c r="D790" t="s">
        <v>1049</v>
      </c>
      <c r="E790" t="s">
        <v>1050</v>
      </c>
      <c r="F790" t="s">
        <v>25</v>
      </c>
      <c r="G790" t="s">
        <v>1080</v>
      </c>
    </row>
    <row r="791" spans="1:7" x14ac:dyDescent="0.3">
      <c r="A791" t="s">
        <v>1081</v>
      </c>
      <c r="B791" t="s">
        <v>37</v>
      </c>
      <c r="C791" t="s">
        <v>33</v>
      </c>
      <c r="D791" t="s">
        <v>1049</v>
      </c>
      <c r="E791" t="s">
        <v>1050</v>
      </c>
      <c r="F791" t="s">
        <v>25</v>
      </c>
      <c r="G791" t="s">
        <v>1082</v>
      </c>
    </row>
    <row r="792" spans="1:7" x14ac:dyDescent="0.3">
      <c r="A792" t="s">
        <v>1083</v>
      </c>
      <c r="B792" t="s">
        <v>37</v>
      </c>
      <c r="C792" t="s">
        <v>33</v>
      </c>
      <c r="D792" t="s">
        <v>1049</v>
      </c>
      <c r="E792" t="s">
        <v>1050</v>
      </c>
      <c r="F792" t="s">
        <v>25</v>
      </c>
      <c r="G792" t="s">
        <v>1084</v>
      </c>
    </row>
    <row r="793" spans="1:7" x14ac:dyDescent="0.3">
      <c r="A793" t="s">
        <v>1085</v>
      </c>
      <c r="B793" t="s">
        <v>37</v>
      </c>
      <c r="C793" t="s">
        <v>33</v>
      </c>
      <c r="D793" t="s">
        <v>1049</v>
      </c>
      <c r="E793" t="s">
        <v>1050</v>
      </c>
      <c r="F793" t="s">
        <v>25</v>
      </c>
      <c r="G793" t="s">
        <v>1086</v>
      </c>
    </row>
    <row r="794" spans="1:7" x14ac:dyDescent="0.3">
      <c r="A794" t="s">
        <v>1087</v>
      </c>
      <c r="B794" t="s">
        <v>37</v>
      </c>
      <c r="C794" t="s">
        <v>33</v>
      </c>
      <c r="D794" t="s">
        <v>1049</v>
      </c>
      <c r="E794" t="s">
        <v>1050</v>
      </c>
      <c r="F794" t="s">
        <v>25</v>
      </c>
      <c r="G794" t="s">
        <v>1088</v>
      </c>
    </row>
    <row r="795" spans="1:7" x14ac:dyDescent="0.3">
      <c r="A795" t="s">
        <v>1089</v>
      </c>
      <c r="B795" t="s">
        <v>37</v>
      </c>
      <c r="C795" t="s">
        <v>33</v>
      </c>
      <c r="D795" t="s">
        <v>1049</v>
      </c>
      <c r="E795" t="s">
        <v>1050</v>
      </c>
      <c r="F795" t="s">
        <v>25</v>
      </c>
      <c r="G795" t="s">
        <v>1090</v>
      </c>
    </row>
    <row r="796" spans="1:7" x14ac:dyDescent="0.3">
      <c r="A796" t="s">
        <v>1091</v>
      </c>
      <c r="B796" t="s">
        <v>37</v>
      </c>
      <c r="C796" t="s">
        <v>33</v>
      </c>
      <c r="D796" t="s">
        <v>1049</v>
      </c>
      <c r="E796" t="s">
        <v>1050</v>
      </c>
      <c r="F796" t="s">
        <v>25</v>
      </c>
      <c r="G796" t="s">
        <v>1092</v>
      </c>
    </row>
    <row r="797" spans="1:7" x14ac:dyDescent="0.3">
      <c r="A797" t="s">
        <v>1093</v>
      </c>
      <c r="B797" t="s">
        <v>37</v>
      </c>
      <c r="C797" t="s">
        <v>33</v>
      </c>
      <c r="D797" t="s">
        <v>1049</v>
      </c>
      <c r="E797" t="s">
        <v>1050</v>
      </c>
      <c r="F797" t="s">
        <v>25</v>
      </c>
      <c r="G797" t="s">
        <v>1094</v>
      </c>
    </row>
    <row r="798" spans="1:7" x14ac:dyDescent="0.3">
      <c r="A798" t="s">
        <v>1095</v>
      </c>
      <c r="B798" t="s">
        <v>37</v>
      </c>
      <c r="C798" t="s">
        <v>33</v>
      </c>
      <c r="D798" t="s">
        <v>1049</v>
      </c>
      <c r="E798" t="s">
        <v>1050</v>
      </c>
      <c r="F798" t="s">
        <v>25</v>
      </c>
      <c r="G798" t="s">
        <v>1096</v>
      </c>
    </row>
    <row r="799" spans="1:7" x14ac:dyDescent="0.3">
      <c r="A799" t="s">
        <v>1097</v>
      </c>
      <c r="B799" t="s">
        <v>37</v>
      </c>
      <c r="C799" t="s">
        <v>33</v>
      </c>
      <c r="D799" t="s">
        <v>1049</v>
      </c>
      <c r="E799" t="s">
        <v>1050</v>
      </c>
      <c r="F799" t="s">
        <v>25</v>
      </c>
      <c r="G799" t="s">
        <v>1098</v>
      </c>
    </row>
    <row r="800" spans="1:7" x14ac:dyDescent="0.3">
      <c r="A800" t="s">
        <v>1099</v>
      </c>
      <c r="B800" t="s">
        <v>37</v>
      </c>
      <c r="C800" t="s">
        <v>33</v>
      </c>
      <c r="D800" t="s">
        <v>1049</v>
      </c>
      <c r="E800" t="s">
        <v>1050</v>
      </c>
      <c r="F800" t="s">
        <v>25</v>
      </c>
      <c r="G800" t="s">
        <v>1100</v>
      </c>
    </row>
    <row r="801" spans="1:13" x14ac:dyDescent="0.3">
      <c r="A801" t="s">
        <v>1101</v>
      </c>
      <c r="B801" t="s">
        <v>37</v>
      </c>
      <c r="C801" t="s">
        <v>33</v>
      </c>
      <c r="D801" t="s">
        <v>1049</v>
      </c>
      <c r="E801" t="s">
        <v>1050</v>
      </c>
      <c r="F801" t="s">
        <v>25</v>
      </c>
      <c r="G801" t="s">
        <v>1102</v>
      </c>
    </row>
    <row r="802" spans="1:13" x14ac:dyDescent="0.3">
      <c r="A802" t="s">
        <v>1103</v>
      </c>
      <c r="B802" t="s">
        <v>37</v>
      </c>
      <c r="C802" t="s">
        <v>33</v>
      </c>
      <c r="D802" t="s">
        <v>1049</v>
      </c>
      <c r="E802" t="s">
        <v>1050</v>
      </c>
      <c r="F802" t="s">
        <v>25</v>
      </c>
      <c r="G802" t="s">
        <v>1104</v>
      </c>
    </row>
    <row r="803" spans="1:13" x14ac:dyDescent="0.3">
      <c r="A803" t="s">
        <v>1105</v>
      </c>
      <c r="B803" t="s">
        <v>37</v>
      </c>
      <c r="C803" t="s">
        <v>33</v>
      </c>
      <c r="D803" t="s">
        <v>1049</v>
      </c>
      <c r="E803" t="s">
        <v>1050</v>
      </c>
      <c r="F803" t="s">
        <v>25</v>
      </c>
      <c r="G803" t="s">
        <v>1106</v>
      </c>
    </row>
    <row r="804" spans="1:13" x14ac:dyDescent="0.3">
      <c r="A804" t="s">
        <v>1107</v>
      </c>
      <c r="B804" t="s">
        <v>37</v>
      </c>
      <c r="C804" t="s">
        <v>33</v>
      </c>
      <c r="D804" t="s">
        <v>1049</v>
      </c>
      <c r="E804" t="s">
        <v>1050</v>
      </c>
      <c r="F804" t="s">
        <v>25</v>
      </c>
      <c r="G804" t="s">
        <v>1108</v>
      </c>
    </row>
    <row r="805" spans="1:13" x14ac:dyDescent="0.3">
      <c r="A805" t="s">
        <v>1109</v>
      </c>
      <c r="B805" t="s">
        <v>37</v>
      </c>
      <c r="C805" t="s">
        <v>33</v>
      </c>
      <c r="D805" t="s">
        <v>1049</v>
      </c>
      <c r="E805" t="s">
        <v>1050</v>
      </c>
      <c r="F805" t="s">
        <v>25</v>
      </c>
      <c r="G805" t="s">
        <v>1110</v>
      </c>
    </row>
    <row r="806" spans="1:13" x14ac:dyDescent="0.3">
      <c r="A806" t="s">
        <v>1111</v>
      </c>
      <c r="B806" t="s">
        <v>37</v>
      </c>
      <c r="C806" t="s">
        <v>33</v>
      </c>
      <c r="D806" t="s">
        <v>1049</v>
      </c>
      <c r="E806" t="s">
        <v>1050</v>
      </c>
      <c r="F806" t="s">
        <v>25</v>
      </c>
      <c r="G806" t="s">
        <v>1112</v>
      </c>
    </row>
    <row r="807" spans="1:13" x14ac:dyDescent="0.3">
      <c r="A807" t="s">
        <v>1113</v>
      </c>
      <c r="B807" t="s">
        <v>37</v>
      </c>
      <c r="C807" t="s">
        <v>33</v>
      </c>
      <c r="D807" t="s">
        <v>1049</v>
      </c>
      <c r="E807" t="s">
        <v>1050</v>
      </c>
      <c r="F807" t="s">
        <v>25</v>
      </c>
      <c r="G807" t="s">
        <v>1114</v>
      </c>
    </row>
    <row r="808" spans="1:13" x14ac:dyDescent="0.3">
      <c r="A808" t="s">
        <v>1115</v>
      </c>
      <c r="B808" t="s">
        <v>37</v>
      </c>
      <c r="C808" t="s">
        <v>33</v>
      </c>
      <c r="D808" t="s">
        <v>1049</v>
      </c>
      <c r="E808" t="s">
        <v>1050</v>
      </c>
      <c r="F808" t="s">
        <v>25</v>
      </c>
      <c r="G808" t="s">
        <v>1116</v>
      </c>
    </row>
    <row r="809" spans="1:13" x14ac:dyDescent="0.3">
      <c r="A809" t="s">
        <v>1117</v>
      </c>
      <c r="B809" t="s">
        <v>37</v>
      </c>
      <c r="C809" t="s">
        <v>33</v>
      </c>
      <c r="D809" t="s">
        <v>1049</v>
      </c>
      <c r="E809" t="s">
        <v>1050</v>
      </c>
      <c r="F809" t="s">
        <v>25</v>
      </c>
      <c r="G809" t="s">
        <v>1118</v>
      </c>
    </row>
    <row r="810" spans="1:13" x14ac:dyDescent="0.3">
      <c r="A810" t="s">
        <v>1119</v>
      </c>
      <c r="B810" t="s">
        <v>37</v>
      </c>
      <c r="C810" t="s">
        <v>33</v>
      </c>
      <c r="D810" t="s">
        <v>1049</v>
      </c>
      <c r="E810" t="s">
        <v>1050</v>
      </c>
      <c r="F810" t="s">
        <v>25</v>
      </c>
      <c r="G810" t="s">
        <v>1120</v>
      </c>
    </row>
    <row r="811" spans="1:13" x14ac:dyDescent="0.3">
      <c r="A811" t="s">
        <v>1121</v>
      </c>
      <c r="B811" t="s">
        <v>37</v>
      </c>
      <c r="C811" t="s">
        <v>33</v>
      </c>
      <c r="D811" t="s">
        <v>1049</v>
      </c>
      <c r="E811" t="s">
        <v>1050</v>
      </c>
      <c r="F811" t="s">
        <v>25</v>
      </c>
      <c r="G811" t="s">
        <v>1122</v>
      </c>
    </row>
    <row r="812" spans="1:13" x14ac:dyDescent="0.3">
      <c r="A812" t="s">
        <v>1123</v>
      </c>
      <c r="B812" t="s">
        <v>37</v>
      </c>
      <c r="C812" t="s">
        <v>33</v>
      </c>
      <c r="D812" t="s">
        <v>1049</v>
      </c>
      <c r="E812" t="s">
        <v>1050</v>
      </c>
      <c r="F812" t="s">
        <v>25</v>
      </c>
      <c r="G812" t="s">
        <v>1124</v>
      </c>
    </row>
    <row r="813" spans="1:13" x14ac:dyDescent="0.3">
      <c r="A813" t="s">
        <v>1125</v>
      </c>
      <c r="B813" t="s">
        <v>37</v>
      </c>
      <c r="C813" t="s">
        <v>33</v>
      </c>
      <c r="D813" t="s">
        <v>1049</v>
      </c>
      <c r="E813" t="s">
        <v>1050</v>
      </c>
      <c r="F813" t="s">
        <v>25</v>
      </c>
      <c r="G813" t="s">
        <v>1126</v>
      </c>
    </row>
    <row r="814" spans="1:13" x14ac:dyDescent="0.3">
      <c r="A814" t="s">
        <v>1127</v>
      </c>
      <c r="B814" t="s">
        <v>37</v>
      </c>
      <c r="C814" t="s">
        <v>33</v>
      </c>
      <c r="D814" t="s">
        <v>1049</v>
      </c>
      <c r="E814" t="s">
        <v>1050</v>
      </c>
      <c r="F814" t="s">
        <v>25</v>
      </c>
      <c r="G814" t="s">
        <v>1128</v>
      </c>
    </row>
    <row r="815" spans="1:13" x14ac:dyDescent="0.3">
      <c r="A815" t="s">
        <v>1129</v>
      </c>
      <c r="B815" t="s">
        <v>1130</v>
      </c>
      <c r="C815" t="s">
        <v>308</v>
      </c>
      <c r="D815" t="s">
        <v>1131</v>
      </c>
      <c r="E815" t="s">
        <v>1132</v>
      </c>
      <c r="H815" t="s">
        <v>25</v>
      </c>
      <c r="I815" t="s">
        <v>320</v>
      </c>
      <c r="L815" t="s">
        <v>312</v>
      </c>
      <c r="M815" t="s">
        <v>313</v>
      </c>
    </row>
    <row r="816" spans="1:13" x14ac:dyDescent="0.3">
      <c r="A816" t="s">
        <v>1129</v>
      </c>
      <c r="B816" t="s">
        <v>1130</v>
      </c>
      <c r="C816" t="s">
        <v>308</v>
      </c>
      <c r="D816" t="s">
        <v>1133</v>
      </c>
      <c r="E816" t="s">
        <v>1134</v>
      </c>
      <c r="H816" t="s">
        <v>25</v>
      </c>
      <c r="I816" t="s">
        <v>323</v>
      </c>
      <c r="L816" t="s">
        <v>312</v>
      </c>
      <c r="M816" t="s">
        <v>317</v>
      </c>
    </row>
    <row r="817" spans="1:13" x14ac:dyDescent="0.3">
      <c r="A817" t="s">
        <v>1129</v>
      </c>
      <c r="B817" t="s">
        <v>1130</v>
      </c>
      <c r="C817" t="s">
        <v>308</v>
      </c>
      <c r="D817" t="s">
        <v>1135</v>
      </c>
      <c r="E817" t="s">
        <v>345</v>
      </c>
      <c r="H817" t="s">
        <v>25</v>
      </c>
      <c r="I817" t="s">
        <v>1136</v>
      </c>
      <c r="L817" t="s">
        <v>312</v>
      </c>
      <c r="M817" t="s">
        <v>313</v>
      </c>
    </row>
    <row r="818" spans="1:13" x14ac:dyDescent="0.3">
      <c r="A818" t="s">
        <v>1129</v>
      </c>
      <c r="B818" t="s">
        <v>1130</v>
      </c>
      <c r="C818" t="s">
        <v>308</v>
      </c>
      <c r="D818" t="s">
        <v>1137</v>
      </c>
      <c r="E818" t="s">
        <v>1138</v>
      </c>
      <c r="H818" t="s">
        <v>25</v>
      </c>
      <c r="I818" t="s">
        <v>1139</v>
      </c>
      <c r="L818" t="s">
        <v>312</v>
      </c>
      <c r="M818" t="s">
        <v>317</v>
      </c>
    </row>
    <row r="819" spans="1:13" x14ac:dyDescent="0.3">
      <c r="A819" t="s">
        <v>1129</v>
      </c>
      <c r="B819" t="s">
        <v>1130</v>
      </c>
      <c r="C819" t="s">
        <v>308</v>
      </c>
      <c r="D819" t="s">
        <v>1140</v>
      </c>
      <c r="E819" t="s">
        <v>1141</v>
      </c>
      <c r="H819" t="s">
        <v>25</v>
      </c>
      <c r="I819" t="s">
        <v>1142</v>
      </c>
      <c r="L819" t="s">
        <v>312</v>
      </c>
      <c r="M819" t="s">
        <v>343</v>
      </c>
    </row>
    <row r="820" spans="1:13" x14ac:dyDescent="0.3">
      <c r="A820" t="s">
        <v>1129</v>
      </c>
      <c r="B820" t="s">
        <v>1130</v>
      </c>
      <c r="C820" t="s">
        <v>308</v>
      </c>
      <c r="D820" t="s">
        <v>1143</v>
      </c>
      <c r="E820" t="s">
        <v>1144</v>
      </c>
      <c r="H820" t="s">
        <v>25</v>
      </c>
      <c r="I820" t="s">
        <v>1145</v>
      </c>
      <c r="L820" t="s">
        <v>312</v>
      </c>
      <c r="M820" t="s">
        <v>343</v>
      </c>
    </row>
    <row r="821" spans="1:13" x14ac:dyDescent="0.3">
      <c r="A821" t="s">
        <v>1129</v>
      </c>
      <c r="B821" t="s">
        <v>1130</v>
      </c>
      <c r="C821" t="s">
        <v>308</v>
      </c>
      <c r="D821" t="s">
        <v>1146</v>
      </c>
      <c r="E821" t="s">
        <v>484</v>
      </c>
      <c r="H821" t="s">
        <v>25</v>
      </c>
      <c r="I821" t="s">
        <v>1147</v>
      </c>
      <c r="L821" t="s">
        <v>312</v>
      </c>
      <c r="M821" t="s">
        <v>343</v>
      </c>
    </row>
    <row r="822" spans="1:13" x14ac:dyDescent="0.3">
      <c r="A822" t="s">
        <v>1129</v>
      </c>
      <c r="B822" t="s">
        <v>1130</v>
      </c>
      <c r="C822" t="s">
        <v>308</v>
      </c>
      <c r="D822" t="s">
        <v>1148</v>
      </c>
      <c r="E822" t="s">
        <v>361</v>
      </c>
      <c r="H822" t="s">
        <v>25</v>
      </c>
      <c r="I822" t="s">
        <v>1149</v>
      </c>
      <c r="L822" t="s">
        <v>312</v>
      </c>
      <c r="M822" t="s">
        <v>343</v>
      </c>
    </row>
    <row r="823" spans="1:13" x14ac:dyDescent="0.3">
      <c r="A823" t="s">
        <v>1129</v>
      </c>
      <c r="B823" t="s">
        <v>1130</v>
      </c>
      <c r="C823" t="s">
        <v>308</v>
      </c>
      <c r="D823" t="s">
        <v>1150</v>
      </c>
      <c r="E823" t="s">
        <v>1151</v>
      </c>
      <c r="H823" t="s">
        <v>25</v>
      </c>
      <c r="I823" t="s">
        <v>1152</v>
      </c>
      <c r="L823" t="s">
        <v>312</v>
      </c>
      <c r="M823" t="s">
        <v>343</v>
      </c>
    </row>
    <row r="824" spans="1:13" x14ac:dyDescent="0.3">
      <c r="A824" t="s">
        <v>1129</v>
      </c>
      <c r="B824" t="s">
        <v>1130</v>
      </c>
      <c r="C824" t="s">
        <v>308</v>
      </c>
      <c r="D824" t="s">
        <v>1153</v>
      </c>
      <c r="E824" t="s">
        <v>1154</v>
      </c>
      <c r="H824" t="s">
        <v>25</v>
      </c>
      <c r="I824" t="s">
        <v>1152</v>
      </c>
      <c r="L824" t="s">
        <v>312</v>
      </c>
      <c r="M824" t="s">
        <v>343</v>
      </c>
    </row>
    <row r="825" spans="1:13" x14ac:dyDescent="0.3">
      <c r="A825" t="s">
        <v>1129</v>
      </c>
      <c r="B825" t="s">
        <v>1130</v>
      </c>
      <c r="C825" t="s">
        <v>308</v>
      </c>
      <c r="D825" t="s">
        <v>1155</v>
      </c>
      <c r="E825" t="s">
        <v>1156</v>
      </c>
      <c r="H825" t="s">
        <v>25</v>
      </c>
      <c r="I825" t="s">
        <v>1157</v>
      </c>
      <c r="L825" t="s">
        <v>312</v>
      </c>
      <c r="M825" t="s">
        <v>343</v>
      </c>
    </row>
    <row r="826" spans="1:13" x14ac:dyDescent="0.3">
      <c r="A826" t="s">
        <v>1129</v>
      </c>
      <c r="B826" t="s">
        <v>1130</v>
      </c>
      <c r="C826" t="s">
        <v>308</v>
      </c>
      <c r="D826" t="s">
        <v>1158</v>
      </c>
      <c r="E826" t="s">
        <v>527</v>
      </c>
      <c r="H826" t="s">
        <v>25</v>
      </c>
      <c r="I826" t="s">
        <v>1159</v>
      </c>
      <c r="L826" t="s">
        <v>312</v>
      </c>
      <c r="M826" t="s">
        <v>343</v>
      </c>
    </row>
    <row r="827" spans="1:13" x14ac:dyDescent="0.3">
      <c r="A827" t="s">
        <v>1129</v>
      </c>
      <c r="B827" t="s">
        <v>1130</v>
      </c>
      <c r="C827" t="s">
        <v>308</v>
      </c>
      <c r="D827" t="s">
        <v>1160</v>
      </c>
      <c r="E827" t="s">
        <v>1161</v>
      </c>
      <c r="H827" t="s">
        <v>25</v>
      </c>
      <c r="I827" t="s">
        <v>1162</v>
      </c>
      <c r="L827" t="s">
        <v>312</v>
      </c>
      <c r="M827" t="s">
        <v>343</v>
      </c>
    </row>
    <row r="828" spans="1:13" x14ac:dyDescent="0.3">
      <c r="A828" t="s">
        <v>1129</v>
      </c>
      <c r="B828" t="s">
        <v>1130</v>
      </c>
      <c r="C828" t="s">
        <v>308</v>
      </c>
      <c r="D828" t="s">
        <v>1163</v>
      </c>
      <c r="E828" t="s">
        <v>1164</v>
      </c>
      <c r="H828" t="s">
        <v>25</v>
      </c>
      <c r="I828" t="s">
        <v>1165</v>
      </c>
      <c r="L828" t="s">
        <v>312</v>
      </c>
      <c r="M828" t="s">
        <v>343</v>
      </c>
    </row>
    <row r="829" spans="1:13" x14ac:dyDescent="0.3">
      <c r="A829" t="s">
        <v>1129</v>
      </c>
      <c r="B829" t="s">
        <v>1130</v>
      </c>
      <c r="C829" t="s">
        <v>308</v>
      </c>
      <c r="D829" t="s">
        <v>1166</v>
      </c>
      <c r="E829" t="s">
        <v>1167</v>
      </c>
      <c r="H829" t="s">
        <v>25</v>
      </c>
      <c r="I829" t="s">
        <v>1168</v>
      </c>
      <c r="L829" t="s">
        <v>312</v>
      </c>
      <c r="M829" t="s">
        <v>343</v>
      </c>
    </row>
    <row r="830" spans="1:13" x14ac:dyDescent="0.3">
      <c r="A830" t="s">
        <v>1129</v>
      </c>
      <c r="B830" t="s">
        <v>1130</v>
      </c>
      <c r="C830" t="s">
        <v>308</v>
      </c>
      <c r="D830" t="s">
        <v>1169</v>
      </c>
      <c r="E830" t="s">
        <v>1170</v>
      </c>
      <c r="H830" t="s">
        <v>25</v>
      </c>
      <c r="I830" t="s">
        <v>1171</v>
      </c>
      <c r="L830" t="s">
        <v>312</v>
      </c>
      <c r="M830" t="s">
        <v>343</v>
      </c>
    </row>
    <row r="831" spans="1:13" x14ac:dyDescent="0.3">
      <c r="A831" t="s">
        <v>1129</v>
      </c>
      <c r="B831" t="s">
        <v>1130</v>
      </c>
      <c r="C831" t="s">
        <v>308</v>
      </c>
      <c r="D831" t="s">
        <v>1172</v>
      </c>
      <c r="E831" t="s">
        <v>1173</v>
      </c>
      <c r="H831" t="s">
        <v>25</v>
      </c>
      <c r="I831" t="s">
        <v>1174</v>
      </c>
      <c r="L831" t="s">
        <v>312</v>
      </c>
      <c r="M831" t="s">
        <v>343</v>
      </c>
    </row>
    <row r="832" spans="1:13" x14ac:dyDescent="0.3">
      <c r="A832" t="s">
        <v>1129</v>
      </c>
      <c r="B832" t="s">
        <v>1130</v>
      </c>
      <c r="C832" t="s">
        <v>22</v>
      </c>
      <c r="D832" t="s">
        <v>23</v>
      </c>
      <c r="E832" t="s">
        <v>28</v>
      </c>
      <c r="F832" t="s">
        <v>25</v>
      </c>
      <c r="G832" t="s">
        <v>1175</v>
      </c>
      <c r="J832" t="s">
        <v>373</v>
      </c>
      <c r="K832" t="s">
        <v>374</v>
      </c>
    </row>
    <row r="833" spans="1:13" x14ac:dyDescent="0.3">
      <c r="A833" t="s">
        <v>1129</v>
      </c>
      <c r="B833" t="s">
        <v>1130</v>
      </c>
      <c r="C833" t="s">
        <v>380</v>
      </c>
      <c r="D833" t="s">
        <v>9</v>
      </c>
      <c r="E833" t="s">
        <v>10</v>
      </c>
    </row>
    <row r="834" spans="1:13" x14ac:dyDescent="0.3">
      <c r="A834" t="s">
        <v>1129</v>
      </c>
      <c r="B834" t="s">
        <v>1130</v>
      </c>
      <c r="C834" t="s">
        <v>16</v>
      </c>
      <c r="D834" t="s">
        <v>1117</v>
      </c>
      <c r="E834" t="s">
        <v>37</v>
      </c>
    </row>
    <row r="835" spans="1:13" x14ac:dyDescent="0.3">
      <c r="A835" t="s">
        <v>1129</v>
      </c>
      <c r="B835" t="s">
        <v>1130</v>
      </c>
      <c r="C835" t="s">
        <v>11</v>
      </c>
      <c r="D835" t="s">
        <v>12</v>
      </c>
      <c r="E835" t="s">
        <v>13</v>
      </c>
      <c r="H835" t="s">
        <v>382</v>
      </c>
      <c r="I835" t="s">
        <v>1176</v>
      </c>
      <c r="L835" t="s">
        <v>14</v>
      </c>
      <c r="M835" t="s">
        <v>1176</v>
      </c>
    </row>
    <row r="836" spans="1:13" x14ac:dyDescent="0.3">
      <c r="A836" t="s">
        <v>1148</v>
      </c>
      <c r="B836" t="s">
        <v>361</v>
      </c>
      <c r="C836" t="s">
        <v>11</v>
      </c>
      <c r="D836" t="s">
        <v>12</v>
      </c>
      <c r="E836" t="s">
        <v>391</v>
      </c>
      <c r="H836" t="s">
        <v>392</v>
      </c>
      <c r="I836" t="s">
        <v>1177</v>
      </c>
      <c r="L836" t="s">
        <v>394</v>
      </c>
      <c r="M836" t="s">
        <v>1176</v>
      </c>
    </row>
    <row r="837" spans="1:13" x14ac:dyDescent="0.3">
      <c r="A837" t="s">
        <v>1140</v>
      </c>
      <c r="B837" t="s">
        <v>484</v>
      </c>
      <c r="C837" t="s">
        <v>11</v>
      </c>
      <c r="D837" t="s">
        <v>12</v>
      </c>
      <c r="E837" t="s">
        <v>391</v>
      </c>
      <c r="H837" t="s">
        <v>392</v>
      </c>
      <c r="I837" t="s">
        <v>1178</v>
      </c>
      <c r="L837" t="s">
        <v>394</v>
      </c>
      <c r="M837" t="s">
        <v>1176</v>
      </c>
    </row>
    <row r="838" spans="1:13" x14ac:dyDescent="0.3">
      <c r="A838" t="s">
        <v>1150</v>
      </c>
      <c r="B838" t="s">
        <v>1151</v>
      </c>
      <c r="C838" t="s">
        <v>11</v>
      </c>
      <c r="D838" t="s">
        <v>12</v>
      </c>
      <c r="E838" t="s">
        <v>391</v>
      </c>
      <c r="H838" t="s">
        <v>392</v>
      </c>
      <c r="I838" t="s">
        <v>1179</v>
      </c>
      <c r="L838" t="s">
        <v>394</v>
      </c>
      <c r="M838" t="s">
        <v>1176</v>
      </c>
    </row>
    <row r="839" spans="1:13" x14ac:dyDescent="0.3">
      <c r="A839" t="s">
        <v>1153</v>
      </c>
      <c r="B839" t="s">
        <v>1154</v>
      </c>
      <c r="C839" t="s">
        <v>11</v>
      </c>
      <c r="D839" t="s">
        <v>12</v>
      </c>
      <c r="E839" t="s">
        <v>391</v>
      </c>
      <c r="H839" t="s">
        <v>392</v>
      </c>
      <c r="I839" t="s">
        <v>1180</v>
      </c>
      <c r="L839" t="s">
        <v>394</v>
      </c>
      <c r="M839" t="s">
        <v>1176</v>
      </c>
    </row>
    <row r="840" spans="1:13" x14ac:dyDescent="0.3">
      <c r="A840" t="s">
        <v>1155</v>
      </c>
      <c r="B840" t="s">
        <v>1156</v>
      </c>
      <c r="C840" t="s">
        <v>11</v>
      </c>
      <c r="D840" t="s">
        <v>12</v>
      </c>
      <c r="E840" t="s">
        <v>391</v>
      </c>
      <c r="H840" t="s">
        <v>392</v>
      </c>
      <c r="I840" t="s">
        <v>1181</v>
      </c>
      <c r="L840" t="s">
        <v>394</v>
      </c>
      <c r="M840" t="s">
        <v>1176</v>
      </c>
    </row>
    <row r="841" spans="1:13" x14ac:dyDescent="0.3">
      <c r="A841" t="s">
        <v>1158</v>
      </c>
      <c r="B841" t="s">
        <v>550</v>
      </c>
      <c r="C841" t="s">
        <v>11</v>
      </c>
      <c r="D841" t="s">
        <v>12</v>
      </c>
      <c r="E841" t="s">
        <v>391</v>
      </c>
      <c r="H841" t="s">
        <v>392</v>
      </c>
      <c r="I841" t="s">
        <v>1182</v>
      </c>
      <c r="L841" t="s">
        <v>394</v>
      </c>
      <c r="M841" t="s">
        <v>1176</v>
      </c>
    </row>
    <row r="842" spans="1:13" x14ac:dyDescent="0.3">
      <c r="A842" t="s">
        <v>1146</v>
      </c>
      <c r="B842" t="s">
        <v>1183</v>
      </c>
      <c r="C842" t="s">
        <v>11</v>
      </c>
      <c r="D842" t="s">
        <v>12</v>
      </c>
      <c r="E842" t="s">
        <v>391</v>
      </c>
      <c r="H842" t="s">
        <v>392</v>
      </c>
      <c r="I842" t="s">
        <v>1184</v>
      </c>
      <c r="L842" t="s">
        <v>394</v>
      </c>
      <c r="M842" t="s">
        <v>1176</v>
      </c>
    </row>
    <row r="843" spans="1:13" x14ac:dyDescent="0.3">
      <c r="A843" t="s">
        <v>1160</v>
      </c>
      <c r="B843" t="s">
        <v>1161</v>
      </c>
      <c r="C843" t="s">
        <v>11</v>
      </c>
      <c r="D843" t="s">
        <v>12</v>
      </c>
      <c r="E843" t="s">
        <v>391</v>
      </c>
      <c r="H843" t="s">
        <v>392</v>
      </c>
      <c r="I843" t="s">
        <v>1185</v>
      </c>
      <c r="L843" t="s">
        <v>394</v>
      </c>
      <c r="M843" t="s">
        <v>1176</v>
      </c>
    </row>
    <row r="844" spans="1:13" x14ac:dyDescent="0.3">
      <c r="A844" t="s">
        <v>1131</v>
      </c>
      <c r="B844" t="s">
        <v>1132</v>
      </c>
      <c r="C844" t="s">
        <v>11</v>
      </c>
      <c r="D844" t="s">
        <v>12</v>
      </c>
      <c r="E844" t="s">
        <v>391</v>
      </c>
      <c r="H844" t="s">
        <v>392</v>
      </c>
      <c r="I844" t="s">
        <v>1186</v>
      </c>
      <c r="L844" t="s">
        <v>394</v>
      </c>
      <c r="M844" t="s">
        <v>1176</v>
      </c>
    </row>
    <row r="845" spans="1:13" x14ac:dyDescent="0.3">
      <c r="A845" t="s">
        <v>1135</v>
      </c>
      <c r="B845" t="s">
        <v>345</v>
      </c>
      <c r="C845" t="s">
        <v>11</v>
      </c>
      <c r="D845" t="s">
        <v>12</v>
      </c>
      <c r="E845" t="s">
        <v>391</v>
      </c>
      <c r="H845" t="s">
        <v>392</v>
      </c>
      <c r="I845" t="s">
        <v>1187</v>
      </c>
      <c r="L845" t="s">
        <v>394</v>
      </c>
      <c r="M845" t="s">
        <v>1176</v>
      </c>
    </row>
    <row r="846" spans="1:13" x14ac:dyDescent="0.3">
      <c r="A846" t="s">
        <v>1143</v>
      </c>
      <c r="B846" t="s">
        <v>1144</v>
      </c>
      <c r="C846" t="s">
        <v>11</v>
      </c>
      <c r="D846" t="s">
        <v>12</v>
      </c>
      <c r="E846" t="s">
        <v>391</v>
      </c>
      <c r="H846" t="s">
        <v>392</v>
      </c>
      <c r="I846" t="s">
        <v>1188</v>
      </c>
      <c r="L846" t="s">
        <v>394</v>
      </c>
      <c r="M846" t="s">
        <v>1176</v>
      </c>
    </row>
    <row r="847" spans="1:13" x14ac:dyDescent="0.3">
      <c r="A847" t="s">
        <v>1163</v>
      </c>
      <c r="B847" t="s">
        <v>1164</v>
      </c>
      <c r="C847" t="s">
        <v>11</v>
      </c>
      <c r="D847" t="s">
        <v>12</v>
      </c>
      <c r="E847" t="s">
        <v>391</v>
      </c>
      <c r="H847" t="s">
        <v>392</v>
      </c>
      <c r="I847" t="s">
        <v>1189</v>
      </c>
      <c r="L847" t="s">
        <v>394</v>
      </c>
      <c r="M847" t="s">
        <v>1176</v>
      </c>
    </row>
    <row r="848" spans="1:13" x14ac:dyDescent="0.3">
      <c r="A848" t="s">
        <v>1169</v>
      </c>
      <c r="B848" t="s">
        <v>1170</v>
      </c>
      <c r="C848" t="s">
        <v>11</v>
      </c>
      <c r="D848" t="s">
        <v>12</v>
      </c>
      <c r="E848" t="s">
        <v>391</v>
      </c>
      <c r="H848" t="s">
        <v>392</v>
      </c>
      <c r="I848" t="s">
        <v>1190</v>
      </c>
      <c r="L848" t="s">
        <v>394</v>
      </c>
      <c r="M848" t="s">
        <v>1176</v>
      </c>
    </row>
    <row r="849" spans="1:13" x14ac:dyDescent="0.3">
      <c r="A849" t="s">
        <v>1166</v>
      </c>
      <c r="B849" t="s">
        <v>1167</v>
      </c>
      <c r="C849" t="s">
        <v>11</v>
      </c>
      <c r="D849" t="s">
        <v>12</v>
      </c>
      <c r="E849" t="s">
        <v>391</v>
      </c>
      <c r="H849" t="s">
        <v>392</v>
      </c>
      <c r="I849" t="s">
        <v>1191</v>
      </c>
      <c r="L849" t="s">
        <v>394</v>
      </c>
      <c r="M849" t="s">
        <v>1176</v>
      </c>
    </row>
    <row r="850" spans="1:13" x14ac:dyDescent="0.3">
      <c r="A850" t="s">
        <v>1172</v>
      </c>
      <c r="B850" t="s">
        <v>1173</v>
      </c>
      <c r="C850" t="s">
        <v>11</v>
      </c>
      <c r="D850" t="s">
        <v>12</v>
      </c>
      <c r="E850" t="s">
        <v>391</v>
      </c>
      <c r="H850" t="s">
        <v>392</v>
      </c>
      <c r="I850" t="s">
        <v>1192</v>
      </c>
      <c r="L850" t="s">
        <v>394</v>
      </c>
      <c r="M850" t="s">
        <v>1176</v>
      </c>
    </row>
    <row r="851" spans="1:13" x14ac:dyDescent="0.3">
      <c r="A851" t="s">
        <v>1133</v>
      </c>
      <c r="B851" t="s">
        <v>1134</v>
      </c>
      <c r="C851" t="s">
        <v>11</v>
      </c>
      <c r="D851" t="s">
        <v>12</v>
      </c>
      <c r="E851" t="s">
        <v>391</v>
      </c>
      <c r="H851" t="s">
        <v>392</v>
      </c>
      <c r="I851" t="s">
        <v>1193</v>
      </c>
      <c r="L851" t="s">
        <v>394</v>
      </c>
      <c r="M851" t="s">
        <v>1176</v>
      </c>
    </row>
    <row r="852" spans="1:13" x14ac:dyDescent="0.3">
      <c r="A852" t="s">
        <v>1137</v>
      </c>
      <c r="B852" t="s">
        <v>1138</v>
      </c>
      <c r="C852" t="s">
        <v>11</v>
      </c>
      <c r="D852" t="s">
        <v>12</v>
      </c>
      <c r="E852" t="s">
        <v>391</v>
      </c>
      <c r="H852" t="s">
        <v>392</v>
      </c>
      <c r="I852" t="s">
        <v>1194</v>
      </c>
      <c r="L852" t="s">
        <v>394</v>
      </c>
      <c r="M852" t="s">
        <v>1176</v>
      </c>
    </row>
    <row r="853" spans="1:13" x14ac:dyDescent="0.3">
      <c r="A853" t="s">
        <v>1195</v>
      </c>
      <c r="B853" t="s">
        <v>1130</v>
      </c>
      <c r="C853" t="s">
        <v>308</v>
      </c>
      <c r="D853" t="s">
        <v>1196</v>
      </c>
      <c r="E853" t="s">
        <v>1132</v>
      </c>
      <c r="H853" t="s">
        <v>25</v>
      </c>
      <c r="I853" t="s">
        <v>320</v>
      </c>
      <c r="L853" t="s">
        <v>312</v>
      </c>
      <c r="M853" t="s">
        <v>313</v>
      </c>
    </row>
    <row r="854" spans="1:13" x14ac:dyDescent="0.3">
      <c r="A854" t="s">
        <v>1195</v>
      </c>
      <c r="B854" t="s">
        <v>1130</v>
      </c>
      <c r="C854" t="s">
        <v>308</v>
      </c>
      <c r="D854" t="s">
        <v>1197</v>
      </c>
      <c r="E854" t="s">
        <v>1134</v>
      </c>
      <c r="H854" t="s">
        <v>25</v>
      </c>
      <c r="I854" t="s">
        <v>323</v>
      </c>
      <c r="L854" t="s">
        <v>312</v>
      </c>
      <c r="M854" t="s">
        <v>317</v>
      </c>
    </row>
    <row r="855" spans="1:13" x14ac:dyDescent="0.3">
      <c r="A855" t="s">
        <v>1195</v>
      </c>
      <c r="B855" t="s">
        <v>1130</v>
      </c>
      <c r="C855" t="s">
        <v>308</v>
      </c>
      <c r="D855" t="s">
        <v>1198</v>
      </c>
      <c r="E855" t="s">
        <v>345</v>
      </c>
      <c r="H855" t="s">
        <v>25</v>
      </c>
      <c r="I855" t="s">
        <v>1136</v>
      </c>
      <c r="L855" t="s">
        <v>312</v>
      </c>
      <c r="M855" t="s">
        <v>313</v>
      </c>
    </row>
    <row r="856" spans="1:13" x14ac:dyDescent="0.3">
      <c r="A856" t="s">
        <v>1195</v>
      </c>
      <c r="B856" t="s">
        <v>1130</v>
      </c>
      <c r="C856" t="s">
        <v>308</v>
      </c>
      <c r="D856" t="s">
        <v>1199</v>
      </c>
      <c r="E856" t="s">
        <v>1138</v>
      </c>
      <c r="H856" t="s">
        <v>25</v>
      </c>
      <c r="I856" t="s">
        <v>1139</v>
      </c>
      <c r="L856" t="s">
        <v>312</v>
      </c>
      <c r="M856" t="s">
        <v>317</v>
      </c>
    </row>
    <row r="857" spans="1:13" x14ac:dyDescent="0.3">
      <c r="A857" t="s">
        <v>1195</v>
      </c>
      <c r="B857" t="s">
        <v>1130</v>
      </c>
      <c r="C857" t="s">
        <v>308</v>
      </c>
      <c r="D857" t="s">
        <v>1200</v>
      </c>
      <c r="E857" t="s">
        <v>1141</v>
      </c>
      <c r="H857" t="s">
        <v>25</v>
      </c>
      <c r="I857" t="s">
        <v>1142</v>
      </c>
      <c r="L857" t="s">
        <v>312</v>
      </c>
      <c r="M857" t="s">
        <v>343</v>
      </c>
    </row>
    <row r="858" spans="1:13" x14ac:dyDescent="0.3">
      <c r="A858" t="s">
        <v>1195</v>
      </c>
      <c r="B858" t="s">
        <v>1130</v>
      </c>
      <c r="C858" t="s">
        <v>308</v>
      </c>
      <c r="D858" t="s">
        <v>1201</v>
      </c>
      <c r="E858" t="s">
        <v>1144</v>
      </c>
      <c r="H858" t="s">
        <v>25</v>
      </c>
      <c r="I858" t="s">
        <v>1145</v>
      </c>
      <c r="L858" t="s">
        <v>312</v>
      </c>
      <c r="M858" t="s">
        <v>343</v>
      </c>
    </row>
    <row r="859" spans="1:13" x14ac:dyDescent="0.3">
      <c r="A859" t="s">
        <v>1195</v>
      </c>
      <c r="B859" t="s">
        <v>1130</v>
      </c>
      <c r="C859" t="s">
        <v>308</v>
      </c>
      <c r="D859" t="s">
        <v>1202</v>
      </c>
      <c r="E859" t="s">
        <v>484</v>
      </c>
      <c r="H859" t="s">
        <v>25</v>
      </c>
      <c r="I859" t="s">
        <v>1147</v>
      </c>
      <c r="L859" t="s">
        <v>312</v>
      </c>
      <c r="M859" t="s">
        <v>343</v>
      </c>
    </row>
    <row r="860" spans="1:13" x14ac:dyDescent="0.3">
      <c r="A860" t="s">
        <v>1195</v>
      </c>
      <c r="B860" t="s">
        <v>1130</v>
      </c>
      <c r="C860" t="s">
        <v>308</v>
      </c>
      <c r="D860" t="s">
        <v>1203</v>
      </c>
      <c r="E860" t="s">
        <v>361</v>
      </c>
      <c r="H860" t="s">
        <v>25</v>
      </c>
      <c r="I860" t="s">
        <v>1149</v>
      </c>
      <c r="L860" t="s">
        <v>312</v>
      </c>
      <c r="M860" t="s">
        <v>343</v>
      </c>
    </row>
    <row r="861" spans="1:13" x14ac:dyDescent="0.3">
      <c r="A861" t="s">
        <v>1195</v>
      </c>
      <c r="B861" t="s">
        <v>1130</v>
      </c>
      <c r="C861" t="s">
        <v>308</v>
      </c>
      <c r="D861" t="s">
        <v>1204</v>
      </c>
      <c r="E861" t="s">
        <v>1151</v>
      </c>
      <c r="H861" t="s">
        <v>25</v>
      </c>
      <c r="I861" t="s">
        <v>1152</v>
      </c>
      <c r="L861" t="s">
        <v>312</v>
      </c>
      <c r="M861" t="s">
        <v>343</v>
      </c>
    </row>
    <row r="862" spans="1:13" x14ac:dyDescent="0.3">
      <c r="A862" t="s">
        <v>1195</v>
      </c>
      <c r="B862" t="s">
        <v>1130</v>
      </c>
      <c r="C862" t="s">
        <v>308</v>
      </c>
      <c r="D862" t="s">
        <v>1205</v>
      </c>
      <c r="E862" t="s">
        <v>1154</v>
      </c>
      <c r="H862" t="s">
        <v>25</v>
      </c>
      <c r="I862" t="s">
        <v>1152</v>
      </c>
      <c r="L862" t="s">
        <v>312</v>
      </c>
      <c r="M862" t="s">
        <v>343</v>
      </c>
    </row>
    <row r="863" spans="1:13" x14ac:dyDescent="0.3">
      <c r="A863" t="s">
        <v>1195</v>
      </c>
      <c r="B863" t="s">
        <v>1130</v>
      </c>
      <c r="C863" t="s">
        <v>308</v>
      </c>
      <c r="D863" t="s">
        <v>1206</v>
      </c>
      <c r="E863" t="s">
        <v>1156</v>
      </c>
      <c r="H863" t="s">
        <v>25</v>
      </c>
      <c r="I863" t="s">
        <v>1157</v>
      </c>
      <c r="L863" t="s">
        <v>312</v>
      </c>
      <c r="M863" t="s">
        <v>343</v>
      </c>
    </row>
    <row r="864" spans="1:13" x14ac:dyDescent="0.3">
      <c r="A864" t="s">
        <v>1195</v>
      </c>
      <c r="B864" t="s">
        <v>1130</v>
      </c>
      <c r="C864" t="s">
        <v>308</v>
      </c>
      <c r="D864" t="s">
        <v>1207</v>
      </c>
      <c r="E864" t="s">
        <v>527</v>
      </c>
      <c r="H864" t="s">
        <v>25</v>
      </c>
      <c r="I864" t="s">
        <v>1159</v>
      </c>
      <c r="L864" t="s">
        <v>312</v>
      </c>
      <c r="M864" t="s">
        <v>343</v>
      </c>
    </row>
    <row r="865" spans="1:13" x14ac:dyDescent="0.3">
      <c r="A865" t="s">
        <v>1195</v>
      </c>
      <c r="B865" t="s">
        <v>1130</v>
      </c>
      <c r="C865" t="s">
        <v>308</v>
      </c>
      <c r="D865" t="s">
        <v>1208</v>
      </c>
      <c r="E865" t="s">
        <v>1161</v>
      </c>
      <c r="H865" t="s">
        <v>25</v>
      </c>
      <c r="I865" t="s">
        <v>1162</v>
      </c>
      <c r="L865" t="s">
        <v>312</v>
      </c>
      <c r="M865" t="s">
        <v>343</v>
      </c>
    </row>
    <row r="866" spans="1:13" x14ac:dyDescent="0.3">
      <c r="A866" t="s">
        <v>1195</v>
      </c>
      <c r="B866" t="s">
        <v>1130</v>
      </c>
      <c r="C866" t="s">
        <v>308</v>
      </c>
      <c r="D866" t="s">
        <v>1209</v>
      </c>
      <c r="E866" t="s">
        <v>1164</v>
      </c>
      <c r="H866" t="s">
        <v>25</v>
      </c>
      <c r="I866" t="s">
        <v>1165</v>
      </c>
      <c r="L866" t="s">
        <v>312</v>
      </c>
      <c r="M866" t="s">
        <v>343</v>
      </c>
    </row>
    <row r="867" spans="1:13" x14ac:dyDescent="0.3">
      <c r="A867" t="s">
        <v>1195</v>
      </c>
      <c r="B867" t="s">
        <v>1130</v>
      </c>
      <c r="C867" t="s">
        <v>308</v>
      </c>
      <c r="D867" t="s">
        <v>1210</v>
      </c>
      <c r="E867" t="s">
        <v>1167</v>
      </c>
      <c r="H867" t="s">
        <v>25</v>
      </c>
      <c r="I867" t="s">
        <v>1168</v>
      </c>
      <c r="L867" t="s">
        <v>312</v>
      </c>
      <c r="M867" t="s">
        <v>343</v>
      </c>
    </row>
    <row r="868" spans="1:13" x14ac:dyDescent="0.3">
      <c r="A868" t="s">
        <v>1195</v>
      </c>
      <c r="B868" t="s">
        <v>1130</v>
      </c>
      <c r="C868" t="s">
        <v>308</v>
      </c>
      <c r="D868" t="s">
        <v>1211</v>
      </c>
      <c r="E868" t="s">
        <v>1170</v>
      </c>
      <c r="H868" t="s">
        <v>25</v>
      </c>
      <c r="I868" t="s">
        <v>1171</v>
      </c>
      <c r="L868" t="s">
        <v>312</v>
      </c>
      <c r="M868" t="s">
        <v>343</v>
      </c>
    </row>
    <row r="869" spans="1:13" x14ac:dyDescent="0.3">
      <c r="A869" t="s">
        <v>1195</v>
      </c>
      <c r="B869" t="s">
        <v>1130</v>
      </c>
      <c r="C869" t="s">
        <v>308</v>
      </c>
      <c r="D869" t="s">
        <v>1212</v>
      </c>
      <c r="E869" t="s">
        <v>1173</v>
      </c>
      <c r="H869" t="s">
        <v>25</v>
      </c>
      <c r="I869" t="s">
        <v>1174</v>
      </c>
      <c r="L869" t="s">
        <v>312</v>
      </c>
      <c r="M869" t="s">
        <v>343</v>
      </c>
    </row>
    <row r="870" spans="1:13" x14ac:dyDescent="0.3">
      <c r="A870" t="s">
        <v>1195</v>
      </c>
      <c r="B870" t="s">
        <v>1130</v>
      </c>
      <c r="C870" t="s">
        <v>22</v>
      </c>
      <c r="D870" t="s">
        <v>23</v>
      </c>
      <c r="E870" t="s">
        <v>28</v>
      </c>
      <c r="F870" t="s">
        <v>25</v>
      </c>
      <c r="G870" t="s">
        <v>1213</v>
      </c>
      <c r="J870" t="s">
        <v>373</v>
      </c>
      <c r="K870" t="s">
        <v>374</v>
      </c>
    </row>
    <row r="871" spans="1:13" x14ac:dyDescent="0.3">
      <c r="A871" t="s">
        <v>1195</v>
      </c>
      <c r="B871" t="s">
        <v>1130</v>
      </c>
      <c r="C871" t="s">
        <v>380</v>
      </c>
      <c r="D871" t="s">
        <v>9</v>
      </c>
      <c r="E871" t="s">
        <v>10</v>
      </c>
    </row>
    <row r="872" spans="1:13" x14ac:dyDescent="0.3">
      <c r="A872" t="s">
        <v>1195</v>
      </c>
      <c r="B872" t="s">
        <v>1130</v>
      </c>
      <c r="C872" t="s">
        <v>16</v>
      </c>
      <c r="D872" t="s">
        <v>1117</v>
      </c>
      <c r="E872" t="s">
        <v>37</v>
      </c>
    </row>
    <row r="873" spans="1:13" x14ac:dyDescent="0.3">
      <c r="A873" t="s">
        <v>1195</v>
      </c>
      <c r="B873" t="s">
        <v>1130</v>
      </c>
      <c r="C873" t="s">
        <v>11</v>
      </c>
      <c r="D873" t="s">
        <v>12</v>
      </c>
      <c r="E873" t="s">
        <v>13</v>
      </c>
      <c r="H873" t="s">
        <v>382</v>
      </c>
      <c r="I873" t="s">
        <v>1214</v>
      </c>
      <c r="L873" t="s">
        <v>14</v>
      </c>
      <c r="M873" t="s">
        <v>1214</v>
      </c>
    </row>
    <row r="874" spans="1:13" x14ac:dyDescent="0.3">
      <c r="A874" t="s">
        <v>1203</v>
      </c>
      <c r="B874" t="s">
        <v>361</v>
      </c>
      <c r="C874" t="s">
        <v>11</v>
      </c>
      <c r="D874" t="s">
        <v>12</v>
      </c>
      <c r="E874" t="s">
        <v>391</v>
      </c>
      <c r="H874" t="s">
        <v>392</v>
      </c>
      <c r="I874" t="s">
        <v>1215</v>
      </c>
      <c r="L874" t="s">
        <v>394</v>
      </c>
      <c r="M874" t="s">
        <v>1214</v>
      </c>
    </row>
    <row r="875" spans="1:13" x14ac:dyDescent="0.3">
      <c r="A875" t="s">
        <v>1200</v>
      </c>
      <c r="B875" t="s">
        <v>484</v>
      </c>
      <c r="C875" t="s">
        <v>11</v>
      </c>
      <c r="D875" t="s">
        <v>12</v>
      </c>
      <c r="E875" t="s">
        <v>391</v>
      </c>
      <c r="H875" t="s">
        <v>392</v>
      </c>
      <c r="I875" t="s">
        <v>1216</v>
      </c>
      <c r="L875" t="s">
        <v>394</v>
      </c>
      <c r="M875" t="s">
        <v>1214</v>
      </c>
    </row>
    <row r="876" spans="1:13" x14ac:dyDescent="0.3">
      <c r="A876" t="s">
        <v>1204</v>
      </c>
      <c r="B876" t="s">
        <v>1151</v>
      </c>
      <c r="C876" t="s">
        <v>11</v>
      </c>
      <c r="D876" t="s">
        <v>12</v>
      </c>
      <c r="E876" t="s">
        <v>391</v>
      </c>
      <c r="H876" t="s">
        <v>392</v>
      </c>
      <c r="I876" t="s">
        <v>1217</v>
      </c>
      <c r="L876" t="s">
        <v>394</v>
      </c>
      <c r="M876" t="s">
        <v>1214</v>
      </c>
    </row>
    <row r="877" spans="1:13" x14ac:dyDescent="0.3">
      <c r="A877" t="s">
        <v>1205</v>
      </c>
      <c r="B877" t="s">
        <v>1154</v>
      </c>
      <c r="C877" t="s">
        <v>11</v>
      </c>
      <c r="D877" t="s">
        <v>12</v>
      </c>
      <c r="E877" t="s">
        <v>391</v>
      </c>
      <c r="H877" t="s">
        <v>392</v>
      </c>
      <c r="I877" t="s">
        <v>1218</v>
      </c>
      <c r="L877" t="s">
        <v>394</v>
      </c>
      <c r="M877" t="s">
        <v>1214</v>
      </c>
    </row>
    <row r="878" spans="1:13" x14ac:dyDescent="0.3">
      <c r="A878" t="s">
        <v>1206</v>
      </c>
      <c r="B878" t="s">
        <v>1156</v>
      </c>
      <c r="C878" t="s">
        <v>11</v>
      </c>
      <c r="D878" t="s">
        <v>12</v>
      </c>
      <c r="E878" t="s">
        <v>391</v>
      </c>
      <c r="H878" t="s">
        <v>392</v>
      </c>
      <c r="I878" t="s">
        <v>1219</v>
      </c>
      <c r="L878" t="s">
        <v>394</v>
      </c>
      <c r="M878" t="s">
        <v>1214</v>
      </c>
    </row>
    <row r="879" spans="1:13" x14ac:dyDescent="0.3">
      <c r="A879" t="s">
        <v>1207</v>
      </c>
      <c r="B879" t="s">
        <v>550</v>
      </c>
      <c r="C879" t="s">
        <v>11</v>
      </c>
      <c r="D879" t="s">
        <v>12</v>
      </c>
      <c r="E879" t="s">
        <v>391</v>
      </c>
      <c r="H879" t="s">
        <v>392</v>
      </c>
      <c r="I879" t="s">
        <v>1220</v>
      </c>
      <c r="L879" t="s">
        <v>394</v>
      </c>
      <c r="M879" t="s">
        <v>1214</v>
      </c>
    </row>
    <row r="880" spans="1:13" x14ac:dyDescent="0.3">
      <c r="A880" t="s">
        <v>1202</v>
      </c>
      <c r="B880" t="s">
        <v>1183</v>
      </c>
      <c r="C880" t="s">
        <v>11</v>
      </c>
      <c r="D880" t="s">
        <v>12</v>
      </c>
      <c r="E880" t="s">
        <v>391</v>
      </c>
      <c r="H880" t="s">
        <v>392</v>
      </c>
      <c r="I880" t="s">
        <v>1221</v>
      </c>
      <c r="L880" t="s">
        <v>394</v>
      </c>
      <c r="M880" t="s">
        <v>1214</v>
      </c>
    </row>
    <row r="881" spans="1:13" x14ac:dyDescent="0.3">
      <c r="A881" t="s">
        <v>1208</v>
      </c>
      <c r="B881" t="s">
        <v>1161</v>
      </c>
      <c r="C881" t="s">
        <v>11</v>
      </c>
      <c r="D881" t="s">
        <v>12</v>
      </c>
      <c r="E881" t="s">
        <v>391</v>
      </c>
      <c r="H881" t="s">
        <v>392</v>
      </c>
      <c r="I881" t="s">
        <v>1222</v>
      </c>
      <c r="L881" t="s">
        <v>394</v>
      </c>
      <c r="M881" t="s">
        <v>1214</v>
      </c>
    </row>
    <row r="882" spans="1:13" x14ac:dyDescent="0.3">
      <c r="A882" t="s">
        <v>1196</v>
      </c>
      <c r="B882" t="s">
        <v>1132</v>
      </c>
      <c r="C882" t="s">
        <v>11</v>
      </c>
      <c r="D882" t="s">
        <v>12</v>
      </c>
      <c r="E882" t="s">
        <v>391</v>
      </c>
      <c r="H882" t="s">
        <v>392</v>
      </c>
      <c r="I882" t="s">
        <v>1223</v>
      </c>
      <c r="L882" t="s">
        <v>394</v>
      </c>
      <c r="M882" t="s">
        <v>1214</v>
      </c>
    </row>
    <row r="883" spans="1:13" x14ac:dyDescent="0.3">
      <c r="A883" t="s">
        <v>1198</v>
      </c>
      <c r="B883" t="s">
        <v>345</v>
      </c>
      <c r="C883" t="s">
        <v>11</v>
      </c>
      <c r="D883" t="s">
        <v>12</v>
      </c>
      <c r="E883" t="s">
        <v>391</v>
      </c>
      <c r="H883" t="s">
        <v>392</v>
      </c>
      <c r="I883" t="s">
        <v>1224</v>
      </c>
      <c r="L883" t="s">
        <v>394</v>
      </c>
      <c r="M883" t="s">
        <v>1214</v>
      </c>
    </row>
    <row r="884" spans="1:13" x14ac:dyDescent="0.3">
      <c r="A884" t="s">
        <v>1201</v>
      </c>
      <c r="B884" t="s">
        <v>1144</v>
      </c>
      <c r="C884" t="s">
        <v>11</v>
      </c>
      <c r="D884" t="s">
        <v>12</v>
      </c>
      <c r="E884" t="s">
        <v>391</v>
      </c>
      <c r="H884" t="s">
        <v>392</v>
      </c>
      <c r="I884" t="s">
        <v>1225</v>
      </c>
      <c r="L884" t="s">
        <v>394</v>
      </c>
      <c r="M884" t="s">
        <v>1214</v>
      </c>
    </row>
    <row r="885" spans="1:13" x14ac:dyDescent="0.3">
      <c r="A885" t="s">
        <v>1209</v>
      </c>
      <c r="B885" t="s">
        <v>1164</v>
      </c>
      <c r="C885" t="s">
        <v>11</v>
      </c>
      <c r="D885" t="s">
        <v>12</v>
      </c>
      <c r="E885" t="s">
        <v>391</v>
      </c>
      <c r="H885" t="s">
        <v>392</v>
      </c>
      <c r="I885" t="s">
        <v>1226</v>
      </c>
      <c r="L885" t="s">
        <v>394</v>
      </c>
      <c r="M885" t="s">
        <v>1214</v>
      </c>
    </row>
    <row r="886" spans="1:13" x14ac:dyDescent="0.3">
      <c r="A886" t="s">
        <v>1211</v>
      </c>
      <c r="B886" t="s">
        <v>1170</v>
      </c>
      <c r="C886" t="s">
        <v>11</v>
      </c>
      <c r="D886" t="s">
        <v>12</v>
      </c>
      <c r="E886" t="s">
        <v>391</v>
      </c>
      <c r="H886" t="s">
        <v>392</v>
      </c>
      <c r="I886" t="s">
        <v>1227</v>
      </c>
      <c r="L886" t="s">
        <v>394</v>
      </c>
      <c r="M886" t="s">
        <v>1214</v>
      </c>
    </row>
    <row r="887" spans="1:13" x14ac:dyDescent="0.3">
      <c r="A887" t="s">
        <v>1210</v>
      </c>
      <c r="B887" t="s">
        <v>1167</v>
      </c>
      <c r="C887" t="s">
        <v>11</v>
      </c>
      <c r="D887" t="s">
        <v>12</v>
      </c>
      <c r="E887" t="s">
        <v>391</v>
      </c>
      <c r="H887" t="s">
        <v>392</v>
      </c>
      <c r="I887" t="s">
        <v>1228</v>
      </c>
      <c r="L887" t="s">
        <v>394</v>
      </c>
      <c r="M887" t="s">
        <v>1214</v>
      </c>
    </row>
    <row r="888" spans="1:13" x14ac:dyDescent="0.3">
      <c r="A888" t="s">
        <v>1212</v>
      </c>
      <c r="B888" t="s">
        <v>1173</v>
      </c>
      <c r="C888" t="s">
        <v>11</v>
      </c>
      <c r="D888" t="s">
        <v>12</v>
      </c>
      <c r="E888" t="s">
        <v>391</v>
      </c>
      <c r="H888" t="s">
        <v>392</v>
      </c>
      <c r="I888" t="s">
        <v>1229</v>
      </c>
      <c r="L888" t="s">
        <v>394</v>
      </c>
      <c r="M888" t="s">
        <v>1214</v>
      </c>
    </row>
    <row r="889" spans="1:13" x14ac:dyDescent="0.3">
      <c r="A889" t="s">
        <v>1197</v>
      </c>
      <c r="B889" t="s">
        <v>1134</v>
      </c>
      <c r="C889" t="s">
        <v>11</v>
      </c>
      <c r="D889" t="s">
        <v>12</v>
      </c>
      <c r="E889" t="s">
        <v>391</v>
      </c>
      <c r="H889" t="s">
        <v>392</v>
      </c>
      <c r="I889" t="s">
        <v>1230</v>
      </c>
      <c r="L889" t="s">
        <v>394</v>
      </c>
      <c r="M889" t="s">
        <v>1214</v>
      </c>
    </row>
    <row r="890" spans="1:13" x14ac:dyDescent="0.3">
      <c r="A890" t="s">
        <v>1199</v>
      </c>
      <c r="B890" t="s">
        <v>1138</v>
      </c>
      <c r="C890" t="s">
        <v>11</v>
      </c>
      <c r="D890" t="s">
        <v>12</v>
      </c>
      <c r="E890" t="s">
        <v>391</v>
      </c>
      <c r="H890" t="s">
        <v>392</v>
      </c>
      <c r="I890" t="s">
        <v>1231</v>
      </c>
      <c r="L890" t="s">
        <v>394</v>
      </c>
      <c r="M890" t="s">
        <v>1214</v>
      </c>
    </row>
    <row r="891" spans="1:13" x14ac:dyDescent="0.3">
      <c r="A891" t="s">
        <v>1232</v>
      </c>
      <c r="B891" t="s">
        <v>1130</v>
      </c>
      <c r="C891" t="s">
        <v>308</v>
      </c>
      <c r="D891" t="s">
        <v>1233</v>
      </c>
      <c r="E891" t="s">
        <v>1132</v>
      </c>
      <c r="H891" t="s">
        <v>25</v>
      </c>
      <c r="I891" t="s">
        <v>320</v>
      </c>
      <c r="L891" t="s">
        <v>312</v>
      </c>
      <c r="M891" t="s">
        <v>313</v>
      </c>
    </row>
    <row r="892" spans="1:13" x14ac:dyDescent="0.3">
      <c r="A892" t="s">
        <v>1232</v>
      </c>
      <c r="B892" t="s">
        <v>1130</v>
      </c>
      <c r="C892" t="s">
        <v>308</v>
      </c>
      <c r="D892" t="s">
        <v>1234</v>
      </c>
      <c r="E892" t="s">
        <v>1134</v>
      </c>
      <c r="H892" t="s">
        <v>25</v>
      </c>
      <c r="I892" t="s">
        <v>323</v>
      </c>
      <c r="L892" t="s">
        <v>312</v>
      </c>
      <c r="M892" t="s">
        <v>317</v>
      </c>
    </row>
    <row r="893" spans="1:13" x14ac:dyDescent="0.3">
      <c r="A893" t="s">
        <v>1232</v>
      </c>
      <c r="B893" t="s">
        <v>1130</v>
      </c>
      <c r="C893" t="s">
        <v>308</v>
      </c>
      <c r="D893" t="s">
        <v>1235</v>
      </c>
      <c r="E893" t="s">
        <v>345</v>
      </c>
      <c r="H893" t="s">
        <v>25</v>
      </c>
      <c r="I893" t="s">
        <v>1136</v>
      </c>
      <c r="L893" t="s">
        <v>312</v>
      </c>
      <c r="M893" t="s">
        <v>313</v>
      </c>
    </row>
    <row r="894" spans="1:13" x14ac:dyDescent="0.3">
      <c r="A894" t="s">
        <v>1232</v>
      </c>
      <c r="B894" t="s">
        <v>1130</v>
      </c>
      <c r="C894" t="s">
        <v>308</v>
      </c>
      <c r="D894" t="s">
        <v>1236</v>
      </c>
      <c r="E894" t="s">
        <v>1138</v>
      </c>
      <c r="H894" t="s">
        <v>25</v>
      </c>
      <c r="I894" t="s">
        <v>1139</v>
      </c>
      <c r="L894" t="s">
        <v>312</v>
      </c>
      <c r="M894" t="s">
        <v>317</v>
      </c>
    </row>
    <row r="895" spans="1:13" x14ac:dyDescent="0.3">
      <c r="A895" t="s">
        <v>1232</v>
      </c>
      <c r="B895" t="s">
        <v>1130</v>
      </c>
      <c r="C895" t="s">
        <v>308</v>
      </c>
      <c r="D895" t="s">
        <v>1237</v>
      </c>
      <c r="E895" t="s">
        <v>1141</v>
      </c>
      <c r="H895" t="s">
        <v>25</v>
      </c>
      <c r="I895" t="s">
        <v>1142</v>
      </c>
      <c r="L895" t="s">
        <v>312</v>
      </c>
      <c r="M895" t="s">
        <v>343</v>
      </c>
    </row>
    <row r="896" spans="1:13" x14ac:dyDescent="0.3">
      <c r="A896" t="s">
        <v>1232</v>
      </c>
      <c r="B896" t="s">
        <v>1130</v>
      </c>
      <c r="C896" t="s">
        <v>308</v>
      </c>
      <c r="D896" t="s">
        <v>1238</v>
      </c>
      <c r="E896" t="s">
        <v>1144</v>
      </c>
      <c r="H896" t="s">
        <v>25</v>
      </c>
      <c r="I896" t="s">
        <v>1145</v>
      </c>
      <c r="L896" t="s">
        <v>312</v>
      </c>
      <c r="M896" t="s">
        <v>343</v>
      </c>
    </row>
    <row r="897" spans="1:13" x14ac:dyDescent="0.3">
      <c r="A897" t="s">
        <v>1232</v>
      </c>
      <c r="B897" t="s">
        <v>1130</v>
      </c>
      <c r="C897" t="s">
        <v>308</v>
      </c>
      <c r="D897" t="s">
        <v>1239</v>
      </c>
      <c r="E897" t="s">
        <v>484</v>
      </c>
      <c r="H897" t="s">
        <v>25</v>
      </c>
      <c r="I897" t="s">
        <v>1147</v>
      </c>
      <c r="L897" t="s">
        <v>312</v>
      </c>
      <c r="M897" t="s">
        <v>343</v>
      </c>
    </row>
    <row r="898" spans="1:13" x14ac:dyDescent="0.3">
      <c r="A898" t="s">
        <v>1232</v>
      </c>
      <c r="B898" t="s">
        <v>1130</v>
      </c>
      <c r="C898" t="s">
        <v>308</v>
      </c>
      <c r="D898" t="s">
        <v>1240</v>
      </c>
      <c r="E898" t="s">
        <v>361</v>
      </c>
      <c r="H898" t="s">
        <v>25</v>
      </c>
      <c r="I898" t="s">
        <v>1149</v>
      </c>
      <c r="L898" t="s">
        <v>312</v>
      </c>
      <c r="M898" t="s">
        <v>343</v>
      </c>
    </row>
    <row r="899" spans="1:13" x14ac:dyDescent="0.3">
      <c r="A899" t="s">
        <v>1232</v>
      </c>
      <c r="B899" t="s">
        <v>1130</v>
      </c>
      <c r="C899" t="s">
        <v>308</v>
      </c>
      <c r="D899" t="s">
        <v>1241</v>
      </c>
      <c r="E899" t="s">
        <v>1151</v>
      </c>
      <c r="H899" t="s">
        <v>25</v>
      </c>
      <c r="I899" t="s">
        <v>1152</v>
      </c>
      <c r="L899" t="s">
        <v>312</v>
      </c>
      <c r="M899" t="s">
        <v>343</v>
      </c>
    </row>
    <row r="900" spans="1:13" x14ac:dyDescent="0.3">
      <c r="A900" t="s">
        <v>1232</v>
      </c>
      <c r="B900" t="s">
        <v>1130</v>
      </c>
      <c r="C900" t="s">
        <v>308</v>
      </c>
      <c r="D900" t="s">
        <v>1242</v>
      </c>
      <c r="E900" t="s">
        <v>1154</v>
      </c>
      <c r="H900" t="s">
        <v>25</v>
      </c>
      <c r="I900" t="s">
        <v>1152</v>
      </c>
      <c r="L900" t="s">
        <v>312</v>
      </c>
      <c r="M900" t="s">
        <v>343</v>
      </c>
    </row>
    <row r="901" spans="1:13" x14ac:dyDescent="0.3">
      <c r="A901" t="s">
        <v>1232</v>
      </c>
      <c r="B901" t="s">
        <v>1130</v>
      </c>
      <c r="C901" t="s">
        <v>308</v>
      </c>
      <c r="D901" t="s">
        <v>1243</v>
      </c>
      <c r="E901" t="s">
        <v>1156</v>
      </c>
      <c r="H901" t="s">
        <v>25</v>
      </c>
      <c r="I901" t="s">
        <v>1157</v>
      </c>
      <c r="L901" t="s">
        <v>312</v>
      </c>
      <c r="M901" t="s">
        <v>343</v>
      </c>
    </row>
    <row r="902" spans="1:13" x14ac:dyDescent="0.3">
      <c r="A902" t="s">
        <v>1232</v>
      </c>
      <c r="B902" t="s">
        <v>1130</v>
      </c>
      <c r="C902" t="s">
        <v>308</v>
      </c>
      <c r="D902" t="s">
        <v>1244</v>
      </c>
      <c r="E902" t="s">
        <v>527</v>
      </c>
      <c r="H902" t="s">
        <v>25</v>
      </c>
      <c r="I902" t="s">
        <v>1159</v>
      </c>
      <c r="L902" t="s">
        <v>312</v>
      </c>
      <c r="M902" t="s">
        <v>343</v>
      </c>
    </row>
    <row r="903" spans="1:13" x14ac:dyDescent="0.3">
      <c r="A903" t="s">
        <v>1232</v>
      </c>
      <c r="B903" t="s">
        <v>1130</v>
      </c>
      <c r="C903" t="s">
        <v>308</v>
      </c>
      <c r="D903" t="s">
        <v>1245</v>
      </c>
      <c r="E903" t="s">
        <v>1161</v>
      </c>
      <c r="H903" t="s">
        <v>25</v>
      </c>
      <c r="I903" t="s">
        <v>1162</v>
      </c>
      <c r="L903" t="s">
        <v>312</v>
      </c>
      <c r="M903" t="s">
        <v>343</v>
      </c>
    </row>
    <row r="904" spans="1:13" x14ac:dyDescent="0.3">
      <c r="A904" t="s">
        <v>1232</v>
      </c>
      <c r="B904" t="s">
        <v>1130</v>
      </c>
      <c r="C904" t="s">
        <v>308</v>
      </c>
      <c r="D904" t="s">
        <v>1246</v>
      </c>
      <c r="E904" t="s">
        <v>1164</v>
      </c>
      <c r="H904" t="s">
        <v>25</v>
      </c>
      <c r="I904" t="s">
        <v>1165</v>
      </c>
      <c r="L904" t="s">
        <v>312</v>
      </c>
      <c r="M904" t="s">
        <v>343</v>
      </c>
    </row>
    <row r="905" spans="1:13" x14ac:dyDescent="0.3">
      <c r="A905" t="s">
        <v>1232</v>
      </c>
      <c r="B905" t="s">
        <v>1130</v>
      </c>
      <c r="C905" t="s">
        <v>308</v>
      </c>
      <c r="D905" t="s">
        <v>1247</v>
      </c>
      <c r="E905" t="s">
        <v>1167</v>
      </c>
      <c r="H905" t="s">
        <v>25</v>
      </c>
      <c r="I905" t="s">
        <v>1168</v>
      </c>
      <c r="L905" t="s">
        <v>312</v>
      </c>
      <c r="M905" t="s">
        <v>343</v>
      </c>
    </row>
    <row r="906" spans="1:13" x14ac:dyDescent="0.3">
      <c r="A906" t="s">
        <v>1232</v>
      </c>
      <c r="B906" t="s">
        <v>1130</v>
      </c>
      <c r="C906" t="s">
        <v>308</v>
      </c>
      <c r="D906" t="s">
        <v>1248</v>
      </c>
      <c r="E906" t="s">
        <v>1170</v>
      </c>
      <c r="H906" t="s">
        <v>25</v>
      </c>
      <c r="I906" t="s">
        <v>1171</v>
      </c>
      <c r="L906" t="s">
        <v>312</v>
      </c>
      <c r="M906" t="s">
        <v>343</v>
      </c>
    </row>
    <row r="907" spans="1:13" x14ac:dyDescent="0.3">
      <c r="A907" t="s">
        <v>1232</v>
      </c>
      <c r="B907" t="s">
        <v>1130</v>
      </c>
      <c r="C907" t="s">
        <v>308</v>
      </c>
      <c r="D907" t="s">
        <v>1249</v>
      </c>
      <c r="E907" t="s">
        <v>1173</v>
      </c>
      <c r="H907" t="s">
        <v>25</v>
      </c>
      <c r="I907" t="s">
        <v>1174</v>
      </c>
      <c r="L907" t="s">
        <v>312</v>
      </c>
      <c r="M907" t="s">
        <v>343</v>
      </c>
    </row>
    <row r="908" spans="1:13" x14ac:dyDescent="0.3">
      <c r="A908" t="s">
        <v>1232</v>
      </c>
      <c r="B908" t="s">
        <v>1130</v>
      </c>
      <c r="C908" t="s">
        <v>22</v>
      </c>
      <c r="D908" t="s">
        <v>23</v>
      </c>
      <c r="E908" t="s">
        <v>28</v>
      </c>
      <c r="F908" t="s">
        <v>25</v>
      </c>
      <c r="G908" t="s">
        <v>1250</v>
      </c>
      <c r="J908" t="s">
        <v>373</v>
      </c>
      <c r="K908" t="s">
        <v>374</v>
      </c>
    </row>
    <row r="909" spans="1:13" x14ac:dyDescent="0.3">
      <c r="A909" t="s">
        <v>1232</v>
      </c>
      <c r="B909" t="s">
        <v>1130</v>
      </c>
      <c r="C909" t="s">
        <v>380</v>
      </c>
      <c r="D909" t="s">
        <v>9</v>
      </c>
      <c r="E909" t="s">
        <v>10</v>
      </c>
    </row>
    <row r="910" spans="1:13" x14ac:dyDescent="0.3">
      <c r="A910" t="s">
        <v>1232</v>
      </c>
      <c r="B910" t="s">
        <v>1130</v>
      </c>
      <c r="C910" t="s">
        <v>16</v>
      </c>
      <c r="D910" t="s">
        <v>1117</v>
      </c>
      <c r="E910" t="s">
        <v>37</v>
      </c>
    </row>
    <row r="911" spans="1:13" x14ac:dyDescent="0.3">
      <c r="A911" t="s">
        <v>1232</v>
      </c>
      <c r="B911" t="s">
        <v>1130</v>
      </c>
      <c r="C911" t="s">
        <v>11</v>
      </c>
      <c r="D911" t="s">
        <v>12</v>
      </c>
      <c r="E911" t="s">
        <v>13</v>
      </c>
      <c r="H911" t="s">
        <v>382</v>
      </c>
      <c r="I911" t="s">
        <v>1251</v>
      </c>
      <c r="L911" t="s">
        <v>14</v>
      </c>
      <c r="M911" t="s">
        <v>1251</v>
      </c>
    </row>
    <row r="912" spans="1:13" x14ac:dyDescent="0.3">
      <c r="A912" t="s">
        <v>1240</v>
      </c>
      <c r="B912" t="s">
        <v>361</v>
      </c>
      <c r="C912" t="s">
        <v>11</v>
      </c>
      <c r="D912" t="s">
        <v>12</v>
      </c>
      <c r="E912" t="s">
        <v>391</v>
      </c>
      <c r="H912" t="s">
        <v>392</v>
      </c>
      <c r="I912" t="s">
        <v>1252</v>
      </c>
      <c r="L912" t="s">
        <v>394</v>
      </c>
      <c r="M912" t="s">
        <v>1251</v>
      </c>
    </row>
    <row r="913" spans="1:13" x14ac:dyDescent="0.3">
      <c r="A913" t="s">
        <v>1237</v>
      </c>
      <c r="B913" t="s">
        <v>484</v>
      </c>
      <c r="C913" t="s">
        <v>11</v>
      </c>
      <c r="D913" t="s">
        <v>12</v>
      </c>
      <c r="E913" t="s">
        <v>391</v>
      </c>
      <c r="H913" t="s">
        <v>392</v>
      </c>
      <c r="I913" t="s">
        <v>1253</v>
      </c>
      <c r="L913" t="s">
        <v>394</v>
      </c>
      <c r="M913" t="s">
        <v>1251</v>
      </c>
    </row>
    <row r="914" spans="1:13" x14ac:dyDescent="0.3">
      <c r="A914" t="s">
        <v>1241</v>
      </c>
      <c r="B914" t="s">
        <v>1151</v>
      </c>
      <c r="C914" t="s">
        <v>11</v>
      </c>
      <c r="D914" t="s">
        <v>12</v>
      </c>
      <c r="E914" t="s">
        <v>391</v>
      </c>
      <c r="H914" t="s">
        <v>392</v>
      </c>
      <c r="I914" t="s">
        <v>1254</v>
      </c>
      <c r="L914" t="s">
        <v>394</v>
      </c>
      <c r="M914" t="s">
        <v>1251</v>
      </c>
    </row>
    <row r="915" spans="1:13" x14ac:dyDescent="0.3">
      <c r="A915" t="s">
        <v>1242</v>
      </c>
      <c r="B915" t="s">
        <v>1154</v>
      </c>
      <c r="C915" t="s">
        <v>11</v>
      </c>
      <c r="D915" t="s">
        <v>12</v>
      </c>
      <c r="E915" t="s">
        <v>391</v>
      </c>
      <c r="H915" t="s">
        <v>392</v>
      </c>
      <c r="I915" t="s">
        <v>1255</v>
      </c>
      <c r="L915" t="s">
        <v>394</v>
      </c>
      <c r="M915" t="s">
        <v>1251</v>
      </c>
    </row>
    <row r="916" spans="1:13" x14ac:dyDescent="0.3">
      <c r="A916" t="s">
        <v>1243</v>
      </c>
      <c r="B916" t="s">
        <v>1156</v>
      </c>
      <c r="C916" t="s">
        <v>11</v>
      </c>
      <c r="D916" t="s">
        <v>12</v>
      </c>
      <c r="E916" t="s">
        <v>391</v>
      </c>
      <c r="H916" t="s">
        <v>392</v>
      </c>
      <c r="I916" t="s">
        <v>1256</v>
      </c>
      <c r="L916" t="s">
        <v>394</v>
      </c>
      <c r="M916" t="s">
        <v>1251</v>
      </c>
    </row>
    <row r="917" spans="1:13" x14ac:dyDescent="0.3">
      <c r="A917" t="s">
        <v>1244</v>
      </c>
      <c r="B917" t="s">
        <v>550</v>
      </c>
      <c r="C917" t="s">
        <v>11</v>
      </c>
      <c r="D917" t="s">
        <v>12</v>
      </c>
      <c r="E917" t="s">
        <v>391</v>
      </c>
      <c r="H917" t="s">
        <v>392</v>
      </c>
      <c r="I917" t="s">
        <v>1257</v>
      </c>
      <c r="L917" t="s">
        <v>394</v>
      </c>
      <c r="M917" t="s">
        <v>1251</v>
      </c>
    </row>
    <row r="918" spans="1:13" x14ac:dyDescent="0.3">
      <c r="A918" t="s">
        <v>1239</v>
      </c>
      <c r="B918" t="s">
        <v>1183</v>
      </c>
      <c r="C918" t="s">
        <v>11</v>
      </c>
      <c r="D918" t="s">
        <v>12</v>
      </c>
      <c r="E918" t="s">
        <v>391</v>
      </c>
      <c r="H918" t="s">
        <v>392</v>
      </c>
      <c r="I918" t="s">
        <v>1258</v>
      </c>
      <c r="L918" t="s">
        <v>394</v>
      </c>
      <c r="M918" t="s">
        <v>1251</v>
      </c>
    </row>
    <row r="919" spans="1:13" x14ac:dyDescent="0.3">
      <c r="A919" t="s">
        <v>1245</v>
      </c>
      <c r="B919" t="s">
        <v>1161</v>
      </c>
      <c r="C919" t="s">
        <v>11</v>
      </c>
      <c r="D919" t="s">
        <v>12</v>
      </c>
      <c r="E919" t="s">
        <v>391</v>
      </c>
      <c r="H919" t="s">
        <v>392</v>
      </c>
      <c r="I919" t="s">
        <v>1259</v>
      </c>
      <c r="L919" t="s">
        <v>394</v>
      </c>
      <c r="M919" t="s">
        <v>1251</v>
      </c>
    </row>
    <row r="920" spans="1:13" x14ac:dyDescent="0.3">
      <c r="A920" t="s">
        <v>1233</v>
      </c>
      <c r="B920" t="s">
        <v>1132</v>
      </c>
      <c r="C920" t="s">
        <v>11</v>
      </c>
      <c r="D920" t="s">
        <v>12</v>
      </c>
      <c r="E920" t="s">
        <v>391</v>
      </c>
      <c r="H920" t="s">
        <v>392</v>
      </c>
      <c r="I920" t="s">
        <v>1260</v>
      </c>
      <c r="L920" t="s">
        <v>394</v>
      </c>
      <c r="M920" t="s">
        <v>1251</v>
      </c>
    </row>
    <row r="921" spans="1:13" x14ac:dyDescent="0.3">
      <c r="A921" t="s">
        <v>1235</v>
      </c>
      <c r="B921" t="s">
        <v>345</v>
      </c>
      <c r="C921" t="s">
        <v>11</v>
      </c>
      <c r="D921" t="s">
        <v>12</v>
      </c>
      <c r="E921" t="s">
        <v>391</v>
      </c>
      <c r="H921" t="s">
        <v>392</v>
      </c>
      <c r="I921" t="s">
        <v>1261</v>
      </c>
      <c r="L921" t="s">
        <v>394</v>
      </c>
      <c r="M921" t="s">
        <v>1251</v>
      </c>
    </row>
    <row r="922" spans="1:13" x14ac:dyDescent="0.3">
      <c r="A922" t="s">
        <v>1238</v>
      </c>
      <c r="B922" t="s">
        <v>1144</v>
      </c>
      <c r="C922" t="s">
        <v>11</v>
      </c>
      <c r="D922" t="s">
        <v>12</v>
      </c>
      <c r="E922" t="s">
        <v>391</v>
      </c>
      <c r="H922" t="s">
        <v>392</v>
      </c>
      <c r="I922" t="s">
        <v>1262</v>
      </c>
      <c r="L922" t="s">
        <v>394</v>
      </c>
      <c r="M922" t="s">
        <v>1251</v>
      </c>
    </row>
    <row r="923" spans="1:13" x14ac:dyDescent="0.3">
      <c r="A923" t="s">
        <v>1246</v>
      </c>
      <c r="B923" t="s">
        <v>1164</v>
      </c>
      <c r="C923" t="s">
        <v>11</v>
      </c>
      <c r="D923" t="s">
        <v>12</v>
      </c>
      <c r="E923" t="s">
        <v>391</v>
      </c>
      <c r="H923" t="s">
        <v>392</v>
      </c>
      <c r="I923" t="s">
        <v>1263</v>
      </c>
      <c r="L923" t="s">
        <v>394</v>
      </c>
      <c r="M923" t="s">
        <v>1251</v>
      </c>
    </row>
    <row r="924" spans="1:13" x14ac:dyDescent="0.3">
      <c r="A924" t="s">
        <v>1248</v>
      </c>
      <c r="B924" t="s">
        <v>1170</v>
      </c>
      <c r="C924" t="s">
        <v>11</v>
      </c>
      <c r="D924" t="s">
        <v>12</v>
      </c>
      <c r="E924" t="s">
        <v>391</v>
      </c>
      <c r="H924" t="s">
        <v>392</v>
      </c>
      <c r="I924" t="s">
        <v>1264</v>
      </c>
      <c r="L924" t="s">
        <v>394</v>
      </c>
      <c r="M924" t="s">
        <v>1251</v>
      </c>
    </row>
    <row r="925" spans="1:13" x14ac:dyDescent="0.3">
      <c r="A925" t="s">
        <v>1247</v>
      </c>
      <c r="B925" t="s">
        <v>1167</v>
      </c>
      <c r="C925" t="s">
        <v>11</v>
      </c>
      <c r="D925" t="s">
        <v>12</v>
      </c>
      <c r="E925" t="s">
        <v>391</v>
      </c>
      <c r="H925" t="s">
        <v>392</v>
      </c>
      <c r="I925" t="s">
        <v>1265</v>
      </c>
      <c r="L925" t="s">
        <v>394</v>
      </c>
      <c r="M925" t="s">
        <v>1251</v>
      </c>
    </row>
    <row r="926" spans="1:13" x14ac:dyDescent="0.3">
      <c r="A926" t="s">
        <v>1249</v>
      </c>
      <c r="B926" t="s">
        <v>1173</v>
      </c>
      <c r="C926" t="s">
        <v>11</v>
      </c>
      <c r="D926" t="s">
        <v>12</v>
      </c>
      <c r="E926" t="s">
        <v>391</v>
      </c>
      <c r="H926" t="s">
        <v>392</v>
      </c>
      <c r="I926" t="s">
        <v>1266</v>
      </c>
      <c r="L926" t="s">
        <v>394</v>
      </c>
      <c r="M926" t="s">
        <v>1251</v>
      </c>
    </row>
    <row r="927" spans="1:13" x14ac:dyDescent="0.3">
      <c r="A927" t="s">
        <v>1234</v>
      </c>
      <c r="B927" t="s">
        <v>1134</v>
      </c>
      <c r="C927" t="s">
        <v>11</v>
      </c>
      <c r="D927" t="s">
        <v>12</v>
      </c>
      <c r="E927" t="s">
        <v>391</v>
      </c>
      <c r="H927" t="s">
        <v>392</v>
      </c>
      <c r="I927" t="s">
        <v>1267</v>
      </c>
      <c r="L927" t="s">
        <v>394</v>
      </c>
      <c r="M927" t="s">
        <v>1251</v>
      </c>
    </row>
    <row r="928" spans="1:13" x14ac:dyDescent="0.3">
      <c r="A928" t="s">
        <v>1236</v>
      </c>
      <c r="B928" t="s">
        <v>1138</v>
      </c>
      <c r="C928" t="s">
        <v>11</v>
      </c>
      <c r="D928" t="s">
        <v>12</v>
      </c>
      <c r="E928" t="s">
        <v>391</v>
      </c>
      <c r="H928" t="s">
        <v>392</v>
      </c>
      <c r="I928" t="s">
        <v>1268</v>
      </c>
      <c r="L928" t="s">
        <v>394</v>
      </c>
      <c r="M928" t="s">
        <v>1251</v>
      </c>
    </row>
    <row r="929" spans="1:13" x14ac:dyDescent="0.3">
      <c r="A929" t="s">
        <v>1269</v>
      </c>
      <c r="B929" t="s">
        <v>1130</v>
      </c>
      <c r="C929" t="s">
        <v>308</v>
      </c>
      <c r="D929" t="s">
        <v>1270</v>
      </c>
      <c r="E929" t="s">
        <v>1132</v>
      </c>
      <c r="H929" t="s">
        <v>25</v>
      </c>
      <c r="I929" t="s">
        <v>320</v>
      </c>
      <c r="L929" t="s">
        <v>312</v>
      </c>
      <c r="M929" t="s">
        <v>313</v>
      </c>
    </row>
    <row r="930" spans="1:13" x14ac:dyDescent="0.3">
      <c r="A930" t="s">
        <v>1269</v>
      </c>
      <c r="B930" t="s">
        <v>1130</v>
      </c>
      <c r="C930" t="s">
        <v>308</v>
      </c>
      <c r="D930" t="s">
        <v>1271</v>
      </c>
      <c r="E930" t="s">
        <v>1134</v>
      </c>
      <c r="H930" t="s">
        <v>25</v>
      </c>
      <c r="I930" t="s">
        <v>323</v>
      </c>
      <c r="L930" t="s">
        <v>312</v>
      </c>
      <c r="M930" t="s">
        <v>317</v>
      </c>
    </row>
    <row r="931" spans="1:13" x14ac:dyDescent="0.3">
      <c r="A931" t="s">
        <v>1269</v>
      </c>
      <c r="B931" t="s">
        <v>1130</v>
      </c>
      <c r="C931" t="s">
        <v>308</v>
      </c>
      <c r="D931" t="s">
        <v>1272</v>
      </c>
      <c r="E931" t="s">
        <v>345</v>
      </c>
      <c r="H931" t="s">
        <v>25</v>
      </c>
      <c r="I931" t="s">
        <v>1136</v>
      </c>
      <c r="L931" t="s">
        <v>312</v>
      </c>
      <c r="M931" t="s">
        <v>313</v>
      </c>
    </row>
    <row r="932" spans="1:13" x14ac:dyDescent="0.3">
      <c r="A932" t="s">
        <v>1269</v>
      </c>
      <c r="B932" t="s">
        <v>1130</v>
      </c>
      <c r="C932" t="s">
        <v>308</v>
      </c>
      <c r="D932" t="s">
        <v>1273</v>
      </c>
      <c r="E932" t="s">
        <v>1138</v>
      </c>
      <c r="H932" t="s">
        <v>25</v>
      </c>
      <c r="I932" t="s">
        <v>1139</v>
      </c>
      <c r="L932" t="s">
        <v>312</v>
      </c>
      <c r="M932" t="s">
        <v>317</v>
      </c>
    </row>
    <row r="933" spans="1:13" x14ac:dyDescent="0.3">
      <c r="A933" t="s">
        <v>1269</v>
      </c>
      <c r="B933" t="s">
        <v>1130</v>
      </c>
      <c r="C933" t="s">
        <v>308</v>
      </c>
      <c r="D933" t="s">
        <v>1274</v>
      </c>
      <c r="E933" t="s">
        <v>1141</v>
      </c>
      <c r="H933" t="s">
        <v>25</v>
      </c>
      <c r="I933" t="s">
        <v>1142</v>
      </c>
      <c r="L933" t="s">
        <v>312</v>
      </c>
      <c r="M933" t="s">
        <v>343</v>
      </c>
    </row>
    <row r="934" spans="1:13" x14ac:dyDescent="0.3">
      <c r="A934" t="s">
        <v>1269</v>
      </c>
      <c r="B934" t="s">
        <v>1130</v>
      </c>
      <c r="C934" t="s">
        <v>308</v>
      </c>
      <c r="D934" t="s">
        <v>1275</v>
      </c>
      <c r="E934" t="s">
        <v>1144</v>
      </c>
      <c r="H934" t="s">
        <v>25</v>
      </c>
      <c r="I934" t="s">
        <v>1145</v>
      </c>
      <c r="L934" t="s">
        <v>312</v>
      </c>
      <c r="M934" t="s">
        <v>343</v>
      </c>
    </row>
    <row r="935" spans="1:13" x14ac:dyDescent="0.3">
      <c r="A935" t="s">
        <v>1269</v>
      </c>
      <c r="B935" t="s">
        <v>1130</v>
      </c>
      <c r="C935" t="s">
        <v>308</v>
      </c>
      <c r="D935" t="s">
        <v>1276</v>
      </c>
      <c r="E935" t="s">
        <v>484</v>
      </c>
      <c r="H935" t="s">
        <v>25</v>
      </c>
      <c r="I935" t="s">
        <v>1147</v>
      </c>
      <c r="L935" t="s">
        <v>312</v>
      </c>
      <c r="M935" t="s">
        <v>343</v>
      </c>
    </row>
    <row r="936" spans="1:13" x14ac:dyDescent="0.3">
      <c r="A936" t="s">
        <v>1269</v>
      </c>
      <c r="B936" t="s">
        <v>1130</v>
      </c>
      <c r="C936" t="s">
        <v>308</v>
      </c>
      <c r="D936" t="s">
        <v>1277</v>
      </c>
      <c r="E936" t="s">
        <v>361</v>
      </c>
      <c r="H936" t="s">
        <v>25</v>
      </c>
      <c r="I936" t="s">
        <v>1149</v>
      </c>
      <c r="L936" t="s">
        <v>312</v>
      </c>
      <c r="M936" t="s">
        <v>343</v>
      </c>
    </row>
    <row r="937" spans="1:13" x14ac:dyDescent="0.3">
      <c r="A937" t="s">
        <v>1269</v>
      </c>
      <c r="B937" t="s">
        <v>1130</v>
      </c>
      <c r="C937" t="s">
        <v>308</v>
      </c>
      <c r="D937" t="s">
        <v>1278</v>
      </c>
      <c r="E937" t="s">
        <v>1151</v>
      </c>
      <c r="H937" t="s">
        <v>25</v>
      </c>
      <c r="I937" t="s">
        <v>1152</v>
      </c>
      <c r="L937" t="s">
        <v>312</v>
      </c>
      <c r="M937" t="s">
        <v>343</v>
      </c>
    </row>
    <row r="938" spans="1:13" x14ac:dyDescent="0.3">
      <c r="A938" t="s">
        <v>1269</v>
      </c>
      <c r="B938" t="s">
        <v>1130</v>
      </c>
      <c r="C938" t="s">
        <v>308</v>
      </c>
      <c r="D938" t="s">
        <v>1279</v>
      </c>
      <c r="E938" t="s">
        <v>1154</v>
      </c>
      <c r="H938" t="s">
        <v>25</v>
      </c>
      <c r="I938" t="s">
        <v>1152</v>
      </c>
      <c r="L938" t="s">
        <v>312</v>
      </c>
      <c r="M938" t="s">
        <v>343</v>
      </c>
    </row>
    <row r="939" spans="1:13" x14ac:dyDescent="0.3">
      <c r="A939" t="s">
        <v>1269</v>
      </c>
      <c r="B939" t="s">
        <v>1130</v>
      </c>
      <c r="C939" t="s">
        <v>308</v>
      </c>
      <c r="D939" t="s">
        <v>1280</v>
      </c>
      <c r="E939" t="s">
        <v>1156</v>
      </c>
      <c r="H939" t="s">
        <v>25</v>
      </c>
      <c r="I939" t="s">
        <v>1157</v>
      </c>
      <c r="L939" t="s">
        <v>312</v>
      </c>
      <c r="M939" t="s">
        <v>343</v>
      </c>
    </row>
    <row r="940" spans="1:13" x14ac:dyDescent="0.3">
      <c r="A940" t="s">
        <v>1269</v>
      </c>
      <c r="B940" t="s">
        <v>1130</v>
      </c>
      <c r="C940" t="s">
        <v>308</v>
      </c>
      <c r="D940" t="s">
        <v>1281</v>
      </c>
      <c r="E940" t="s">
        <v>527</v>
      </c>
      <c r="H940" t="s">
        <v>25</v>
      </c>
      <c r="I940" t="s">
        <v>1159</v>
      </c>
      <c r="L940" t="s">
        <v>312</v>
      </c>
      <c r="M940" t="s">
        <v>343</v>
      </c>
    </row>
    <row r="941" spans="1:13" x14ac:dyDescent="0.3">
      <c r="A941" t="s">
        <v>1269</v>
      </c>
      <c r="B941" t="s">
        <v>1130</v>
      </c>
      <c r="C941" t="s">
        <v>308</v>
      </c>
      <c r="D941" t="s">
        <v>1282</v>
      </c>
      <c r="E941" t="s">
        <v>1161</v>
      </c>
      <c r="H941" t="s">
        <v>25</v>
      </c>
      <c r="I941" t="s">
        <v>1162</v>
      </c>
      <c r="L941" t="s">
        <v>312</v>
      </c>
      <c r="M941" t="s">
        <v>343</v>
      </c>
    </row>
    <row r="942" spans="1:13" x14ac:dyDescent="0.3">
      <c r="A942" t="s">
        <v>1269</v>
      </c>
      <c r="B942" t="s">
        <v>1130</v>
      </c>
      <c r="C942" t="s">
        <v>308</v>
      </c>
      <c r="D942" t="s">
        <v>1283</v>
      </c>
      <c r="E942" t="s">
        <v>1164</v>
      </c>
      <c r="H942" t="s">
        <v>25</v>
      </c>
      <c r="I942" t="s">
        <v>1165</v>
      </c>
      <c r="L942" t="s">
        <v>312</v>
      </c>
      <c r="M942" t="s">
        <v>343</v>
      </c>
    </row>
    <row r="943" spans="1:13" x14ac:dyDescent="0.3">
      <c r="A943" t="s">
        <v>1269</v>
      </c>
      <c r="B943" t="s">
        <v>1130</v>
      </c>
      <c r="C943" t="s">
        <v>308</v>
      </c>
      <c r="D943" t="s">
        <v>1284</v>
      </c>
      <c r="E943" t="s">
        <v>1167</v>
      </c>
      <c r="H943" t="s">
        <v>25</v>
      </c>
      <c r="I943" t="s">
        <v>1168</v>
      </c>
      <c r="L943" t="s">
        <v>312</v>
      </c>
      <c r="M943" t="s">
        <v>343</v>
      </c>
    </row>
    <row r="944" spans="1:13" x14ac:dyDescent="0.3">
      <c r="A944" t="s">
        <v>1269</v>
      </c>
      <c r="B944" t="s">
        <v>1130</v>
      </c>
      <c r="C944" t="s">
        <v>308</v>
      </c>
      <c r="D944" t="s">
        <v>1285</v>
      </c>
      <c r="E944" t="s">
        <v>1170</v>
      </c>
      <c r="H944" t="s">
        <v>25</v>
      </c>
      <c r="I944" t="s">
        <v>1171</v>
      </c>
      <c r="L944" t="s">
        <v>312</v>
      </c>
      <c r="M944" t="s">
        <v>343</v>
      </c>
    </row>
    <row r="945" spans="1:13" x14ac:dyDescent="0.3">
      <c r="A945" t="s">
        <v>1269</v>
      </c>
      <c r="B945" t="s">
        <v>1130</v>
      </c>
      <c r="C945" t="s">
        <v>308</v>
      </c>
      <c r="D945" t="s">
        <v>1286</v>
      </c>
      <c r="E945" t="s">
        <v>1173</v>
      </c>
      <c r="H945" t="s">
        <v>25</v>
      </c>
      <c r="I945" t="s">
        <v>1174</v>
      </c>
      <c r="L945" t="s">
        <v>312</v>
      </c>
      <c r="M945" t="s">
        <v>343</v>
      </c>
    </row>
    <row r="946" spans="1:13" x14ac:dyDescent="0.3">
      <c r="A946" t="s">
        <v>1269</v>
      </c>
      <c r="B946" t="s">
        <v>1130</v>
      </c>
      <c r="C946" t="s">
        <v>22</v>
      </c>
      <c r="D946" t="s">
        <v>23</v>
      </c>
      <c r="E946" t="s">
        <v>28</v>
      </c>
      <c r="F946" t="s">
        <v>25</v>
      </c>
      <c r="G946" t="s">
        <v>1287</v>
      </c>
      <c r="J946" t="s">
        <v>373</v>
      </c>
      <c r="K946" t="s">
        <v>374</v>
      </c>
    </row>
    <row r="947" spans="1:13" x14ac:dyDescent="0.3">
      <c r="A947" t="s">
        <v>1269</v>
      </c>
      <c r="B947" t="s">
        <v>1130</v>
      </c>
      <c r="C947" t="s">
        <v>380</v>
      </c>
      <c r="D947" t="s">
        <v>9</v>
      </c>
      <c r="E947" t="s">
        <v>10</v>
      </c>
    </row>
    <row r="948" spans="1:13" x14ac:dyDescent="0.3">
      <c r="A948" t="s">
        <v>1269</v>
      </c>
      <c r="B948" t="s">
        <v>1130</v>
      </c>
      <c r="C948" t="s">
        <v>16</v>
      </c>
      <c r="D948" t="s">
        <v>1117</v>
      </c>
      <c r="E948" t="s">
        <v>37</v>
      </c>
    </row>
    <row r="949" spans="1:13" x14ac:dyDescent="0.3">
      <c r="A949" t="s">
        <v>1269</v>
      </c>
      <c r="B949" t="s">
        <v>1130</v>
      </c>
      <c r="C949" t="s">
        <v>11</v>
      </c>
      <c r="D949" t="s">
        <v>12</v>
      </c>
      <c r="E949" t="s">
        <v>13</v>
      </c>
      <c r="H949" t="s">
        <v>382</v>
      </c>
      <c r="I949" t="s">
        <v>1288</v>
      </c>
      <c r="L949" t="s">
        <v>14</v>
      </c>
      <c r="M949" t="s">
        <v>1288</v>
      </c>
    </row>
    <row r="950" spans="1:13" x14ac:dyDescent="0.3">
      <c r="A950" t="s">
        <v>1277</v>
      </c>
      <c r="B950" t="s">
        <v>361</v>
      </c>
      <c r="C950" t="s">
        <v>11</v>
      </c>
      <c r="D950" t="s">
        <v>12</v>
      </c>
      <c r="E950" t="s">
        <v>391</v>
      </c>
      <c r="H950" t="s">
        <v>392</v>
      </c>
      <c r="I950" t="s">
        <v>1289</v>
      </c>
      <c r="L950" t="s">
        <v>394</v>
      </c>
      <c r="M950" t="s">
        <v>1288</v>
      </c>
    </row>
    <row r="951" spans="1:13" x14ac:dyDescent="0.3">
      <c r="A951" t="s">
        <v>1274</v>
      </c>
      <c r="B951" t="s">
        <v>484</v>
      </c>
      <c r="C951" t="s">
        <v>11</v>
      </c>
      <c r="D951" t="s">
        <v>12</v>
      </c>
      <c r="E951" t="s">
        <v>391</v>
      </c>
      <c r="H951" t="s">
        <v>392</v>
      </c>
      <c r="I951" t="s">
        <v>1290</v>
      </c>
      <c r="L951" t="s">
        <v>394</v>
      </c>
      <c r="M951" t="s">
        <v>1288</v>
      </c>
    </row>
    <row r="952" spans="1:13" x14ac:dyDescent="0.3">
      <c r="A952" t="s">
        <v>1278</v>
      </c>
      <c r="B952" t="s">
        <v>1151</v>
      </c>
      <c r="C952" t="s">
        <v>11</v>
      </c>
      <c r="D952" t="s">
        <v>12</v>
      </c>
      <c r="E952" t="s">
        <v>391</v>
      </c>
      <c r="H952" t="s">
        <v>392</v>
      </c>
      <c r="I952" t="s">
        <v>1291</v>
      </c>
      <c r="L952" t="s">
        <v>394</v>
      </c>
      <c r="M952" t="s">
        <v>1288</v>
      </c>
    </row>
    <row r="953" spans="1:13" x14ac:dyDescent="0.3">
      <c r="A953" t="s">
        <v>1279</v>
      </c>
      <c r="B953" t="s">
        <v>1154</v>
      </c>
      <c r="C953" t="s">
        <v>11</v>
      </c>
      <c r="D953" t="s">
        <v>12</v>
      </c>
      <c r="E953" t="s">
        <v>391</v>
      </c>
      <c r="H953" t="s">
        <v>392</v>
      </c>
      <c r="I953" t="s">
        <v>1292</v>
      </c>
      <c r="L953" t="s">
        <v>394</v>
      </c>
      <c r="M953" t="s">
        <v>1288</v>
      </c>
    </row>
    <row r="954" spans="1:13" x14ac:dyDescent="0.3">
      <c r="A954" t="s">
        <v>1280</v>
      </c>
      <c r="B954" t="s">
        <v>1156</v>
      </c>
      <c r="C954" t="s">
        <v>11</v>
      </c>
      <c r="D954" t="s">
        <v>12</v>
      </c>
      <c r="E954" t="s">
        <v>391</v>
      </c>
      <c r="H954" t="s">
        <v>392</v>
      </c>
      <c r="I954" t="s">
        <v>1293</v>
      </c>
      <c r="L954" t="s">
        <v>394</v>
      </c>
      <c r="M954" t="s">
        <v>1288</v>
      </c>
    </row>
    <row r="955" spans="1:13" x14ac:dyDescent="0.3">
      <c r="A955" t="s">
        <v>1281</v>
      </c>
      <c r="B955" t="s">
        <v>550</v>
      </c>
      <c r="C955" t="s">
        <v>11</v>
      </c>
      <c r="D955" t="s">
        <v>12</v>
      </c>
      <c r="E955" t="s">
        <v>391</v>
      </c>
      <c r="H955" t="s">
        <v>392</v>
      </c>
      <c r="I955" t="s">
        <v>1294</v>
      </c>
      <c r="L955" t="s">
        <v>394</v>
      </c>
      <c r="M955" t="s">
        <v>1288</v>
      </c>
    </row>
    <row r="956" spans="1:13" x14ac:dyDescent="0.3">
      <c r="A956" t="s">
        <v>1276</v>
      </c>
      <c r="B956" t="s">
        <v>1183</v>
      </c>
      <c r="C956" t="s">
        <v>11</v>
      </c>
      <c r="D956" t="s">
        <v>12</v>
      </c>
      <c r="E956" t="s">
        <v>391</v>
      </c>
      <c r="H956" t="s">
        <v>392</v>
      </c>
      <c r="I956" t="s">
        <v>1295</v>
      </c>
      <c r="L956" t="s">
        <v>394</v>
      </c>
      <c r="M956" t="s">
        <v>1288</v>
      </c>
    </row>
    <row r="957" spans="1:13" x14ac:dyDescent="0.3">
      <c r="A957" t="s">
        <v>1282</v>
      </c>
      <c r="B957" t="s">
        <v>1161</v>
      </c>
      <c r="C957" t="s">
        <v>11</v>
      </c>
      <c r="D957" t="s">
        <v>12</v>
      </c>
      <c r="E957" t="s">
        <v>391</v>
      </c>
      <c r="H957" t="s">
        <v>392</v>
      </c>
      <c r="I957" t="s">
        <v>1296</v>
      </c>
      <c r="L957" t="s">
        <v>394</v>
      </c>
      <c r="M957" t="s">
        <v>1288</v>
      </c>
    </row>
    <row r="958" spans="1:13" x14ac:dyDescent="0.3">
      <c r="A958" t="s">
        <v>1270</v>
      </c>
      <c r="B958" t="s">
        <v>1132</v>
      </c>
      <c r="C958" t="s">
        <v>11</v>
      </c>
      <c r="D958" t="s">
        <v>12</v>
      </c>
      <c r="E958" t="s">
        <v>391</v>
      </c>
      <c r="H958" t="s">
        <v>392</v>
      </c>
      <c r="I958" t="s">
        <v>1297</v>
      </c>
      <c r="L958" t="s">
        <v>394</v>
      </c>
      <c r="M958" t="s">
        <v>1288</v>
      </c>
    </row>
    <row r="959" spans="1:13" x14ac:dyDescent="0.3">
      <c r="A959" t="s">
        <v>1272</v>
      </c>
      <c r="B959" t="s">
        <v>345</v>
      </c>
      <c r="C959" t="s">
        <v>11</v>
      </c>
      <c r="D959" t="s">
        <v>12</v>
      </c>
      <c r="E959" t="s">
        <v>391</v>
      </c>
      <c r="H959" t="s">
        <v>392</v>
      </c>
      <c r="I959" t="s">
        <v>1298</v>
      </c>
      <c r="L959" t="s">
        <v>394</v>
      </c>
      <c r="M959" t="s">
        <v>1288</v>
      </c>
    </row>
    <row r="960" spans="1:13" x14ac:dyDescent="0.3">
      <c r="A960" t="s">
        <v>1275</v>
      </c>
      <c r="B960" t="s">
        <v>1144</v>
      </c>
      <c r="C960" t="s">
        <v>11</v>
      </c>
      <c r="D960" t="s">
        <v>12</v>
      </c>
      <c r="E960" t="s">
        <v>391</v>
      </c>
      <c r="H960" t="s">
        <v>392</v>
      </c>
      <c r="I960" t="s">
        <v>1299</v>
      </c>
      <c r="L960" t="s">
        <v>394</v>
      </c>
      <c r="M960" t="s">
        <v>1288</v>
      </c>
    </row>
    <row r="961" spans="1:13" x14ac:dyDescent="0.3">
      <c r="A961" t="s">
        <v>1283</v>
      </c>
      <c r="B961" t="s">
        <v>1164</v>
      </c>
      <c r="C961" t="s">
        <v>11</v>
      </c>
      <c r="D961" t="s">
        <v>12</v>
      </c>
      <c r="E961" t="s">
        <v>391</v>
      </c>
      <c r="H961" t="s">
        <v>392</v>
      </c>
      <c r="I961" t="s">
        <v>1300</v>
      </c>
      <c r="L961" t="s">
        <v>394</v>
      </c>
      <c r="M961" t="s">
        <v>1288</v>
      </c>
    </row>
    <row r="962" spans="1:13" x14ac:dyDescent="0.3">
      <c r="A962" t="s">
        <v>1285</v>
      </c>
      <c r="B962" t="s">
        <v>1170</v>
      </c>
      <c r="C962" t="s">
        <v>11</v>
      </c>
      <c r="D962" t="s">
        <v>12</v>
      </c>
      <c r="E962" t="s">
        <v>391</v>
      </c>
      <c r="H962" t="s">
        <v>392</v>
      </c>
      <c r="I962" t="s">
        <v>1301</v>
      </c>
      <c r="L962" t="s">
        <v>394</v>
      </c>
      <c r="M962" t="s">
        <v>1288</v>
      </c>
    </row>
    <row r="963" spans="1:13" x14ac:dyDescent="0.3">
      <c r="A963" t="s">
        <v>1284</v>
      </c>
      <c r="B963" t="s">
        <v>1167</v>
      </c>
      <c r="C963" t="s">
        <v>11</v>
      </c>
      <c r="D963" t="s">
        <v>12</v>
      </c>
      <c r="E963" t="s">
        <v>391</v>
      </c>
      <c r="H963" t="s">
        <v>392</v>
      </c>
      <c r="I963" t="s">
        <v>1302</v>
      </c>
      <c r="L963" t="s">
        <v>394</v>
      </c>
      <c r="M963" t="s">
        <v>1288</v>
      </c>
    </row>
    <row r="964" spans="1:13" x14ac:dyDescent="0.3">
      <c r="A964" t="s">
        <v>1286</v>
      </c>
      <c r="B964" t="s">
        <v>1173</v>
      </c>
      <c r="C964" t="s">
        <v>11</v>
      </c>
      <c r="D964" t="s">
        <v>12</v>
      </c>
      <c r="E964" t="s">
        <v>391</v>
      </c>
      <c r="H964" t="s">
        <v>392</v>
      </c>
      <c r="I964" t="s">
        <v>1303</v>
      </c>
      <c r="L964" t="s">
        <v>394</v>
      </c>
      <c r="M964" t="s">
        <v>1288</v>
      </c>
    </row>
    <row r="965" spans="1:13" x14ac:dyDescent="0.3">
      <c r="A965" t="s">
        <v>1271</v>
      </c>
      <c r="B965" t="s">
        <v>1134</v>
      </c>
      <c r="C965" t="s">
        <v>11</v>
      </c>
      <c r="D965" t="s">
        <v>12</v>
      </c>
      <c r="E965" t="s">
        <v>391</v>
      </c>
      <c r="H965" t="s">
        <v>392</v>
      </c>
      <c r="I965" t="s">
        <v>1304</v>
      </c>
      <c r="L965" t="s">
        <v>394</v>
      </c>
      <c r="M965" t="s">
        <v>1288</v>
      </c>
    </row>
    <row r="966" spans="1:13" x14ac:dyDescent="0.3">
      <c r="A966" t="s">
        <v>1273</v>
      </c>
      <c r="B966" t="s">
        <v>1138</v>
      </c>
      <c r="C966" t="s">
        <v>11</v>
      </c>
      <c r="D966" t="s">
        <v>12</v>
      </c>
      <c r="E966" t="s">
        <v>391</v>
      </c>
      <c r="H966" t="s">
        <v>392</v>
      </c>
      <c r="I966" t="s">
        <v>1305</v>
      </c>
      <c r="L966" t="s">
        <v>394</v>
      </c>
      <c r="M966" t="s">
        <v>1288</v>
      </c>
    </row>
    <row r="967" spans="1:13" x14ac:dyDescent="0.3">
      <c r="A967" t="s">
        <v>1306</v>
      </c>
      <c r="B967" t="s">
        <v>1130</v>
      </c>
      <c r="C967" t="s">
        <v>308</v>
      </c>
      <c r="D967" t="s">
        <v>1307</v>
      </c>
      <c r="E967" t="s">
        <v>1132</v>
      </c>
      <c r="H967" t="s">
        <v>25</v>
      </c>
      <c r="I967" t="s">
        <v>320</v>
      </c>
      <c r="L967" t="s">
        <v>312</v>
      </c>
      <c r="M967" t="s">
        <v>313</v>
      </c>
    </row>
    <row r="968" spans="1:13" x14ac:dyDescent="0.3">
      <c r="A968" t="s">
        <v>1306</v>
      </c>
      <c r="B968" t="s">
        <v>1130</v>
      </c>
      <c r="C968" t="s">
        <v>308</v>
      </c>
      <c r="D968" t="s">
        <v>1308</v>
      </c>
      <c r="E968" t="s">
        <v>1134</v>
      </c>
      <c r="H968" t="s">
        <v>25</v>
      </c>
      <c r="I968" t="s">
        <v>323</v>
      </c>
      <c r="L968" t="s">
        <v>312</v>
      </c>
      <c r="M968" t="s">
        <v>317</v>
      </c>
    </row>
    <row r="969" spans="1:13" x14ac:dyDescent="0.3">
      <c r="A969" t="s">
        <v>1306</v>
      </c>
      <c r="B969" t="s">
        <v>1130</v>
      </c>
      <c r="C969" t="s">
        <v>308</v>
      </c>
      <c r="D969" t="s">
        <v>1309</v>
      </c>
      <c r="E969" t="s">
        <v>345</v>
      </c>
      <c r="H969" t="s">
        <v>25</v>
      </c>
      <c r="I969" t="s">
        <v>1136</v>
      </c>
      <c r="L969" t="s">
        <v>312</v>
      </c>
      <c r="M969" t="s">
        <v>313</v>
      </c>
    </row>
    <row r="970" spans="1:13" x14ac:dyDescent="0.3">
      <c r="A970" t="s">
        <v>1306</v>
      </c>
      <c r="B970" t="s">
        <v>1130</v>
      </c>
      <c r="C970" t="s">
        <v>308</v>
      </c>
      <c r="D970" t="s">
        <v>1310</v>
      </c>
      <c r="E970" t="s">
        <v>1138</v>
      </c>
      <c r="H970" t="s">
        <v>25</v>
      </c>
      <c r="I970" t="s">
        <v>1139</v>
      </c>
      <c r="L970" t="s">
        <v>312</v>
      </c>
      <c r="M970" t="s">
        <v>317</v>
      </c>
    </row>
    <row r="971" spans="1:13" x14ac:dyDescent="0.3">
      <c r="A971" t="s">
        <v>1306</v>
      </c>
      <c r="B971" t="s">
        <v>1130</v>
      </c>
      <c r="C971" t="s">
        <v>308</v>
      </c>
      <c r="D971" t="s">
        <v>1311</v>
      </c>
      <c r="E971" t="s">
        <v>1141</v>
      </c>
      <c r="H971" t="s">
        <v>25</v>
      </c>
      <c r="I971" t="s">
        <v>1142</v>
      </c>
      <c r="L971" t="s">
        <v>312</v>
      </c>
      <c r="M971" t="s">
        <v>343</v>
      </c>
    </row>
    <row r="972" spans="1:13" x14ac:dyDescent="0.3">
      <c r="A972" t="s">
        <v>1306</v>
      </c>
      <c r="B972" t="s">
        <v>1130</v>
      </c>
      <c r="C972" t="s">
        <v>308</v>
      </c>
      <c r="D972" t="s">
        <v>1312</v>
      </c>
      <c r="E972" t="s">
        <v>1144</v>
      </c>
      <c r="H972" t="s">
        <v>25</v>
      </c>
      <c r="I972" t="s">
        <v>1145</v>
      </c>
      <c r="L972" t="s">
        <v>312</v>
      </c>
      <c r="M972" t="s">
        <v>343</v>
      </c>
    </row>
    <row r="973" spans="1:13" x14ac:dyDescent="0.3">
      <c r="A973" t="s">
        <v>1306</v>
      </c>
      <c r="B973" t="s">
        <v>1130</v>
      </c>
      <c r="C973" t="s">
        <v>308</v>
      </c>
      <c r="D973" t="s">
        <v>1313</v>
      </c>
      <c r="E973" t="s">
        <v>484</v>
      </c>
      <c r="H973" t="s">
        <v>25</v>
      </c>
      <c r="I973" t="s">
        <v>1147</v>
      </c>
      <c r="L973" t="s">
        <v>312</v>
      </c>
      <c r="M973" t="s">
        <v>343</v>
      </c>
    </row>
    <row r="974" spans="1:13" x14ac:dyDescent="0.3">
      <c r="A974" t="s">
        <v>1306</v>
      </c>
      <c r="B974" t="s">
        <v>1130</v>
      </c>
      <c r="C974" t="s">
        <v>308</v>
      </c>
      <c r="D974" t="s">
        <v>1314</v>
      </c>
      <c r="E974" t="s">
        <v>361</v>
      </c>
      <c r="H974" t="s">
        <v>25</v>
      </c>
      <c r="I974" t="s">
        <v>1149</v>
      </c>
      <c r="L974" t="s">
        <v>312</v>
      </c>
      <c r="M974" t="s">
        <v>343</v>
      </c>
    </row>
    <row r="975" spans="1:13" x14ac:dyDescent="0.3">
      <c r="A975" t="s">
        <v>1306</v>
      </c>
      <c r="B975" t="s">
        <v>1130</v>
      </c>
      <c r="C975" t="s">
        <v>308</v>
      </c>
      <c r="D975" t="s">
        <v>1315</v>
      </c>
      <c r="E975" t="s">
        <v>1151</v>
      </c>
      <c r="H975" t="s">
        <v>25</v>
      </c>
      <c r="I975" t="s">
        <v>1152</v>
      </c>
      <c r="L975" t="s">
        <v>312</v>
      </c>
      <c r="M975" t="s">
        <v>343</v>
      </c>
    </row>
    <row r="976" spans="1:13" x14ac:dyDescent="0.3">
      <c r="A976" t="s">
        <v>1306</v>
      </c>
      <c r="B976" t="s">
        <v>1130</v>
      </c>
      <c r="C976" t="s">
        <v>308</v>
      </c>
      <c r="D976" t="s">
        <v>1316</v>
      </c>
      <c r="E976" t="s">
        <v>1154</v>
      </c>
      <c r="H976" t="s">
        <v>25</v>
      </c>
      <c r="I976" t="s">
        <v>1152</v>
      </c>
      <c r="L976" t="s">
        <v>312</v>
      </c>
      <c r="M976" t="s">
        <v>343</v>
      </c>
    </row>
    <row r="977" spans="1:13" x14ac:dyDescent="0.3">
      <c r="A977" t="s">
        <v>1306</v>
      </c>
      <c r="B977" t="s">
        <v>1130</v>
      </c>
      <c r="C977" t="s">
        <v>308</v>
      </c>
      <c r="D977" t="s">
        <v>1317</v>
      </c>
      <c r="E977" t="s">
        <v>1156</v>
      </c>
      <c r="H977" t="s">
        <v>25</v>
      </c>
      <c r="I977" t="s">
        <v>1157</v>
      </c>
      <c r="L977" t="s">
        <v>312</v>
      </c>
      <c r="M977" t="s">
        <v>343</v>
      </c>
    </row>
    <row r="978" spans="1:13" x14ac:dyDescent="0.3">
      <c r="A978" t="s">
        <v>1306</v>
      </c>
      <c r="B978" t="s">
        <v>1130</v>
      </c>
      <c r="C978" t="s">
        <v>308</v>
      </c>
      <c r="D978" t="s">
        <v>1318</v>
      </c>
      <c r="E978" t="s">
        <v>527</v>
      </c>
      <c r="H978" t="s">
        <v>25</v>
      </c>
      <c r="I978" t="s">
        <v>1159</v>
      </c>
      <c r="L978" t="s">
        <v>312</v>
      </c>
      <c r="M978" t="s">
        <v>343</v>
      </c>
    </row>
    <row r="979" spans="1:13" x14ac:dyDescent="0.3">
      <c r="A979" t="s">
        <v>1306</v>
      </c>
      <c r="B979" t="s">
        <v>1130</v>
      </c>
      <c r="C979" t="s">
        <v>308</v>
      </c>
      <c r="D979" t="s">
        <v>1319</v>
      </c>
      <c r="E979" t="s">
        <v>1161</v>
      </c>
      <c r="H979" t="s">
        <v>25</v>
      </c>
      <c r="I979" t="s">
        <v>1162</v>
      </c>
      <c r="L979" t="s">
        <v>312</v>
      </c>
      <c r="M979" t="s">
        <v>343</v>
      </c>
    </row>
    <row r="980" spans="1:13" x14ac:dyDescent="0.3">
      <c r="A980" t="s">
        <v>1306</v>
      </c>
      <c r="B980" t="s">
        <v>1130</v>
      </c>
      <c r="C980" t="s">
        <v>308</v>
      </c>
      <c r="D980" t="s">
        <v>1320</v>
      </c>
      <c r="E980" t="s">
        <v>1164</v>
      </c>
      <c r="H980" t="s">
        <v>25</v>
      </c>
      <c r="I980" t="s">
        <v>1165</v>
      </c>
      <c r="L980" t="s">
        <v>312</v>
      </c>
      <c r="M980" t="s">
        <v>343</v>
      </c>
    </row>
    <row r="981" spans="1:13" x14ac:dyDescent="0.3">
      <c r="A981" t="s">
        <v>1306</v>
      </c>
      <c r="B981" t="s">
        <v>1130</v>
      </c>
      <c r="C981" t="s">
        <v>308</v>
      </c>
      <c r="D981" t="s">
        <v>1321</v>
      </c>
      <c r="E981" t="s">
        <v>1167</v>
      </c>
      <c r="H981" t="s">
        <v>25</v>
      </c>
      <c r="I981" t="s">
        <v>1168</v>
      </c>
      <c r="L981" t="s">
        <v>312</v>
      </c>
      <c r="M981" t="s">
        <v>343</v>
      </c>
    </row>
    <row r="982" spans="1:13" x14ac:dyDescent="0.3">
      <c r="A982" t="s">
        <v>1306</v>
      </c>
      <c r="B982" t="s">
        <v>1130</v>
      </c>
      <c r="C982" t="s">
        <v>308</v>
      </c>
      <c r="D982" t="s">
        <v>1322</v>
      </c>
      <c r="E982" t="s">
        <v>1170</v>
      </c>
      <c r="H982" t="s">
        <v>25</v>
      </c>
      <c r="I982" t="s">
        <v>1171</v>
      </c>
      <c r="L982" t="s">
        <v>312</v>
      </c>
      <c r="M982" t="s">
        <v>343</v>
      </c>
    </row>
    <row r="983" spans="1:13" x14ac:dyDescent="0.3">
      <c r="A983" t="s">
        <v>1306</v>
      </c>
      <c r="B983" t="s">
        <v>1130</v>
      </c>
      <c r="C983" t="s">
        <v>308</v>
      </c>
      <c r="D983" t="s">
        <v>1323</v>
      </c>
      <c r="E983" t="s">
        <v>1173</v>
      </c>
      <c r="H983" t="s">
        <v>25</v>
      </c>
      <c r="I983" t="s">
        <v>1174</v>
      </c>
      <c r="L983" t="s">
        <v>312</v>
      </c>
      <c r="M983" t="s">
        <v>343</v>
      </c>
    </row>
    <row r="984" spans="1:13" x14ac:dyDescent="0.3">
      <c r="A984" t="s">
        <v>1306</v>
      </c>
      <c r="B984" t="s">
        <v>1130</v>
      </c>
      <c r="C984" t="s">
        <v>22</v>
      </c>
      <c r="D984" t="s">
        <v>23</v>
      </c>
      <c r="E984" t="s">
        <v>28</v>
      </c>
      <c r="F984" t="s">
        <v>25</v>
      </c>
      <c r="G984" t="s">
        <v>1324</v>
      </c>
      <c r="J984" t="s">
        <v>373</v>
      </c>
      <c r="K984" t="s">
        <v>374</v>
      </c>
    </row>
    <row r="985" spans="1:13" x14ac:dyDescent="0.3">
      <c r="A985" t="s">
        <v>1306</v>
      </c>
      <c r="B985" t="s">
        <v>1130</v>
      </c>
      <c r="C985" t="s">
        <v>380</v>
      </c>
      <c r="D985" t="s">
        <v>9</v>
      </c>
      <c r="E985" t="s">
        <v>10</v>
      </c>
    </row>
    <row r="986" spans="1:13" x14ac:dyDescent="0.3">
      <c r="A986" t="s">
        <v>1306</v>
      </c>
      <c r="B986" t="s">
        <v>1130</v>
      </c>
      <c r="C986" t="s">
        <v>16</v>
      </c>
      <c r="D986" t="s">
        <v>1117</v>
      </c>
      <c r="E986" t="s">
        <v>37</v>
      </c>
    </row>
    <row r="987" spans="1:13" x14ac:dyDescent="0.3">
      <c r="A987" t="s">
        <v>1306</v>
      </c>
      <c r="B987" t="s">
        <v>1130</v>
      </c>
      <c r="C987" t="s">
        <v>11</v>
      </c>
      <c r="D987" t="s">
        <v>12</v>
      </c>
      <c r="E987" t="s">
        <v>13</v>
      </c>
      <c r="H987" t="s">
        <v>382</v>
      </c>
      <c r="I987" t="s">
        <v>1325</v>
      </c>
      <c r="L987" t="s">
        <v>14</v>
      </c>
      <c r="M987" t="s">
        <v>1325</v>
      </c>
    </row>
    <row r="988" spans="1:13" x14ac:dyDescent="0.3">
      <c r="A988" t="s">
        <v>1314</v>
      </c>
      <c r="B988" t="s">
        <v>361</v>
      </c>
      <c r="C988" t="s">
        <v>11</v>
      </c>
      <c r="D988" t="s">
        <v>12</v>
      </c>
      <c r="E988" t="s">
        <v>391</v>
      </c>
      <c r="H988" t="s">
        <v>392</v>
      </c>
      <c r="I988" t="s">
        <v>1326</v>
      </c>
      <c r="L988" t="s">
        <v>394</v>
      </c>
      <c r="M988" t="s">
        <v>1325</v>
      </c>
    </row>
    <row r="989" spans="1:13" x14ac:dyDescent="0.3">
      <c r="A989" t="s">
        <v>1311</v>
      </c>
      <c r="B989" t="s">
        <v>484</v>
      </c>
      <c r="C989" t="s">
        <v>11</v>
      </c>
      <c r="D989" t="s">
        <v>12</v>
      </c>
      <c r="E989" t="s">
        <v>391</v>
      </c>
      <c r="H989" t="s">
        <v>392</v>
      </c>
      <c r="I989" t="s">
        <v>1327</v>
      </c>
      <c r="L989" t="s">
        <v>394</v>
      </c>
      <c r="M989" t="s">
        <v>1325</v>
      </c>
    </row>
    <row r="990" spans="1:13" x14ac:dyDescent="0.3">
      <c r="A990" t="s">
        <v>1315</v>
      </c>
      <c r="B990" t="s">
        <v>1151</v>
      </c>
      <c r="C990" t="s">
        <v>11</v>
      </c>
      <c r="D990" t="s">
        <v>12</v>
      </c>
      <c r="E990" t="s">
        <v>391</v>
      </c>
      <c r="H990" t="s">
        <v>392</v>
      </c>
      <c r="I990" t="s">
        <v>1328</v>
      </c>
      <c r="L990" t="s">
        <v>394</v>
      </c>
      <c r="M990" t="s">
        <v>1325</v>
      </c>
    </row>
    <row r="991" spans="1:13" x14ac:dyDescent="0.3">
      <c r="A991" t="s">
        <v>1316</v>
      </c>
      <c r="B991" t="s">
        <v>1154</v>
      </c>
      <c r="C991" t="s">
        <v>11</v>
      </c>
      <c r="D991" t="s">
        <v>12</v>
      </c>
      <c r="E991" t="s">
        <v>391</v>
      </c>
      <c r="H991" t="s">
        <v>392</v>
      </c>
      <c r="I991" t="s">
        <v>1329</v>
      </c>
      <c r="L991" t="s">
        <v>394</v>
      </c>
      <c r="M991" t="s">
        <v>1325</v>
      </c>
    </row>
    <row r="992" spans="1:13" x14ac:dyDescent="0.3">
      <c r="A992" t="s">
        <v>1317</v>
      </c>
      <c r="B992" t="s">
        <v>1156</v>
      </c>
      <c r="C992" t="s">
        <v>11</v>
      </c>
      <c r="D992" t="s">
        <v>12</v>
      </c>
      <c r="E992" t="s">
        <v>391</v>
      </c>
      <c r="H992" t="s">
        <v>392</v>
      </c>
      <c r="I992" t="s">
        <v>1330</v>
      </c>
      <c r="L992" t="s">
        <v>394</v>
      </c>
      <c r="M992" t="s">
        <v>1325</v>
      </c>
    </row>
    <row r="993" spans="1:13" x14ac:dyDescent="0.3">
      <c r="A993" t="s">
        <v>1318</v>
      </c>
      <c r="B993" t="s">
        <v>550</v>
      </c>
      <c r="C993" t="s">
        <v>11</v>
      </c>
      <c r="D993" t="s">
        <v>12</v>
      </c>
      <c r="E993" t="s">
        <v>391</v>
      </c>
      <c r="H993" t="s">
        <v>392</v>
      </c>
      <c r="I993" t="s">
        <v>1331</v>
      </c>
      <c r="L993" t="s">
        <v>394</v>
      </c>
      <c r="M993" t="s">
        <v>1325</v>
      </c>
    </row>
    <row r="994" spans="1:13" x14ac:dyDescent="0.3">
      <c r="A994" t="s">
        <v>1313</v>
      </c>
      <c r="B994" t="s">
        <v>1183</v>
      </c>
      <c r="C994" t="s">
        <v>11</v>
      </c>
      <c r="D994" t="s">
        <v>12</v>
      </c>
      <c r="E994" t="s">
        <v>391</v>
      </c>
      <c r="H994" t="s">
        <v>392</v>
      </c>
      <c r="I994" t="s">
        <v>1332</v>
      </c>
      <c r="L994" t="s">
        <v>394</v>
      </c>
      <c r="M994" t="s">
        <v>1325</v>
      </c>
    </row>
    <row r="995" spans="1:13" x14ac:dyDescent="0.3">
      <c r="A995" t="s">
        <v>1319</v>
      </c>
      <c r="B995" t="s">
        <v>1161</v>
      </c>
      <c r="C995" t="s">
        <v>11</v>
      </c>
      <c r="D995" t="s">
        <v>12</v>
      </c>
      <c r="E995" t="s">
        <v>391</v>
      </c>
      <c r="H995" t="s">
        <v>392</v>
      </c>
      <c r="I995" t="s">
        <v>1333</v>
      </c>
      <c r="L995" t="s">
        <v>394</v>
      </c>
      <c r="M995" t="s">
        <v>1325</v>
      </c>
    </row>
    <row r="996" spans="1:13" x14ac:dyDescent="0.3">
      <c r="A996" t="s">
        <v>1307</v>
      </c>
      <c r="B996" t="s">
        <v>1132</v>
      </c>
      <c r="C996" t="s">
        <v>11</v>
      </c>
      <c r="D996" t="s">
        <v>12</v>
      </c>
      <c r="E996" t="s">
        <v>391</v>
      </c>
      <c r="H996" t="s">
        <v>392</v>
      </c>
      <c r="I996" t="s">
        <v>1334</v>
      </c>
      <c r="L996" t="s">
        <v>394</v>
      </c>
      <c r="M996" t="s">
        <v>1325</v>
      </c>
    </row>
    <row r="997" spans="1:13" x14ac:dyDescent="0.3">
      <c r="A997" t="s">
        <v>1309</v>
      </c>
      <c r="B997" t="s">
        <v>345</v>
      </c>
      <c r="C997" t="s">
        <v>11</v>
      </c>
      <c r="D997" t="s">
        <v>12</v>
      </c>
      <c r="E997" t="s">
        <v>391</v>
      </c>
      <c r="H997" t="s">
        <v>392</v>
      </c>
      <c r="I997" t="s">
        <v>1335</v>
      </c>
      <c r="L997" t="s">
        <v>394</v>
      </c>
      <c r="M997" t="s">
        <v>1325</v>
      </c>
    </row>
    <row r="998" spans="1:13" x14ac:dyDescent="0.3">
      <c r="A998" t="s">
        <v>1312</v>
      </c>
      <c r="B998" t="s">
        <v>1144</v>
      </c>
      <c r="C998" t="s">
        <v>11</v>
      </c>
      <c r="D998" t="s">
        <v>12</v>
      </c>
      <c r="E998" t="s">
        <v>391</v>
      </c>
      <c r="H998" t="s">
        <v>392</v>
      </c>
      <c r="I998" t="s">
        <v>1336</v>
      </c>
      <c r="L998" t="s">
        <v>394</v>
      </c>
      <c r="M998" t="s">
        <v>1325</v>
      </c>
    </row>
    <row r="999" spans="1:13" x14ac:dyDescent="0.3">
      <c r="A999" t="s">
        <v>1320</v>
      </c>
      <c r="B999" t="s">
        <v>1164</v>
      </c>
      <c r="C999" t="s">
        <v>11</v>
      </c>
      <c r="D999" t="s">
        <v>12</v>
      </c>
      <c r="E999" t="s">
        <v>391</v>
      </c>
      <c r="H999" t="s">
        <v>392</v>
      </c>
      <c r="I999" t="s">
        <v>1337</v>
      </c>
      <c r="L999" t="s">
        <v>394</v>
      </c>
      <c r="M999" t="s">
        <v>1325</v>
      </c>
    </row>
    <row r="1000" spans="1:13" x14ac:dyDescent="0.3">
      <c r="A1000" t="s">
        <v>1322</v>
      </c>
      <c r="B1000" t="s">
        <v>1170</v>
      </c>
      <c r="C1000" t="s">
        <v>11</v>
      </c>
      <c r="D1000" t="s">
        <v>12</v>
      </c>
      <c r="E1000" t="s">
        <v>391</v>
      </c>
      <c r="H1000" t="s">
        <v>392</v>
      </c>
      <c r="I1000" t="s">
        <v>1338</v>
      </c>
      <c r="L1000" t="s">
        <v>394</v>
      </c>
      <c r="M1000" t="s">
        <v>1325</v>
      </c>
    </row>
    <row r="1001" spans="1:13" x14ac:dyDescent="0.3">
      <c r="A1001" t="s">
        <v>1321</v>
      </c>
      <c r="B1001" t="s">
        <v>1167</v>
      </c>
      <c r="C1001" t="s">
        <v>11</v>
      </c>
      <c r="D1001" t="s">
        <v>12</v>
      </c>
      <c r="E1001" t="s">
        <v>391</v>
      </c>
      <c r="H1001" t="s">
        <v>392</v>
      </c>
      <c r="I1001" t="s">
        <v>1339</v>
      </c>
      <c r="L1001" t="s">
        <v>394</v>
      </c>
      <c r="M1001" t="s">
        <v>1325</v>
      </c>
    </row>
    <row r="1002" spans="1:13" x14ac:dyDescent="0.3">
      <c r="A1002" t="s">
        <v>1323</v>
      </c>
      <c r="B1002" t="s">
        <v>1173</v>
      </c>
      <c r="C1002" t="s">
        <v>11</v>
      </c>
      <c r="D1002" t="s">
        <v>12</v>
      </c>
      <c r="E1002" t="s">
        <v>391</v>
      </c>
      <c r="H1002" t="s">
        <v>392</v>
      </c>
      <c r="I1002" t="s">
        <v>1340</v>
      </c>
      <c r="L1002" t="s">
        <v>394</v>
      </c>
      <c r="M1002" t="s">
        <v>1325</v>
      </c>
    </row>
    <row r="1003" spans="1:13" x14ac:dyDescent="0.3">
      <c r="A1003" t="s">
        <v>1308</v>
      </c>
      <c r="B1003" t="s">
        <v>1134</v>
      </c>
      <c r="C1003" t="s">
        <v>11</v>
      </c>
      <c r="D1003" t="s">
        <v>12</v>
      </c>
      <c r="E1003" t="s">
        <v>391</v>
      </c>
      <c r="H1003" t="s">
        <v>392</v>
      </c>
      <c r="I1003" t="s">
        <v>1341</v>
      </c>
      <c r="L1003" t="s">
        <v>394</v>
      </c>
      <c r="M1003" t="s">
        <v>1325</v>
      </c>
    </row>
    <row r="1004" spans="1:13" x14ac:dyDescent="0.3">
      <c r="A1004" t="s">
        <v>1310</v>
      </c>
      <c r="B1004" t="s">
        <v>1138</v>
      </c>
      <c r="C1004" t="s">
        <v>11</v>
      </c>
      <c r="D1004" t="s">
        <v>12</v>
      </c>
      <c r="E1004" t="s">
        <v>391</v>
      </c>
      <c r="H1004" t="s">
        <v>392</v>
      </c>
      <c r="I1004" t="s">
        <v>1342</v>
      </c>
      <c r="L1004" t="s">
        <v>394</v>
      </c>
      <c r="M1004" t="s">
        <v>1325</v>
      </c>
    </row>
    <row r="1005" spans="1:13" x14ac:dyDescent="0.3">
      <c r="A1005" t="s">
        <v>1343</v>
      </c>
      <c r="B1005" t="s">
        <v>1130</v>
      </c>
      <c r="C1005" t="s">
        <v>308</v>
      </c>
      <c r="D1005" t="s">
        <v>1344</v>
      </c>
      <c r="E1005" t="s">
        <v>1132</v>
      </c>
      <c r="H1005" t="s">
        <v>25</v>
      </c>
      <c r="I1005" t="s">
        <v>320</v>
      </c>
      <c r="L1005" t="s">
        <v>312</v>
      </c>
      <c r="M1005" t="s">
        <v>313</v>
      </c>
    </row>
    <row r="1006" spans="1:13" x14ac:dyDescent="0.3">
      <c r="A1006" t="s">
        <v>1343</v>
      </c>
      <c r="B1006" t="s">
        <v>1130</v>
      </c>
      <c r="C1006" t="s">
        <v>308</v>
      </c>
      <c r="D1006" t="s">
        <v>1345</v>
      </c>
      <c r="E1006" t="s">
        <v>1134</v>
      </c>
      <c r="H1006" t="s">
        <v>25</v>
      </c>
      <c r="I1006" t="s">
        <v>323</v>
      </c>
      <c r="L1006" t="s">
        <v>312</v>
      </c>
      <c r="M1006" t="s">
        <v>317</v>
      </c>
    </row>
    <row r="1007" spans="1:13" x14ac:dyDescent="0.3">
      <c r="A1007" t="s">
        <v>1343</v>
      </c>
      <c r="B1007" t="s">
        <v>1130</v>
      </c>
      <c r="C1007" t="s">
        <v>308</v>
      </c>
      <c r="D1007" t="s">
        <v>1346</v>
      </c>
      <c r="E1007" t="s">
        <v>345</v>
      </c>
      <c r="H1007" t="s">
        <v>25</v>
      </c>
      <c r="I1007" t="s">
        <v>1136</v>
      </c>
      <c r="L1007" t="s">
        <v>312</v>
      </c>
      <c r="M1007" t="s">
        <v>313</v>
      </c>
    </row>
    <row r="1008" spans="1:13" x14ac:dyDescent="0.3">
      <c r="A1008" t="s">
        <v>1343</v>
      </c>
      <c r="B1008" t="s">
        <v>1130</v>
      </c>
      <c r="C1008" t="s">
        <v>308</v>
      </c>
      <c r="D1008" t="s">
        <v>1347</v>
      </c>
      <c r="E1008" t="s">
        <v>1138</v>
      </c>
      <c r="H1008" t="s">
        <v>25</v>
      </c>
      <c r="I1008" t="s">
        <v>1139</v>
      </c>
      <c r="L1008" t="s">
        <v>312</v>
      </c>
      <c r="M1008" t="s">
        <v>317</v>
      </c>
    </row>
    <row r="1009" spans="1:13" x14ac:dyDescent="0.3">
      <c r="A1009" t="s">
        <v>1343</v>
      </c>
      <c r="B1009" t="s">
        <v>1130</v>
      </c>
      <c r="C1009" t="s">
        <v>308</v>
      </c>
      <c r="D1009" t="s">
        <v>1348</v>
      </c>
      <c r="E1009" t="s">
        <v>1141</v>
      </c>
      <c r="H1009" t="s">
        <v>25</v>
      </c>
      <c r="I1009" t="s">
        <v>1142</v>
      </c>
      <c r="L1009" t="s">
        <v>312</v>
      </c>
      <c r="M1009" t="s">
        <v>343</v>
      </c>
    </row>
    <row r="1010" spans="1:13" x14ac:dyDescent="0.3">
      <c r="A1010" t="s">
        <v>1343</v>
      </c>
      <c r="B1010" t="s">
        <v>1130</v>
      </c>
      <c r="C1010" t="s">
        <v>308</v>
      </c>
      <c r="D1010" t="s">
        <v>1349</v>
      </c>
      <c r="E1010" t="s">
        <v>1144</v>
      </c>
      <c r="H1010" t="s">
        <v>25</v>
      </c>
      <c r="I1010" t="s">
        <v>1145</v>
      </c>
      <c r="L1010" t="s">
        <v>312</v>
      </c>
      <c r="M1010" t="s">
        <v>343</v>
      </c>
    </row>
    <row r="1011" spans="1:13" x14ac:dyDescent="0.3">
      <c r="A1011" t="s">
        <v>1343</v>
      </c>
      <c r="B1011" t="s">
        <v>1130</v>
      </c>
      <c r="C1011" t="s">
        <v>308</v>
      </c>
      <c r="D1011" t="s">
        <v>1350</v>
      </c>
      <c r="E1011" t="s">
        <v>484</v>
      </c>
      <c r="H1011" t="s">
        <v>25</v>
      </c>
      <c r="I1011" t="s">
        <v>1147</v>
      </c>
      <c r="L1011" t="s">
        <v>312</v>
      </c>
      <c r="M1011" t="s">
        <v>343</v>
      </c>
    </row>
    <row r="1012" spans="1:13" x14ac:dyDescent="0.3">
      <c r="A1012" t="s">
        <v>1343</v>
      </c>
      <c r="B1012" t="s">
        <v>1130</v>
      </c>
      <c r="C1012" t="s">
        <v>308</v>
      </c>
      <c r="D1012" t="s">
        <v>1351</v>
      </c>
      <c r="E1012" t="s">
        <v>361</v>
      </c>
      <c r="H1012" t="s">
        <v>25</v>
      </c>
      <c r="I1012" t="s">
        <v>1149</v>
      </c>
      <c r="L1012" t="s">
        <v>312</v>
      </c>
      <c r="M1012" t="s">
        <v>343</v>
      </c>
    </row>
    <row r="1013" spans="1:13" x14ac:dyDescent="0.3">
      <c r="A1013" t="s">
        <v>1343</v>
      </c>
      <c r="B1013" t="s">
        <v>1130</v>
      </c>
      <c r="C1013" t="s">
        <v>308</v>
      </c>
      <c r="D1013" t="s">
        <v>1352</v>
      </c>
      <c r="E1013" t="s">
        <v>1151</v>
      </c>
      <c r="H1013" t="s">
        <v>25</v>
      </c>
      <c r="I1013" t="s">
        <v>1152</v>
      </c>
      <c r="L1013" t="s">
        <v>312</v>
      </c>
      <c r="M1013" t="s">
        <v>343</v>
      </c>
    </row>
    <row r="1014" spans="1:13" x14ac:dyDescent="0.3">
      <c r="A1014" t="s">
        <v>1343</v>
      </c>
      <c r="B1014" t="s">
        <v>1130</v>
      </c>
      <c r="C1014" t="s">
        <v>308</v>
      </c>
      <c r="D1014" t="s">
        <v>1353</v>
      </c>
      <c r="E1014" t="s">
        <v>1154</v>
      </c>
      <c r="H1014" t="s">
        <v>25</v>
      </c>
      <c r="I1014" t="s">
        <v>1152</v>
      </c>
      <c r="L1014" t="s">
        <v>312</v>
      </c>
      <c r="M1014" t="s">
        <v>343</v>
      </c>
    </row>
    <row r="1015" spans="1:13" x14ac:dyDescent="0.3">
      <c r="A1015" t="s">
        <v>1343</v>
      </c>
      <c r="B1015" t="s">
        <v>1130</v>
      </c>
      <c r="C1015" t="s">
        <v>308</v>
      </c>
      <c r="D1015" t="s">
        <v>1354</v>
      </c>
      <c r="E1015" t="s">
        <v>1156</v>
      </c>
      <c r="H1015" t="s">
        <v>25</v>
      </c>
      <c r="I1015" t="s">
        <v>1157</v>
      </c>
      <c r="L1015" t="s">
        <v>312</v>
      </c>
      <c r="M1015" t="s">
        <v>343</v>
      </c>
    </row>
    <row r="1016" spans="1:13" x14ac:dyDescent="0.3">
      <c r="A1016" t="s">
        <v>1343</v>
      </c>
      <c r="B1016" t="s">
        <v>1130</v>
      </c>
      <c r="C1016" t="s">
        <v>308</v>
      </c>
      <c r="D1016" t="s">
        <v>1355</v>
      </c>
      <c r="E1016" t="s">
        <v>527</v>
      </c>
      <c r="H1016" t="s">
        <v>25</v>
      </c>
      <c r="I1016" t="s">
        <v>1159</v>
      </c>
      <c r="L1016" t="s">
        <v>312</v>
      </c>
      <c r="M1016" t="s">
        <v>343</v>
      </c>
    </row>
    <row r="1017" spans="1:13" x14ac:dyDescent="0.3">
      <c r="A1017" t="s">
        <v>1343</v>
      </c>
      <c r="B1017" t="s">
        <v>1130</v>
      </c>
      <c r="C1017" t="s">
        <v>308</v>
      </c>
      <c r="D1017" t="s">
        <v>1356</v>
      </c>
      <c r="E1017" t="s">
        <v>1161</v>
      </c>
      <c r="H1017" t="s">
        <v>25</v>
      </c>
      <c r="I1017" t="s">
        <v>1162</v>
      </c>
      <c r="L1017" t="s">
        <v>312</v>
      </c>
      <c r="M1017" t="s">
        <v>343</v>
      </c>
    </row>
    <row r="1018" spans="1:13" x14ac:dyDescent="0.3">
      <c r="A1018" t="s">
        <v>1343</v>
      </c>
      <c r="B1018" t="s">
        <v>1130</v>
      </c>
      <c r="C1018" t="s">
        <v>308</v>
      </c>
      <c r="D1018" t="s">
        <v>1357</v>
      </c>
      <c r="E1018" t="s">
        <v>1164</v>
      </c>
      <c r="H1018" t="s">
        <v>25</v>
      </c>
      <c r="I1018" t="s">
        <v>1165</v>
      </c>
      <c r="L1018" t="s">
        <v>312</v>
      </c>
      <c r="M1018" t="s">
        <v>343</v>
      </c>
    </row>
    <row r="1019" spans="1:13" x14ac:dyDescent="0.3">
      <c r="A1019" t="s">
        <v>1343</v>
      </c>
      <c r="B1019" t="s">
        <v>1130</v>
      </c>
      <c r="C1019" t="s">
        <v>308</v>
      </c>
      <c r="D1019" t="s">
        <v>1358</v>
      </c>
      <c r="E1019" t="s">
        <v>1167</v>
      </c>
      <c r="H1019" t="s">
        <v>25</v>
      </c>
      <c r="I1019" t="s">
        <v>1168</v>
      </c>
      <c r="L1019" t="s">
        <v>312</v>
      </c>
      <c r="M1019" t="s">
        <v>343</v>
      </c>
    </row>
    <row r="1020" spans="1:13" x14ac:dyDescent="0.3">
      <c r="A1020" t="s">
        <v>1343</v>
      </c>
      <c r="B1020" t="s">
        <v>1130</v>
      </c>
      <c r="C1020" t="s">
        <v>308</v>
      </c>
      <c r="D1020" t="s">
        <v>1359</v>
      </c>
      <c r="E1020" t="s">
        <v>1170</v>
      </c>
      <c r="H1020" t="s">
        <v>25</v>
      </c>
      <c r="I1020" t="s">
        <v>1171</v>
      </c>
      <c r="L1020" t="s">
        <v>312</v>
      </c>
      <c r="M1020" t="s">
        <v>343</v>
      </c>
    </row>
    <row r="1021" spans="1:13" x14ac:dyDescent="0.3">
      <c r="A1021" t="s">
        <v>1343</v>
      </c>
      <c r="B1021" t="s">
        <v>1130</v>
      </c>
      <c r="C1021" t="s">
        <v>308</v>
      </c>
      <c r="D1021" t="s">
        <v>1360</v>
      </c>
      <c r="E1021" t="s">
        <v>1173</v>
      </c>
      <c r="H1021" t="s">
        <v>25</v>
      </c>
      <c r="I1021" t="s">
        <v>1174</v>
      </c>
      <c r="L1021" t="s">
        <v>312</v>
      </c>
      <c r="M1021" t="s">
        <v>343</v>
      </c>
    </row>
    <row r="1022" spans="1:13" x14ac:dyDescent="0.3">
      <c r="A1022" t="s">
        <v>1343</v>
      </c>
      <c r="B1022" t="s">
        <v>1130</v>
      </c>
      <c r="C1022" t="s">
        <v>22</v>
      </c>
      <c r="D1022" t="s">
        <v>23</v>
      </c>
      <c r="E1022" t="s">
        <v>28</v>
      </c>
      <c r="F1022" t="s">
        <v>25</v>
      </c>
      <c r="G1022" t="s">
        <v>1361</v>
      </c>
      <c r="J1022" t="s">
        <v>373</v>
      </c>
      <c r="K1022" t="s">
        <v>374</v>
      </c>
    </row>
    <row r="1023" spans="1:13" x14ac:dyDescent="0.3">
      <c r="A1023" t="s">
        <v>1343</v>
      </c>
      <c r="B1023" t="s">
        <v>1130</v>
      </c>
      <c r="C1023" t="s">
        <v>380</v>
      </c>
      <c r="D1023" t="s">
        <v>9</v>
      </c>
      <c r="E1023" t="s">
        <v>10</v>
      </c>
    </row>
    <row r="1024" spans="1:13" x14ac:dyDescent="0.3">
      <c r="A1024" t="s">
        <v>1343</v>
      </c>
      <c r="B1024" t="s">
        <v>1130</v>
      </c>
      <c r="C1024" t="s">
        <v>16</v>
      </c>
      <c r="D1024" t="s">
        <v>1117</v>
      </c>
      <c r="E1024" t="s">
        <v>37</v>
      </c>
    </row>
    <row r="1025" spans="1:13" x14ac:dyDescent="0.3">
      <c r="A1025" t="s">
        <v>1343</v>
      </c>
      <c r="B1025" t="s">
        <v>1130</v>
      </c>
      <c r="C1025" t="s">
        <v>11</v>
      </c>
      <c r="D1025" t="s">
        <v>12</v>
      </c>
      <c r="E1025" t="s">
        <v>13</v>
      </c>
      <c r="H1025" t="s">
        <v>382</v>
      </c>
      <c r="I1025" t="s">
        <v>1362</v>
      </c>
      <c r="L1025" t="s">
        <v>14</v>
      </c>
      <c r="M1025" t="s">
        <v>1362</v>
      </c>
    </row>
    <row r="1026" spans="1:13" x14ac:dyDescent="0.3">
      <c r="A1026" t="s">
        <v>1351</v>
      </c>
      <c r="B1026" t="s">
        <v>361</v>
      </c>
      <c r="C1026" t="s">
        <v>11</v>
      </c>
      <c r="D1026" t="s">
        <v>12</v>
      </c>
      <c r="E1026" t="s">
        <v>391</v>
      </c>
      <c r="H1026" t="s">
        <v>392</v>
      </c>
      <c r="I1026" t="s">
        <v>1363</v>
      </c>
      <c r="L1026" t="s">
        <v>394</v>
      </c>
      <c r="M1026" t="s">
        <v>1362</v>
      </c>
    </row>
    <row r="1027" spans="1:13" x14ac:dyDescent="0.3">
      <c r="A1027" t="s">
        <v>1348</v>
      </c>
      <c r="B1027" t="s">
        <v>484</v>
      </c>
      <c r="C1027" t="s">
        <v>11</v>
      </c>
      <c r="D1027" t="s">
        <v>12</v>
      </c>
      <c r="E1027" t="s">
        <v>391</v>
      </c>
      <c r="H1027" t="s">
        <v>392</v>
      </c>
      <c r="I1027" t="s">
        <v>1364</v>
      </c>
      <c r="L1027" t="s">
        <v>394</v>
      </c>
      <c r="M1027" t="s">
        <v>1362</v>
      </c>
    </row>
    <row r="1028" spans="1:13" x14ac:dyDescent="0.3">
      <c r="A1028" t="s">
        <v>1352</v>
      </c>
      <c r="B1028" t="s">
        <v>1151</v>
      </c>
      <c r="C1028" t="s">
        <v>11</v>
      </c>
      <c r="D1028" t="s">
        <v>12</v>
      </c>
      <c r="E1028" t="s">
        <v>391</v>
      </c>
      <c r="H1028" t="s">
        <v>392</v>
      </c>
      <c r="I1028" t="s">
        <v>1365</v>
      </c>
      <c r="L1028" t="s">
        <v>394</v>
      </c>
      <c r="M1028" t="s">
        <v>1362</v>
      </c>
    </row>
    <row r="1029" spans="1:13" x14ac:dyDescent="0.3">
      <c r="A1029" t="s">
        <v>1353</v>
      </c>
      <c r="B1029" t="s">
        <v>1154</v>
      </c>
      <c r="C1029" t="s">
        <v>11</v>
      </c>
      <c r="D1029" t="s">
        <v>12</v>
      </c>
      <c r="E1029" t="s">
        <v>391</v>
      </c>
      <c r="H1029" t="s">
        <v>392</v>
      </c>
      <c r="I1029" t="s">
        <v>1366</v>
      </c>
      <c r="L1029" t="s">
        <v>394</v>
      </c>
      <c r="M1029" t="s">
        <v>1362</v>
      </c>
    </row>
    <row r="1030" spans="1:13" x14ac:dyDescent="0.3">
      <c r="A1030" t="s">
        <v>1354</v>
      </c>
      <c r="B1030" t="s">
        <v>1156</v>
      </c>
      <c r="C1030" t="s">
        <v>11</v>
      </c>
      <c r="D1030" t="s">
        <v>12</v>
      </c>
      <c r="E1030" t="s">
        <v>391</v>
      </c>
      <c r="H1030" t="s">
        <v>392</v>
      </c>
      <c r="I1030" t="s">
        <v>1367</v>
      </c>
      <c r="L1030" t="s">
        <v>394</v>
      </c>
      <c r="M1030" t="s">
        <v>1362</v>
      </c>
    </row>
    <row r="1031" spans="1:13" x14ac:dyDescent="0.3">
      <c r="A1031" t="s">
        <v>1355</v>
      </c>
      <c r="B1031" t="s">
        <v>550</v>
      </c>
      <c r="C1031" t="s">
        <v>11</v>
      </c>
      <c r="D1031" t="s">
        <v>12</v>
      </c>
      <c r="E1031" t="s">
        <v>391</v>
      </c>
      <c r="H1031" t="s">
        <v>392</v>
      </c>
      <c r="I1031" t="s">
        <v>1368</v>
      </c>
      <c r="L1031" t="s">
        <v>394</v>
      </c>
      <c r="M1031" t="s">
        <v>1362</v>
      </c>
    </row>
    <row r="1032" spans="1:13" x14ac:dyDescent="0.3">
      <c r="A1032" t="s">
        <v>1350</v>
      </c>
      <c r="B1032" t="s">
        <v>1183</v>
      </c>
      <c r="C1032" t="s">
        <v>11</v>
      </c>
      <c r="D1032" t="s">
        <v>12</v>
      </c>
      <c r="E1032" t="s">
        <v>391</v>
      </c>
      <c r="H1032" t="s">
        <v>392</v>
      </c>
      <c r="I1032" t="s">
        <v>1369</v>
      </c>
      <c r="L1032" t="s">
        <v>394</v>
      </c>
      <c r="M1032" t="s">
        <v>1362</v>
      </c>
    </row>
    <row r="1033" spans="1:13" x14ac:dyDescent="0.3">
      <c r="A1033" t="s">
        <v>1356</v>
      </c>
      <c r="B1033" t="s">
        <v>1161</v>
      </c>
      <c r="C1033" t="s">
        <v>11</v>
      </c>
      <c r="D1033" t="s">
        <v>12</v>
      </c>
      <c r="E1033" t="s">
        <v>391</v>
      </c>
      <c r="H1033" t="s">
        <v>392</v>
      </c>
      <c r="I1033" t="s">
        <v>1370</v>
      </c>
      <c r="L1033" t="s">
        <v>394</v>
      </c>
      <c r="M1033" t="s">
        <v>1362</v>
      </c>
    </row>
    <row r="1034" spans="1:13" x14ac:dyDescent="0.3">
      <c r="A1034" t="s">
        <v>1344</v>
      </c>
      <c r="B1034" t="s">
        <v>1132</v>
      </c>
      <c r="C1034" t="s">
        <v>11</v>
      </c>
      <c r="D1034" t="s">
        <v>12</v>
      </c>
      <c r="E1034" t="s">
        <v>391</v>
      </c>
      <c r="H1034" t="s">
        <v>392</v>
      </c>
      <c r="I1034" t="s">
        <v>1371</v>
      </c>
      <c r="L1034" t="s">
        <v>394</v>
      </c>
      <c r="M1034" t="s">
        <v>1362</v>
      </c>
    </row>
    <row r="1035" spans="1:13" x14ac:dyDescent="0.3">
      <c r="A1035" t="s">
        <v>1346</v>
      </c>
      <c r="B1035" t="s">
        <v>345</v>
      </c>
      <c r="C1035" t="s">
        <v>11</v>
      </c>
      <c r="D1035" t="s">
        <v>12</v>
      </c>
      <c r="E1035" t="s">
        <v>391</v>
      </c>
      <c r="H1035" t="s">
        <v>392</v>
      </c>
      <c r="I1035" t="s">
        <v>1372</v>
      </c>
      <c r="L1035" t="s">
        <v>394</v>
      </c>
      <c r="M1035" t="s">
        <v>1362</v>
      </c>
    </row>
    <row r="1036" spans="1:13" x14ac:dyDescent="0.3">
      <c r="A1036" t="s">
        <v>1349</v>
      </c>
      <c r="B1036" t="s">
        <v>1144</v>
      </c>
      <c r="C1036" t="s">
        <v>11</v>
      </c>
      <c r="D1036" t="s">
        <v>12</v>
      </c>
      <c r="E1036" t="s">
        <v>391</v>
      </c>
      <c r="H1036" t="s">
        <v>392</v>
      </c>
      <c r="I1036" t="s">
        <v>1373</v>
      </c>
      <c r="L1036" t="s">
        <v>394</v>
      </c>
      <c r="M1036" t="s">
        <v>1362</v>
      </c>
    </row>
    <row r="1037" spans="1:13" x14ac:dyDescent="0.3">
      <c r="A1037" t="s">
        <v>1357</v>
      </c>
      <c r="B1037" t="s">
        <v>1164</v>
      </c>
      <c r="C1037" t="s">
        <v>11</v>
      </c>
      <c r="D1037" t="s">
        <v>12</v>
      </c>
      <c r="E1037" t="s">
        <v>391</v>
      </c>
      <c r="H1037" t="s">
        <v>392</v>
      </c>
      <c r="I1037" t="s">
        <v>1374</v>
      </c>
      <c r="L1037" t="s">
        <v>394</v>
      </c>
      <c r="M1037" t="s">
        <v>1362</v>
      </c>
    </row>
    <row r="1038" spans="1:13" x14ac:dyDescent="0.3">
      <c r="A1038" t="s">
        <v>1359</v>
      </c>
      <c r="B1038" t="s">
        <v>1170</v>
      </c>
      <c r="C1038" t="s">
        <v>11</v>
      </c>
      <c r="D1038" t="s">
        <v>12</v>
      </c>
      <c r="E1038" t="s">
        <v>391</v>
      </c>
      <c r="H1038" t="s">
        <v>392</v>
      </c>
      <c r="I1038" t="s">
        <v>1375</v>
      </c>
      <c r="L1038" t="s">
        <v>394</v>
      </c>
      <c r="M1038" t="s">
        <v>1362</v>
      </c>
    </row>
    <row r="1039" spans="1:13" x14ac:dyDescent="0.3">
      <c r="A1039" t="s">
        <v>1358</v>
      </c>
      <c r="B1039" t="s">
        <v>1167</v>
      </c>
      <c r="C1039" t="s">
        <v>11</v>
      </c>
      <c r="D1039" t="s">
        <v>12</v>
      </c>
      <c r="E1039" t="s">
        <v>391</v>
      </c>
      <c r="H1039" t="s">
        <v>392</v>
      </c>
      <c r="I1039" t="s">
        <v>1376</v>
      </c>
      <c r="L1039" t="s">
        <v>394</v>
      </c>
      <c r="M1039" t="s">
        <v>1362</v>
      </c>
    </row>
    <row r="1040" spans="1:13" x14ac:dyDescent="0.3">
      <c r="A1040" t="s">
        <v>1360</v>
      </c>
      <c r="B1040" t="s">
        <v>1173</v>
      </c>
      <c r="C1040" t="s">
        <v>11</v>
      </c>
      <c r="D1040" t="s">
        <v>12</v>
      </c>
      <c r="E1040" t="s">
        <v>391</v>
      </c>
      <c r="H1040" t="s">
        <v>392</v>
      </c>
      <c r="I1040" t="s">
        <v>1377</v>
      </c>
      <c r="L1040" t="s">
        <v>394</v>
      </c>
      <c r="M1040" t="s">
        <v>1362</v>
      </c>
    </row>
    <row r="1041" spans="1:13" x14ac:dyDescent="0.3">
      <c r="A1041" t="s">
        <v>1345</v>
      </c>
      <c r="B1041" t="s">
        <v>1134</v>
      </c>
      <c r="C1041" t="s">
        <v>11</v>
      </c>
      <c r="D1041" t="s">
        <v>12</v>
      </c>
      <c r="E1041" t="s">
        <v>391</v>
      </c>
      <c r="H1041" t="s">
        <v>392</v>
      </c>
      <c r="I1041" t="s">
        <v>1378</v>
      </c>
      <c r="L1041" t="s">
        <v>394</v>
      </c>
      <c r="M1041" t="s">
        <v>1362</v>
      </c>
    </row>
    <row r="1042" spans="1:13" x14ac:dyDescent="0.3">
      <c r="A1042" t="s">
        <v>1347</v>
      </c>
      <c r="B1042" t="s">
        <v>1138</v>
      </c>
      <c r="C1042" t="s">
        <v>11</v>
      </c>
      <c r="D1042" t="s">
        <v>12</v>
      </c>
      <c r="E1042" t="s">
        <v>391</v>
      </c>
      <c r="H1042" t="s">
        <v>392</v>
      </c>
      <c r="I1042" t="s">
        <v>1379</v>
      </c>
      <c r="L1042" t="s">
        <v>394</v>
      </c>
      <c r="M1042" t="s">
        <v>1362</v>
      </c>
    </row>
    <row r="1043" spans="1:13" x14ac:dyDescent="0.3">
      <c r="A1043" t="s">
        <v>1380</v>
      </c>
      <c r="B1043" t="s">
        <v>1130</v>
      </c>
      <c r="C1043" t="s">
        <v>308</v>
      </c>
      <c r="D1043" t="s">
        <v>1381</v>
      </c>
      <c r="E1043" t="s">
        <v>1132</v>
      </c>
      <c r="H1043" t="s">
        <v>25</v>
      </c>
      <c r="I1043" t="s">
        <v>320</v>
      </c>
      <c r="L1043" t="s">
        <v>312</v>
      </c>
      <c r="M1043" t="s">
        <v>313</v>
      </c>
    </row>
    <row r="1044" spans="1:13" x14ac:dyDescent="0.3">
      <c r="A1044" t="s">
        <v>1380</v>
      </c>
      <c r="B1044" t="s">
        <v>1130</v>
      </c>
      <c r="C1044" t="s">
        <v>308</v>
      </c>
      <c r="D1044" t="s">
        <v>1382</v>
      </c>
      <c r="E1044" t="s">
        <v>1134</v>
      </c>
      <c r="H1044" t="s">
        <v>25</v>
      </c>
      <c r="I1044" t="s">
        <v>323</v>
      </c>
      <c r="L1044" t="s">
        <v>312</v>
      </c>
      <c r="M1044" t="s">
        <v>317</v>
      </c>
    </row>
    <row r="1045" spans="1:13" x14ac:dyDescent="0.3">
      <c r="A1045" t="s">
        <v>1380</v>
      </c>
      <c r="B1045" t="s">
        <v>1130</v>
      </c>
      <c r="C1045" t="s">
        <v>308</v>
      </c>
      <c r="D1045" t="s">
        <v>1383</v>
      </c>
      <c r="E1045" t="s">
        <v>345</v>
      </c>
      <c r="H1045" t="s">
        <v>25</v>
      </c>
      <c r="I1045" t="s">
        <v>1136</v>
      </c>
      <c r="L1045" t="s">
        <v>312</v>
      </c>
      <c r="M1045" t="s">
        <v>313</v>
      </c>
    </row>
    <row r="1046" spans="1:13" x14ac:dyDescent="0.3">
      <c r="A1046" t="s">
        <v>1380</v>
      </c>
      <c r="B1046" t="s">
        <v>1130</v>
      </c>
      <c r="C1046" t="s">
        <v>308</v>
      </c>
      <c r="D1046" t="s">
        <v>1384</v>
      </c>
      <c r="E1046" t="s">
        <v>1138</v>
      </c>
      <c r="H1046" t="s">
        <v>25</v>
      </c>
      <c r="I1046" t="s">
        <v>1139</v>
      </c>
      <c r="L1046" t="s">
        <v>312</v>
      </c>
      <c r="M1046" t="s">
        <v>317</v>
      </c>
    </row>
    <row r="1047" spans="1:13" x14ac:dyDescent="0.3">
      <c r="A1047" t="s">
        <v>1380</v>
      </c>
      <c r="B1047" t="s">
        <v>1130</v>
      </c>
      <c r="C1047" t="s">
        <v>308</v>
      </c>
      <c r="D1047" t="s">
        <v>1385</v>
      </c>
      <c r="E1047" t="s">
        <v>1141</v>
      </c>
      <c r="H1047" t="s">
        <v>25</v>
      </c>
      <c r="I1047" t="s">
        <v>1142</v>
      </c>
      <c r="L1047" t="s">
        <v>312</v>
      </c>
      <c r="M1047" t="s">
        <v>343</v>
      </c>
    </row>
    <row r="1048" spans="1:13" x14ac:dyDescent="0.3">
      <c r="A1048" t="s">
        <v>1380</v>
      </c>
      <c r="B1048" t="s">
        <v>1130</v>
      </c>
      <c r="C1048" t="s">
        <v>308</v>
      </c>
      <c r="D1048" t="s">
        <v>1386</v>
      </c>
      <c r="E1048" t="s">
        <v>1144</v>
      </c>
      <c r="H1048" t="s">
        <v>25</v>
      </c>
      <c r="I1048" t="s">
        <v>1145</v>
      </c>
      <c r="L1048" t="s">
        <v>312</v>
      </c>
      <c r="M1048" t="s">
        <v>343</v>
      </c>
    </row>
    <row r="1049" spans="1:13" x14ac:dyDescent="0.3">
      <c r="A1049" t="s">
        <v>1380</v>
      </c>
      <c r="B1049" t="s">
        <v>1130</v>
      </c>
      <c r="C1049" t="s">
        <v>308</v>
      </c>
      <c r="D1049" t="s">
        <v>1387</v>
      </c>
      <c r="E1049" t="s">
        <v>484</v>
      </c>
      <c r="H1049" t="s">
        <v>25</v>
      </c>
      <c r="I1049" t="s">
        <v>1147</v>
      </c>
      <c r="L1049" t="s">
        <v>312</v>
      </c>
      <c r="M1049" t="s">
        <v>343</v>
      </c>
    </row>
    <row r="1050" spans="1:13" x14ac:dyDescent="0.3">
      <c r="A1050" t="s">
        <v>1380</v>
      </c>
      <c r="B1050" t="s">
        <v>1130</v>
      </c>
      <c r="C1050" t="s">
        <v>308</v>
      </c>
      <c r="D1050" t="s">
        <v>1388</v>
      </c>
      <c r="E1050" t="s">
        <v>361</v>
      </c>
      <c r="H1050" t="s">
        <v>25</v>
      </c>
      <c r="I1050" t="s">
        <v>1149</v>
      </c>
      <c r="L1050" t="s">
        <v>312</v>
      </c>
      <c r="M1050" t="s">
        <v>343</v>
      </c>
    </row>
    <row r="1051" spans="1:13" x14ac:dyDescent="0.3">
      <c r="A1051" t="s">
        <v>1380</v>
      </c>
      <c r="B1051" t="s">
        <v>1130</v>
      </c>
      <c r="C1051" t="s">
        <v>308</v>
      </c>
      <c r="D1051" t="s">
        <v>1389</v>
      </c>
      <c r="E1051" t="s">
        <v>1151</v>
      </c>
      <c r="H1051" t="s">
        <v>25</v>
      </c>
      <c r="I1051" t="s">
        <v>1152</v>
      </c>
      <c r="L1051" t="s">
        <v>312</v>
      </c>
      <c r="M1051" t="s">
        <v>343</v>
      </c>
    </row>
    <row r="1052" spans="1:13" x14ac:dyDescent="0.3">
      <c r="A1052" t="s">
        <v>1380</v>
      </c>
      <c r="B1052" t="s">
        <v>1130</v>
      </c>
      <c r="C1052" t="s">
        <v>308</v>
      </c>
      <c r="D1052" t="s">
        <v>1390</v>
      </c>
      <c r="E1052" t="s">
        <v>1154</v>
      </c>
      <c r="H1052" t="s">
        <v>25</v>
      </c>
      <c r="I1052" t="s">
        <v>1152</v>
      </c>
      <c r="L1052" t="s">
        <v>312</v>
      </c>
      <c r="M1052" t="s">
        <v>343</v>
      </c>
    </row>
    <row r="1053" spans="1:13" x14ac:dyDescent="0.3">
      <c r="A1053" t="s">
        <v>1380</v>
      </c>
      <c r="B1053" t="s">
        <v>1130</v>
      </c>
      <c r="C1053" t="s">
        <v>308</v>
      </c>
      <c r="D1053" t="s">
        <v>1391</v>
      </c>
      <c r="E1053" t="s">
        <v>1156</v>
      </c>
      <c r="H1053" t="s">
        <v>25</v>
      </c>
      <c r="I1053" t="s">
        <v>1157</v>
      </c>
      <c r="L1053" t="s">
        <v>312</v>
      </c>
      <c r="M1053" t="s">
        <v>343</v>
      </c>
    </row>
    <row r="1054" spans="1:13" x14ac:dyDescent="0.3">
      <c r="A1054" t="s">
        <v>1380</v>
      </c>
      <c r="B1054" t="s">
        <v>1130</v>
      </c>
      <c r="C1054" t="s">
        <v>308</v>
      </c>
      <c r="D1054" t="s">
        <v>1392</v>
      </c>
      <c r="E1054" t="s">
        <v>527</v>
      </c>
      <c r="H1054" t="s">
        <v>25</v>
      </c>
      <c r="I1054" t="s">
        <v>1159</v>
      </c>
      <c r="L1054" t="s">
        <v>312</v>
      </c>
      <c r="M1054" t="s">
        <v>343</v>
      </c>
    </row>
    <row r="1055" spans="1:13" x14ac:dyDescent="0.3">
      <c r="A1055" t="s">
        <v>1380</v>
      </c>
      <c r="B1055" t="s">
        <v>1130</v>
      </c>
      <c r="C1055" t="s">
        <v>308</v>
      </c>
      <c r="D1055" t="s">
        <v>1393</v>
      </c>
      <c r="E1055" t="s">
        <v>1161</v>
      </c>
      <c r="H1055" t="s">
        <v>25</v>
      </c>
      <c r="I1055" t="s">
        <v>1162</v>
      </c>
      <c r="L1055" t="s">
        <v>312</v>
      </c>
      <c r="M1055" t="s">
        <v>343</v>
      </c>
    </row>
    <row r="1056" spans="1:13" x14ac:dyDescent="0.3">
      <c r="A1056" t="s">
        <v>1380</v>
      </c>
      <c r="B1056" t="s">
        <v>1130</v>
      </c>
      <c r="C1056" t="s">
        <v>308</v>
      </c>
      <c r="D1056" t="s">
        <v>1394</v>
      </c>
      <c r="E1056" t="s">
        <v>1164</v>
      </c>
      <c r="H1056" t="s">
        <v>25</v>
      </c>
      <c r="I1056" t="s">
        <v>1165</v>
      </c>
      <c r="L1056" t="s">
        <v>312</v>
      </c>
      <c r="M1056" t="s">
        <v>343</v>
      </c>
    </row>
    <row r="1057" spans="1:13" x14ac:dyDescent="0.3">
      <c r="A1057" t="s">
        <v>1380</v>
      </c>
      <c r="B1057" t="s">
        <v>1130</v>
      </c>
      <c r="C1057" t="s">
        <v>308</v>
      </c>
      <c r="D1057" t="s">
        <v>1395</v>
      </c>
      <c r="E1057" t="s">
        <v>1167</v>
      </c>
      <c r="H1057" t="s">
        <v>25</v>
      </c>
      <c r="I1057" t="s">
        <v>1168</v>
      </c>
      <c r="L1057" t="s">
        <v>312</v>
      </c>
      <c r="M1057" t="s">
        <v>343</v>
      </c>
    </row>
    <row r="1058" spans="1:13" x14ac:dyDescent="0.3">
      <c r="A1058" t="s">
        <v>1380</v>
      </c>
      <c r="B1058" t="s">
        <v>1130</v>
      </c>
      <c r="C1058" t="s">
        <v>308</v>
      </c>
      <c r="D1058" t="s">
        <v>1396</v>
      </c>
      <c r="E1058" t="s">
        <v>1170</v>
      </c>
      <c r="H1058" t="s">
        <v>25</v>
      </c>
      <c r="I1058" t="s">
        <v>1171</v>
      </c>
      <c r="L1058" t="s">
        <v>312</v>
      </c>
      <c r="M1058" t="s">
        <v>343</v>
      </c>
    </row>
    <row r="1059" spans="1:13" x14ac:dyDescent="0.3">
      <c r="A1059" t="s">
        <v>1380</v>
      </c>
      <c r="B1059" t="s">
        <v>1130</v>
      </c>
      <c r="C1059" t="s">
        <v>308</v>
      </c>
      <c r="D1059" t="s">
        <v>1397</v>
      </c>
      <c r="E1059" t="s">
        <v>1173</v>
      </c>
      <c r="H1059" t="s">
        <v>25</v>
      </c>
      <c r="I1059" t="s">
        <v>1174</v>
      </c>
      <c r="L1059" t="s">
        <v>312</v>
      </c>
      <c r="M1059" t="s">
        <v>343</v>
      </c>
    </row>
    <row r="1060" spans="1:13" x14ac:dyDescent="0.3">
      <c r="A1060" t="s">
        <v>1380</v>
      </c>
      <c r="B1060" t="s">
        <v>1130</v>
      </c>
      <c r="C1060" t="s">
        <v>22</v>
      </c>
      <c r="D1060" t="s">
        <v>23</v>
      </c>
      <c r="E1060" t="s">
        <v>28</v>
      </c>
      <c r="F1060" t="s">
        <v>25</v>
      </c>
      <c r="G1060" t="s">
        <v>1398</v>
      </c>
      <c r="J1060" t="s">
        <v>373</v>
      </c>
      <c r="K1060" t="s">
        <v>374</v>
      </c>
    </row>
    <row r="1061" spans="1:13" x14ac:dyDescent="0.3">
      <c r="A1061" t="s">
        <v>1380</v>
      </c>
      <c r="B1061" t="s">
        <v>1130</v>
      </c>
      <c r="C1061" t="s">
        <v>380</v>
      </c>
      <c r="D1061" t="s">
        <v>9</v>
      </c>
      <c r="E1061" t="s">
        <v>10</v>
      </c>
    </row>
    <row r="1062" spans="1:13" x14ac:dyDescent="0.3">
      <c r="A1062" t="s">
        <v>1380</v>
      </c>
      <c r="B1062" t="s">
        <v>1130</v>
      </c>
      <c r="C1062" t="s">
        <v>16</v>
      </c>
      <c r="D1062" t="s">
        <v>1091</v>
      </c>
      <c r="E1062" t="s">
        <v>37</v>
      </c>
    </row>
    <row r="1063" spans="1:13" x14ac:dyDescent="0.3">
      <c r="A1063" t="s">
        <v>1380</v>
      </c>
      <c r="B1063" t="s">
        <v>1130</v>
      </c>
      <c r="C1063" t="s">
        <v>11</v>
      </c>
      <c r="D1063" t="s">
        <v>12</v>
      </c>
      <c r="E1063" t="s">
        <v>13</v>
      </c>
      <c r="H1063" t="s">
        <v>382</v>
      </c>
      <c r="I1063" t="s">
        <v>1399</v>
      </c>
      <c r="L1063" t="s">
        <v>14</v>
      </c>
      <c r="M1063" t="s">
        <v>1399</v>
      </c>
    </row>
    <row r="1064" spans="1:13" x14ac:dyDescent="0.3">
      <c r="A1064" t="s">
        <v>1388</v>
      </c>
      <c r="B1064" t="s">
        <v>361</v>
      </c>
      <c r="C1064" t="s">
        <v>11</v>
      </c>
      <c r="D1064" t="s">
        <v>12</v>
      </c>
      <c r="E1064" t="s">
        <v>391</v>
      </c>
      <c r="H1064" t="s">
        <v>392</v>
      </c>
      <c r="I1064" t="s">
        <v>1400</v>
      </c>
      <c r="L1064" t="s">
        <v>394</v>
      </c>
      <c r="M1064" t="s">
        <v>1399</v>
      </c>
    </row>
    <row r="1065" spans="1:13" x14ac:dyDescent="0.3">
      <c r="A1065" t="s">
        <v>1385</v>
      </c>
      <c r="B1065" t="s">
        <v>484</v>
      </c>
      <c r="C1065" t="s">
        <v>11</v>
      </c>
      <c r="D1065" t="s">
        <v>12</v>
      </c>
      <c r="E1065" t="s">
        <v>391</v>
      </c>
      <c r="H1065" t="s">
        <v>392</v>
      </c>
      <c r="I1065" t="s">
        <v>1401</v>
      </c>
      <c r="L1065" t="s">
        <v>394</v>
      </c>
      <c r="M1065" t="s">
        <v>1399</v>
      </c>
    </row>
    <row r="1066" spans="1:13" x14ac:dyDescent="0.3">
      <c r="A1066" t="s">
        <v>1389</v>
      </c>
      <c r="B1066" t="s">
        <v>1151</v>
      </c>
      <c r="C1066" t="s">
        <v>11</v>
      </c>
      <c r="D1066" t="s">
        <v>12</v>
      </c>
      <c r="E1066" t="s">
        <v>391</v>
      </c>
      <c r="H1066" t="s">
        <v>392</v>
      </c>
      <c r="I1066" t="s">
        <v>1402</v>
      </c>
      <c r="L1066" t="s">
        <v>394</v>
      </c>
      <c r="M1066" t="s">
        <v>1399</v>
      </c>
    </row>
    <row r="1067" spans="1:13" x14ac:dyDescent="0.3">
      <c r="A1067" t="s">
        <v>1390</v>
      </c>
      <c r="B1067" t="s">
        <v>1154</v>
      </c>
      <c r="C1067" t="s">
        <v>11</v>
      </c>
      <c r="D1067" t="s">
        <v>12</v>
      </c>
      <c r="E1067" t="s">
        <v>391</v>
      </c>
      <c r="H1067" t="s">
        <v>392</v>
      </c>
      <c r="I1067" t="s">
        <v>1403</v>
      </c>
      <c r="L1067" t="s">
        <v>394</v>
      </c>
      <c r="M1067" t="s">
        <v>1399</v>
      </c>
    </row>
    <row r="1068" spans="1:13" x14ac:dyDescent="0.3">
      <c r="A1068" t="s">
        <v>1391</v>
      </c>
      <c r="B1068" t="s">
        <v>1156</v>
      </c>
      <c r="C1068" t="s">
        <v>11</v>
      </c>
      <c r="D1068" t="s">
        <v>12</v>
      </c>
      <c r="E1068" t="s">
        <v>391</v>
      </c>
      <c r="H1068" t="s">
        <v>392</v>
      </c>
      <c r="I1068" t="s">
        <v>1404</v>
      </c>
      <c r="L1068" t="s">
        <v>394</v>
      </c>
      <c r="M1068" t="s">
        <v>1399</v>
      </c>
    </row>
    <row r="1069" spans="1:13" x14ac:dyDescent="0.3">
      <c r="A1069" t="s">
        <v>1392</v>
      </c>
      <c r="B1069" t="s">
        <v>550</v>
      </c>
      <c r="C1069" t="s">
        <v>11</v>
      </c>
      <c r="D1069" t="s">
        <v>12</v>
      </c>
      <c r="E1069" t="s">
        <v>391</v>
      </c>
      <c r="H1069" t="s">
        <v>392</v>
      </c>
      <c r="I1069" t="s">
        <v>1405</v>
      </c>
      <c r="L1069" t="s">
        <v>394</v>
      </c>
      <c r="M1069" t="s">
        <v>1399</v>
      </c>
    </row>
    <row r="1070" spans="1:13" x14ac:dyDescent="0.3">
      <c r="A1070" t="s">
        <v>1387</v>
      </c>
      <c r="B1070" t="s">
        <v>1183</v>
      </c>
      <c r="C1070" t="s">
        <v>11</v>
      </c>
      <c r="D1070" t="s">
        <v>12</v>
      </c>
      <c r="E1070" t="s">
        <v>391</v>
      </c>
      <c r="H1070" t="s">
        <v>392</v>
      </c>
      <c r="I1070" t="s">
        <v>1406</v>
      </c>
      <c r="L1070" t="s">
        <v>394</v>
      </c>
      <c r="M1070" t="s">
        <v>1399</v>
      </c>
    </row>
    <row r="1071" spans="1:13" x14ac:dyDescent="0.3">
      <c r="A1071" t="s">
        <v>1393</v>
      </c>
      <c r="B1071" t="s">
        <v>1161</v>
      </c>
      <c r="C1071" t="s">
        <v>11</v>
      </c>
      <c r="D1071" t="s">
        <v>12</v>
      </c>
      <c r="E1071" t="s">
        <v>391</v>
      </c>
      <c r="H1071" t="s">
        <v>392</v>
      </c>
      <c r="I1071" t="s">
        <v>1407</v>
      </c>
      <c r="L1071" t="s">
        <v>394</v>
      </c>
      <c r="M1071" t="s">
        <v>1399</v>
      </c>
    </row>
    <row r="1072" spans="1:13" x14ac:dyDescent="0.3">
      <c r="A1072" t="s">
        <v>1381</v>
      </c>
      <c r="B1072" t="s">
        <v>1132</v>
      </c>
      <c r="C1072" t="s">
        <v>11</v>
      </c>
      <c r="D1072" t="s">
        <v>12</v>
      </c>
      <c r="E1072" t="s">
        <v>391</v>
      </c>
      <c r="H1072" t="s">
        <v>392</v>
      </c>
      <c r="I1072" t="s">
        <v>1408</v>
      </c>
      <c r="L1072" t="s">
        <v>394</v>
      </c>
      <c r="M1072" t="s">
        <v>1399</v>
      </c>
    </row>
    <row r="1073" spans="1:13" x14ac:dyDescent="0.3">
      <c r="A1073" t="s">
        <v>1383</v>
      </c>
      <c r="B1073" t="s">
        <v>345</v>
      </c>
      <c r="C1073" t="s">
        <v>11</v>
      </c>
      <c r="D1073" t="s">
        <v>12</v>
      </c>
      <c r="E1073" t="s">
        <v>391</v>
      </c>
      <c r="H1073" t="s">
        <v>392</v>
      </c>
      <c r="I1073" t="s">
        <v>1409</v>
      </c>
      <c r="L1073" t="s">
        <v>394</v>
      </c>
      <c r="M1073" t="s">
        <v>1399</v>
      </c>
    </row>
    <row r="1074" spans="1:13" x14ac:dyDescent="0.3">
      <c r="A1074" t="s">
        <v>1386</v>
      </c>
      <c r="B1074" t="s">
        <v>1144</v>
      </c>
      <c r="C1074" t="s">
        <v>11</v>
      </c>
      <c r="D1074" t="s">
        <v>12</v>
      </c>
      <c r="E1074" t="s">
        <v>391</v>
      </c>
      <c r="H1074" t="s">
        <v>392</v>
      </c>
      <c r="I1074" t="s">
        <v>1410</v>
      </c>
      <c r="L1074" t="s">
        <v>394</v>
      </c>
      <c r="M1074" t="s">
        <v>1399</v>
      </c>
    </row>
    <row r="1075" spans="1:13" x14ac:dyDescent="0.3">
      <c r="A1075" t="s">
        <v>1394</v>
      </c>
      <c r="B1075" t="s">
        <v>1164</v>
      </c>
      <c r="C1075" t="s">
        <v>11</v>
      </c>
      <c r="D1075" t="s">
        <v>12</v>
      </c>
      <c r="E1075" t="s">
        <v>391</v>
      </c>
      <c r="H1075" t="s">
        <v>392</v>
      </c>
      <c r="I1075" t="s">
        <v>1411</v>
      </c>
      <c r="L1075" t="s">
        <v>394</v>
      </c>
      <c r="M1075" t="s">
        <v>1399</v>
      </c>
    </row>
    <row r="1076" spans="1:13" x14ac:dyDescent="0.3">
      <c r="A1076" t="s">
        <v>1396</v>
      </c>
      <c r="B1076" t="s">
        <v>1170</v>
      </c>
      <c r="C1076" t="s">
        <v>11</v>
      </c>
      <c r="D1076" t="s">
        <v>12</v>
      </c>
      <c r="E1076" t="s">
        <v>391</v>
      </c>
      <c r="H1076" t="s">
        <v>392</v>
      </c>
      <c r="I1076" t="s">
        <v>1412</v>
      </c>
      <c r="L1076" t="s">
        <v>394</v>
      </c>
      <c r="M1076" t="s">
        <v>1399</v>
      </c>
    </row>
    <row r="1077" spans="1:13" x14ac:dyDescent="0.3">
      <c r="A1077" t="s">
        <v>1395</v>
      </c>
      <c r="B1077" t="s">
        <v>1167</v>
      </c>
      <c r="C1077" t="s">
        <v>11</v>
      </c>
      <c r="D1077" t="s">
        <v>12</v>
      </c>
      <c r="E1077" t="s">
        <v>391</v>
      </c>
      <c r="H1077" t="s">
        <v>392</v>
      </c>
      <c r="I1077" t="s">
        <v>1413</v>
      </c>
      <c r="L1077" t="s">
        <v>394</v>
      </c>
      <c r="M1077" t="s">
        <v>1399</v>
      </c>
    </row>
    <row r="1078" spans="1:13" x14ac:dyDescent="0.3">
      <c r="A1078" t="s">
        <v>1397</v>
      </c>
      <c r="B1078" t="s">
        <v>1173</v>
      </c>
      <c r="C1078" t="s">
        <v>11</v>
      </c>
      <c r="D1078" t="s">
        <v>12</v>
      </c>
      <c r="E1078" t="s">
        <v>391</v>
      </c>
      <c r="H1078" t="s">
        <v>392</v>
      </c>
      <c r="I1078" t="s">
        <v>1414</v>
      </c>
      <c r="L1078" t="s">
        <v>394</v>
      </c>
      <c r="M1078" t="s">
        <v>1399</v>
      </c>
    </row>
    <row r="1079" spans="1:13" x14ac:dyDescent="0.3">
      <c r="A1079" t="s">
        <v>1382</v>
      </c>
      <c r="B1079" t="s">
        <v>1134</v>
      </c>
      <c r="C1079" t="s">
        <v>11</v>
      </c>
      <c r="D1079" t="s">
        <v>12</v>
      </c>
      <c r="E1079" t="s">
        <v>391</v>
      </c>
      <c r="H1079" t="s">
        <v>392</v>
      </c>
      <c r="I1079" t="s">
        <v>1415</v>
      </c>
      <c r="L1079" t="s">
        <v>394</v>
      </c>
      <c r="M1079" t="s">
        <v>1399</v>
      </c>
    </row>
    <row r="1080" spans="1:13" x14ac:dyDescent="0.3">
      <c r="A1080" t="s">
        <v>1384</v>
      </c>
      <c r="B1080" t="s">
        <v>1138</v>
      </c>
      <c r="C1080" t="s">
        <v>11</v>
      </c>
      <c r="D1080" t="s">
        <v>12</v>
      </c>
      <c r="E1080" t="s">
        <v>391</v>
      </c>
      <c r="H1080" t="s">
        <v>392</v>
      </c>
      <c r="I1080" t="s">
        <v>1416</v>
      </c>
      <c r="L1080" t="s">
        <v>394</v>
      </c>
      <c r="M1080" t="s">
        <v>1399</v>
      </c>
    </row>
    <row r="1081" spans="1:13" x14ac:dyDescent="0.3">
      <c r="A1081" t="s">
        <v>1417</v>
      </c>
      <c r="B1081" t="s">
        <v>1130</v>
      </c>
      <c r="C1081" t="s">
        <v>308</v>
      </c>
      <c r="D1081" t="s">
        <v>1418</v>
      </c>
      <c r="E1081" t="s">
        <v>1132</v>
      </c>
      <c r="H1081" t="s">
        <v>25</v>
      </c>
      <c r="I1081" t="s">
        <v>320</v>
      </c>
      <c r="L1081" t="s">
        <v>312</v>
      </c>
      <c r="M1081" t="s">
        <v>313</v>
      </c>
    </row>
    <row r="1082" spans="1:13" x14ac:dyDescent="0.3">
      <c r="A1082" t="s">
        <v>1417</v>
      </c>
      <c r="B1082" t="s">
        <v>1130</v>
      </c>
      <c r="C1082" t="s">
        <v>308</v>
      </c>
      <c r="D1082" t="s">
        <v>1419</v>
      </c>
      <c r="E1082" t="s">
        <v>1134</v>
      </c>
      <c r="H1082" t="s">
        <v>25</v>
      </c>
      <c r="I1082" t="s">
        <v>323</v>
      </c>
      <c r="L1082" t="s">
        <v>312</v>
      </c>
      <c r="M1082" t="s">
        <v>317</v>
      </c>
    </row>
    <row r="1083" spans="1:13" x14ac:dyDescent="0.3">
      <c r="A1083" t="s">
        <v>1417</v>
      </c>
      <c r="B1083" t="s">
        <v>1130</v>
      </c>
      <c r="C1083" t="s">
        <v>308</v>
      </c>
      <c r="D1083" t="s">
        <v>1420</v>
      </c>
      <c r="E1083" t="s">
        <v>345</v>
      </c>
      <c r="H1083" t="s">
        <v>25</v>
      </c>
      <c r="I1083" t="s">
        <v>1136</v>
      </c>
      <c r="L1083" t="s">
        <v>312</v>
      </c>
      <c r="M1083" t="s">
        <v>313</v>
      </c>
    </row>
    <row r="1084" spans="1:13" x14ac:dyDescent="0.3">
      <c r="A1084" t="s">
        <v>1417</v>
      </c>
      <c r="B1084" t="s">
        <v>1130</v>
      </c>
      <c r="C1084" t="s">
        <v>308</v>
      </c>
      <c r="D1084" t="s">
        <v>1421</v>
      </c>
      <c r="E1084" t="s">
        <v>1138</v>
      </c>
      <c r="H1084" t="s">
        <v>25</v>
      </c>
      <c r="I1084" t="s">
        <v>1139</v>
      </c>
      <c r="L1084" t="s">
        <v>312</v>
      </c>
      <c r="M1084" t="s">
        <v>317</v>
      </c>
    </row>
    <row r="1085" spans="1:13" x14ac:dyDescent="0.3">
      <c r="A1085" t="s">
        <v>1417</v>
      </c>
      <c r="B1085" t="s">
        <v>1130</v>
      </c>
      <c r="C1085" t="s">
        <v>308</v>
      </c>
      <c r="D1085" t="s">
        <v>1422</v>
      </c>
      <c r="E1085" t="s">
        <v>1141</v>
      </c>
      <c r="H1085" t="s">
        <v>25</v>
      </c>
      <c r="I1085" t="s">
        <v>1142</v>
      </c>
      <c r="L1085" t="s">
        <v>312</v>
      </c>
      <c r="M1085" t="s">
        <v>343</v>
      </c>
    </row>
    <row r="1086" spans="1:13" x14ac:dyDescent="0.3">
      <c r="A1086" t="s">
        <v>1417</v>
      </c>
      <c r="B1086" t="s">
        <v>1130</v>
      </c>
      <c r="C1086" t="s">
        <v>308</v>
      </c>
      <c r="D1086" t="s">
        <v>1423</v>
      </c>
      <c r="E1086" t="s">
        <v>1144</v>
      </c>
      <c r="H1086" t="s">
        <v>25</v>
      </c>
      <c r="I1086" t="s">
        <v>1145</v>
      </c>
      <c r="L1086" t="s">
        <v>312</v>
      </c>
      <c r="M1086" t="s">
        <v>343</v>
      </c>
    </row>
    <row r="1087" spans="1:13" x14ac:dyDescent="0.3">
      <c r="A1087" t="s">
        <v>1417</v>
      </c>
      <c r="B1087" t="s">
        <v>1130</v>
      </c>
      <c r="C1087" t="s">
        <v>308</v>
      </c>
      <c r="D1087" t="s">
        <v>1424</v>
      </c>
      <c r="E1087" t="s">
        <v>484</v>
      </c>
      <c r="H1087" t="s">
        <v>25</v>
      </c>
      <c r="I1087" t="s">
        <v>1147</v>
      </c>
      <c r="L1087" t="s">
        <v>312</v>
      </c>
      <c r="M1087" t="s">
        <v>343</v>
      </c>
    </row>
    <row r="1088" spans="1:13" x14ac:dyDescent="0.3">
      <c r="A1088" t="s">
        <v>1417</v>
      </c>
      <c r="B1088" t="s">
        <v>1130</v>
      </c>
      <c r="C1088" t="s">
        <v>308</v>
      </c>
      <c r="D1088" t="s">
        <v>1425</v>
      </c>
      <c r="E1088" t="s">
        <v>361</v>
      </c>
      <c r="H1088" t="s">
        <v>25</v>
      </c>
      <c r="I1088" t="s">
        <v>1149</v>
      </c>
      <c r="L1088" t="s">
        <v>312</v>
      </c>
      <c r="M1088" t="s">
        <v>343</v>
      </c>
    </row>
    <row r="1089" spans="1:13" x14ac:dyDescent="0.3">
      <c r="A1089" t="s">
        <v>1417</v>
      </c>
      <c r="B1089" t="s">
        <v>1130</v>
      </c>
      <c r="C1089" t="s">
        <v>308</v>
      </c>
      <c r="D1089" t="s">
        <v>1426</v>
      </c>
      <c r="E1089" t="s">
        <v>1151</v>
      </c>
      <c r="H1089" t="s">
        <v>25</v>
      </c>
      <c r="I1089" t="s">
        <v>1152</v>
      </c>
      <c r="L1089" t="s">
        <v>312</v>
      </c>
      <c r="M1089" t="s">
        <v>343</v>
      </c>
    </row>
    <row r="1090" spans="1:13" x14ac:dyDescent="0.3">
      <c r="A1090" t="s">
        <v>1417</v>
      </c>
      <c r="B1090" t="s">
        <v>1130</v>
      </c>
      <c r="C1090" t="s">
        <v>308</v>
      </c>
      <c r="D1090" t="s">
        <v>1427</v>
      </c>
      <c r="E1090" t="s">
        <v>1154</v>
      </c>
      <c r="H1090" t="s">
        <v>25</v>
      </c>
      <c r="I1090" t="s">
        <v>1152</v>
      </c>
      <c r="L1090" t="s">
        <v>312</v>
      </c>
      <c r="M1090" t="s">
        <v>343</v>
      </c>
    </row>
    <row r="1091" spans="1:13" x14ac:dyDescent="0.3">
      <c r="A1091" t="s">
        <v>1417</v>
      </c>
      <c r="B1091" t="s">
        <v>1130</v>
      </c>
      <c r="C1091" t="s">
        <v>308</v>
      </c>
      <c r="D1091" t="s">
        <v>1428</v>
      </c>
      <c r="E1091" t="s">
        <v>1156</v>
      </c>
      <c r="H1091" t="s">
        <v>25</v>
      </c>
      <c r="I1091" t="s">
        <v>1157</v>
      </c>
      <c r="L1091" t="s">
        <v>312</v>
      </c>
      <c r="M1091" t="s">
        <v>343</v>
      </c>
    </row>
    <row r="1092" spans="1:13" x14ac:dyDescent="0.3">
      <c r="A1092" t="s">
        <v>1417</v>
      </c>
      <c r="B1092" t="s">
        <v>1130</v>
      </c>
      <c r="C1092" t="s">
        <v>308</v>
      </c>
      <c r="D1092" t="s">
        <v>1429</v>
      </c>
      <c r="E1092" t="s">
        <v>527</v>
      </c>
      <c r="H1092" t="s">
        <v>25</v>
      </c>
      <c r="I1092" t="s">
        <v>1159</v>
      </c>
      <c r="L1092" t="s">
        <v>312</v>
      </c>
      <c r="M1092" t="s">
        <v>343</v>
      </c>
    </row>
    <row r="1093" spans="1:13" x14ac:dyDescent="0.3">
      <c r="A1093" t="s">
        <v>1417</v>
      </c>
      <c r="B1093" t="s">
        <v>1130</v>
      </c>
      <c r="C1093" t="s">
        <v>308</v>
      </c>
      <c r="D1093" t="s">
        <v>1430</v>
      </c>
      <c r="E1093" t="s">
        <v>1161</v>
      </c>
      <c r="H1093" t="s">
        <v>25</v>
      </c>
      <c r="I1093" t="s">
        <v>1162</v>
      </c>
      <c r="L1093" t="s">
        <v>312</v>
      </c>
      <c r="M1093" t="s">
        <v>343</v>
      </c>
    </row>
    <row r="1094" spans="1:13" x14ac:dyDescent="0.3">
      <c r="A1094" t="s">
        <v>1417</v>
      </c>
      <c r="B1094" t="s">
        <v>1130</v>
      </c>
      <c r="C1094" t="s">
        <v>308</v>
      </c>
      <c r="D1094" t="s">
        <v>1431</v>
      </c>
      <c r="E1094" t="s">
        <v>1164</v>
      </c>
      <c r="H1094" t="s">
        <v>25</v>
      </c>
      <c r="I1094" t="s">
        <v>1165</v>
      </c>
      <c r="L1094" t="s">
        <v>312</v>
      </c>
      <c r="M1094" t="s">
        <v>343</v>
      </c>
    </row>
    <row r="1095" spans="1:13" x14ac:dyDescent="0.3">
      <c r="A1095" t="s">
        <v>1417</v>
      </c>
      <c r="B1095" t="s">
        <v>1130</v>
      </c>
      <c r="C1095" t="s">
        <v>308</v>
      </c>
      <c r="D1095" t="s">
        <v>1432</v>
      </c>
      <c r="E1095" t="s">
        <v>1167</v>
      </c>
      <c r="H1095" t="s">
        <v>25</v>
      </c>
      <c r="I1095" t="s">
        <v>1168</v>
      </c>
      <c r="L1095" t="s">
        <v>312</v>
      </c>
      <c r="M1095" t="s">
        <v>343</v>
      </c>
    </row>
    <row r="1096" spans="1:13" x14ac:dyDescent="0.3">
      <c r="A1096" t="s">
        <v>1417</v>
      </c>
      <c r="B1096" t="s">
        <v>1130</v>
      </c>
      <c r="C1096" t="s">
        <v>308</v>
      </c>
      <c r="D1096" t="s">
        <v>1433</v>
      </c>
      <c r="E1096" t="s">
        <v>1170</v>
      </c>
      <c r="H1096" t="s">
        <v>25</v>
      </c>
      <c r="I1096" t="s">
        <v>1171</v>
      </c>
      <c r="L1096" t="s">
        <v>312</v>
      </c>
      <c r="M1096" t="s">
        <v>343</v>
      </c>
    </row>
    <row r="1097" spans="1:13" x14ac:dyDescent="0.3">
      <c r="A1097" t="s">
        <v>1417</v>
      </c>
      <c r="B1097" t="s">
        <v>1130</v>
      </c>
      <c r="C1097" t="s">
        <v>308</v>
      </c>
      <c r="D1097" t="s">
        <v>1434</v>
      </c>
      <c r="E1097" t="s">
        <v>1173</v>
      </c>
      <c r="H1097" t="s">
        <v>25</v>
      </c>
      <c r="I1097" t="s">
        <v>1174</v>
      </c>
      <c r="L1097" t="s">
        <v>312</v>
      </c>
      <c r="M1097" t="s">
        <v>343</v>
      </c>
    </row>
    <row r="1098" spans="1:13" x14ac:dyDescent="0.3">
      <c r="A1098" t="s">
        <v>1417</v>
      </c>
      <c r="B1098" t="s">
        <v>1130</v>
      </c>
      <c r="C1098" t="s">
        <v>22</v>
      </c>
      <c r="D1098" t="s">
        <v>23</v>
      </c>
      <c r="E1098" t="s">
        <v>28</v>
      </c>
      <c r="F1098" t="s">
        <v>25</v>
      </c>
      <c r="G1098" t="s">
        <v>1435</v>
      </c>
      <c r="J1098" t="s">
        <v>373</v>
      </c>
      <c r="K1098" t="s">
        <v>374</v>
      </c>
    </row>
    <row r="1099" spans="1:13" x14ac:dyDescent="0.3">
      <c r="A1099" t="s">
        <v>1417</v>
      </c>
      <c r="B1099" t="s">
        <v>1130</v>
      </c>
      <c r="C1099" t="s">
        <v>380</v>
      </c>
      <c r="D1099" t="s">
        <v>9</v>
      </c>
      <c r="E1099" t="s">
        <v>10</v>
      </c>
    </row>
    <row r="1100" spans="1:13" x14ac:dyDescent="0.3">
      <c r="A1100" t="s">
        <v>1417</v>
      </c>
      <c r="B1100" t="s">
        <v>1130</v>
      </c>
      <c r="C1100" t="s">
        <v>16</v>
      </c>
      <c r="D1100" t="s">
        <v>1091</v>
      </c>
      <c r="E1100" t="s">
        <v>37</v>
      </c>
    </row>
    <row r="1101" spans="1:13" x14ac:dyDescent="0.3">
      <c r="A1101" t="s">
        <v>1417</v>
      </c>
      <c r="B1101" t="s">
        <v>1130</v>
      </c>
      <c r="C1101" t="s">
        <v>11</v>
      </c>
      <c r="D1101" t="s">
        <v>12</v>
      </c>
      <c r="E1101" t="s">
        <v>13</v>
      </c>
      <c r="H1101" t="s">
        <v>382</v>
      </c>
      <c r="I1101" t="s">
        <v>1436</v>
      </c>
      <c r="L1101" t="s">
        <v>14</v>
      </c>
      <c r="M1101" t="s">
        <v>1436</v>
      </c>
    </row>
    <row r="1102" spans="1:13" x14ac:dyDescent="0.3">
      <c r="A1102" t="s">
        <v>1425</v>
      </c>
      <c r="B1102" t="s">
        <v>361</v>
      </c>
      <c r="C1102" t="s">
        <v>11</v>
      </c>
      <c r="D1102" t="s">
        <v>12</v>
      </c>
      <c r="E1102" t="s">
        <v>391</v>
      </c>
      <c r="H1102" t="s">
        <v>392</v>
      </c>
      <c r="I1102" t="s">
        <v>1437</v>
      </c>
      <c r="L1102" t="s">
        <v>394</v>
      </c>
      <c r="M1102" t="s">
        <v>1436</v>
      </c>
    </row>
    <row r="1103" spans="1:13" x14ac:dyDescent="0.3">
      <c r="A1103" t="s">
        <v>1422</v>
      </c>
      <c r="B1103" t="s">
        <v>484</v>
      </c>
      <c r="C1103" t="s">
        <v>11</v>
      </c>
      <c r="D1103" t="s">
        <v>12</v>
      </c>
      <c r="E1103" t="s">
        <v>391</v>
      </c>
      <c r="H1103" t="s">
        <v>392</v>
      </c>
      <c r="I1103" t="s">
        <v>1438</v>
      </c>
      <c r="L1103" t="s">
        <v>394</v>
      </c>
      <c r="M1103" t="s">
        <v>1436</v>
      </c>
    </row>
    <row r="1104" spans="1:13" x14ac:dyDescent="0.3">
      <c r="A1104" t="s">
        <v>1426</v>
      </c>
      <c r="B1104" t="s">
        <v>1151</v>
      </c>
      <c r="C1104" t="s">
        <v>11</v>
      </c>
      <c r="D1104" t="s">
        <v>12</v>
      </c>
      <c r="E1104" t="s">
        <v>391</v>
      </c>
      <c r="H1104" t="s">
        <v>392</v>
      </c>
      <c r="I1104" t="s">
        <v>1439</v>
      </c>
      <c r="L1104" t="s">
        <v>394</v>
      </c>
      <c r="M1104" t="s">
        <v>1436</v>
      </c>
    </row>
    <row r="1105" spans="1:13" x14ac:dyDescent="0.3">
      <c r="A1105" t="s">
        <v>1427</v>
      </c>
      <c r="B1105" t="s">
        <v>1154</v>
      </c>
      <c r="C1105" t="s">
        <v>11</v>
      </c>
      <c r="D1105" t="s">
        <v>12</v>
      </c>
      <c r="E1105" t="s">
        <v>391</v>
      </c>
      <c r="H1105" t="s">
        <v>392</v>
      </c>
      <c r="I1105" t="s">
        <v>1440</v>
      </c>
      <c r="L1105" t="s">
        <v>394</v>
      </c>
      <c r="M1105" t="s">
        <v>1436</v>
      </c>
    </row>
    <row r="1106" spans="1:13" x14ac:dyDescent="0.3">
      <c r="A1106" t="s">
        <v>1428</v>
      </c>
      <c r="B1106" t="s">
        <v>1156</v>
      </c>
      <c r="C1106" t="s">
        <v>11</v>
      </c>
      <c r="D1106" t="s">
        <v>12</v>
      </c>
      <c r="E1106" t="s">
        <v>391</v>
      </c>
      <c r="H1106" t="s">
        <v>392</v>
      </c>
      <c r="I1106" t="s">
        <v>1441</v>
      </c>
      <c r="L1106" t="s">
        <v>394</v>
      </c>
      <c r="M1106" t="s">
        <v>1436</v>
      </c>
    </row>
    <row r="1107" spans="1:13" x14ac:dyDescent="0.3">
      <c r="A1107" t="s">
        <v>1429</v>
      </c>
      <c r="B1107" t="s">
        <v>550</v>
      </c>
      <c r="C1107" t="s">
        <v>11</v>
      </c>
      <c r="D1107" t="s">
        <v>12</v>
      </c>
      <c r="E1107" t="s">
        <v>391</v>
      </c>
      <c r="H1107" t="s">
        <v>392</v>
      </c>
      <c r="I1107" t="s">
        <v>1442</v>
      </c>
      <c r="L1107" t="s">
        <v>394</v>
      </c>
      <c r="M1107" t="s">
        <v>1436</v>
      </c>
    </row>
    <row r="1108" spans="1:13" x14ac:dyDescent="0.3">
      <c r="A1108" t="s">
        <v>1424</v>
      </c>
      <c r="B1108" t="s">
        <v>1183</v>
      </c>
      <c r="C1108" t="s">
        <v>11</v>
      </c>
      <c r="D1108" t="s">
        <v>12</v>
      </c>
      <c r="E1108" t="s">
        <v>391</v>
      </c>
      <c r="H1108" t="s">
        <v>392</v>
      </c>
      <c r="I1108" t="s">
        <v>1443</v>
      </c>
      <c r="L1108" t="s">
        <v>394</v>
      </c>
      <c r="M1108" t="s">
        <v>1436</v>
      </c>
    </row>
    <row r="1109" spans="1:13" x14ac:dyDescent="0.3">
      <c r="A1109" t="s">
        <v>1430</v>
      </c>
      <c r="B1109" t="s">
        <v>1161</v>
      </c>
      <c r="C1109" t="s">
        <v>11</v>
      </c>
      <c r="D1109" t="s">
        <v>12</v>
      </c>
      <c r="E1109" t="s">
        <v>391</v>
      </c>
      <c r="H1109" t="s">
        <v>392</v>
      </c>
      <c r="I1109" t="s">
        <v>1444</v>
      </c>
      <c r="L1109" t="s">
        <v>394</v>
      </c>
      <c r="M1109" t="s">
        <v>1436</v>
      </c>
    </row>
    <row r="1110" spans="1:13" x14ac:dyDescent="0.3">
      <c r="A1110" t="s">
        <v>1418</v>
      </c>
      <c r="B1110" t="s">
        <v>1132</v>
      </c>
      <c r="C1110" t="s">
        <v>11</v>
      </c>
      <c r="D1110" t="s">
        <v>12</v>
      </c>
      <c r="E1110" t="s">
        <v>391</v>
      </c>
      <c r="H1110" t="s">
        <v>392</v>
      </c>
      <c r="I1110" t="s">
        <v>1445</v>
      </c>
      <c r="L1110" t="s">
        <v>394</v>
      </c>
      <c r="M1110" t="s">
        <v>1436</v>
      </c>
    </row>
    <row r="1111" spans="1:13" x14ac:dyDescent="0.3">
      <c r="A1111" t="s">
        <v>1420</v>
      </c>
      <c r="B1111" t="s">
        <v>345</v>
      </c>
      <c r="C1111" t="s">
        <v>11</v>
      </c>
      <c r="D1111" t="s">
        <v>12</v>
      </c>
      <c r="E1111" t="s">
        <v>391</v>
      </c>
      <c r="H1111" t="s">
        <v>392</v>
      </c>
      <c r="I1111" t="s">
        <v>1446</v>
      </c>
      <c r="L1111" t="s">
        <v>394</v>
      </c>
      <c r="M1111" t="s">
        <v>1436</v>
      </c>
    </row>
    <row r="1112" spans="1:13" x14ac:dyDescent="0.3">
      <c r="A1112" t="s">
        <v>1423</v>
      </c>
      <c r="B1112" t="s">
        <v>1144</v>
      </c>
      <c r="C1112" t="s">
        <v>11</v>
      </c>
      <c r="D1112" t="s">
        <v>12</v>
      </c>
      <c r="E1112" t="s">
        <v>391</v>
      </c>
      <c r="H1112" t="s">
        <v>392</v>
      </c>
      <c r="I1112" t="s">
        <v>1447</v>
      </c>
      <c r="L1112" t="s">
        <v>394</v>
      </c>
      <c r="M1112" t="s">
        <v>1436</v>
      </c>
    </row>
    <row r="1113" spans="1:13" x14ac:dyDescent="0.3">
      <c r="A1113" t="s">
        <v>1431</v>
      </c>
      <c r="B1113" t="s">
        <v>1164</v>
      </c>
      <c r="C1113" t="s">
        <v>11</v>
      </c>
      <c r="D1113" t="s">
        <v>12</v>
      </c>
      <c r="E1113" t="s">
        <v>391</v>
      </c>
      <c r="H1113" t="s">
        <v>392</v>
      </c>
      <c r="I1113" t="s">
        <v>1448</v>
      </c>
      <c r="L1113" t="s">
        <v>394</v>
      </c>
      <c r="M1113" t="s">
        <v>1436</v>
      </c>
    </row>
    <row r="1114" spans="1:13" x14ac:dyDescent="0.3">
      <c r="A1114" t="s">
        <v>1433</v>
      </c>
      <c r="B1114" t="s">
        <v>1170</v>
      </c>
      <c r="C1114" t="s">
        <v>11</v>
      </c>
      <c r="D1114" t="s">
        <v>12</v>
      </c>
      <c r="E1114" t="s">
        <v>391</v>
      </c>
      <c r="H1114" t="s">
        <v>392</v>
      </c>
      <c r="I1114" t="s">
        <v>1449</v>
      </c>
      <c r="L1114" t="s">
        <v>394</v>
      </c>
      <c r="M1114" t="s">
        <v>1436</v>
      </c>
    </row>
    <row r="1115" spans="1:13" x14ac:dyDescent="0.3">
      <c r="A1115" t="s">
        <v>1432</v>
      </c>
      <c r="B1115" t="s">
        <v>1167</v>
      </c>
      <c r="C1115" t="s">
        <v>11</v>
      </c>
      <c r="D1115" t="s">
        <v>12</v>
      </c>
      <c r="E1115" t="s">
        <v>391</v>
      </c>
      <c r="H1115" t="s">
        <v>392</v>
      </c>
      <c r="I1115" t="s">
        <v>1450</v>
      </c>
      <c r="L1115" t="s">
        <v>394</v>
      </c>
      <c r="M1115" t="s">
        <v>1436</v>
      </c>
    </row>
    <row r="1116" spans="1:13" x14ac:dyDescent="0.3">
      <c r="A1116" t="s">
        <v>1434</v>
      </c>
      <c r="B1116" t="s">
        <v>1173</v>
      </c>
      <c r="C1116" t="s">
        <v>11</v>
      </c>
      <c r="D1116" t="s">
        <v>12</v>
      </c>
      <c r="E1116" t="s">
        <v>391</v>
      </c>
      <c r="H1116" t="s">
        <v>392</v>
      </c>
      <c r="I1116" t="s">
        <v>1451</v>
      </c>
      <c r="L1116" t="s">
        <v>394</v>
      </c>
      <c r="M1116" t="s">
        <v>1436</v>
      </c>
    </row>
    <row r="1117" spans="1:13" x14ac:dyDescent="0.3">
      <c r="A1117" t="s">
        <v>1419</v>
      </c>
      <c r="B1117" t="s">
        <v>1134</v>
      </c>
      <c r="C1117" t="s">
        <v>11</v>
      </c>
      <c r="D1117" t="s">
        <v>12</v>
      </c>
      <c r="E1117" t="s">
        <v>391</v>
      </c>
      <c r="H1117" t="s">
        <v>392</v>
      </c>
      <c r="I1117" t="s">
        <v>1452</v>
      </c>
      <c r="L1117" t="s">
        <v>394</v>
      </c>
      <c r="M1117" t="s">
        <v>1436</v>
      </c>
    </row>
    <row r="1118" spans="1:13" x14ac:dyDescent="0.3">
      <c r="A1118" t="s">
        <v>1421</v>
      </c>
      <c r="B1118" t="s">
        <v>1138</v>
      </c>
      <c r="C1118" t="s">
        <v>11</v>
      </c>
      <c r="D1118" t="s">
        <v>12</v>
      </c>
      <c r="E1118" t="s">
        <v>391</v>
      </c>
      <c r="H1118" t="s">
        <v>392</v>
      </c>
      <c r="I1118" t="s">
        <v>1453</v>
      </c>
      <c r="L1118" t="s">
        <v>394</v>
      </c>
      <c r="M1118" t="s">
        <v>1436</v>
      </c>
    </row>
    <row r="1119" spans="1:13" x14ac:dyDescent="0.3">
      <c r="A1119" t="s">
        <v>1454</v>
      </c>
      <c r="B1119" t="s">
        <v>1130</v>
      </c>
      <c r="C1119" t="s">
        <v>308</v>
      </c>
      <c r="D1119" t="s">
        <v>1455</v>
      </c>
      <c r="E1119" t="s">
        <v>1132</v>
      </c>
      <c r="H1119" t="s">
        <v>25</v>
      </c>
      <c r="I1119" t="s">
        <v>320</v>
      </c>
      <c r="L1119" t="s">
        <v>312</v>
      </c>
      <c r="M1119" t="s">
        <v>313</v>
      </c>
    </row>
    <row r="1120" spans="1:13" x14ac:dyDescent="0.3">
      <c r="A1120" t="s">
        <v>1454</v>
      </c>
      <c r="B1120" t="s">
        <v>1130</v>
      </c>
      <c r="C1120" t="s">
        <v>308</v>
      </c>
      <c r="D1120" t="s">
        <v>1456</v>
      </c>
      <c r="E1120" t="s">
        <v>1134</v>
      </c>
      <c r="H1120" t="s">
        <v>25</v>
      </c>
      <c r="I1120" t="s">
        <v>323</v>
      </c>
      <c r="L1120" t="s">
        <v>312</v>
      </c>
      <c r="M1120" t="s">
        <v>317</v>
      </c>
    </row>
    <row r="1121" spans="1:13" x14ac:dyDescent="0.3">
      <c r="A1121" t="s">
        <v>1454</v>
      </c>
      <c r="B1121" t="s">
        <v>1130</v>
      </c>
      <c r="C1121" t="s">
        <v>308</v>
      </c>
      <c r="D1121" t="s">
        <v>1457</v>
      </c>
      <c r="E1121" t="s">
        <v>345</v>
      </c>
      <c r="H1121" t="s">
        <v>25</v>
      </c>
      <c r="I1121" t="s">
        <v>1136</v>
      </c>
      <c r="L1121" t="s">
        <v>312</v>
      </c>
      <c r="M1121" t="s">
        <v>313</v>
      </c>
    </row>
    <row r="1122" spans="1:13" x14ac:dyDescent="0.3">
      <c r="A1122" t="s">
        <v>1454</v>
      </c>
      <c r="B1122" t="s">
        <v>1130</v>
      </c>
      <c r="C1122" t="s">
        <v>308</v>
      </c>
      <c r="D1122" t="s">
        <v>1458</v>
      </c>
      <c r="E1122" t="s">
        <v>1138</v>
      </c>
      <c r="H1122" t="s">
        <v>25</v>
      </c>
      <c r="I1122" t="s">
        <v>1139</v>
      </c>
      <c r="L1122" t="s">
        <v>312</v>
      </c>
      <c r="M1122" t="s">
        <v>317</v>
      </c>
    </row>
    <row r="1123" spans="1:13" x14ac:dyDescent="0.3">
      <c r="A1123" t="s">
        <v>1454</v>
      </c>
      <c r="B1123" t="s">
        <v>1130</v>
      </c>
      <c r="C1123" t="s">
        <v>308</v>
      </c>
      <c r="D1123" t="s">
        <v>1459</v>
      </c>
      <c r="E1123" t="s">
        <v>1141</v>
      </c>
      <c r="H1123" t="s">
        <v>25</v>
      </c>
      <c r="I1123" t="s">
        <v>1142</v>
      </c>
      <c r="L1123" t="s">
        <v>312</v>
      </c>
      <c r="M1123" t="s">
        <v>343</v>
      </c>
    </row>
    <row r="1124" spans="1:13" x14ac:dyDescent="0.3">
      <c r="A1124" t="s">
        <v>1454</v>
      </c>
      <c r="B1124" t="s">
        <v>1130</v>
      </c>
      <c r="C1124" t="s">
        <v>308</v>
      </c>
      <c r="D1124" t="s">
        <v>1460</v>
      </c>
      <c r="E1124" t="s">
        <v>1144</v>
      </c>
      <c r="H1124" t="s">
        <v>25</v>
      </c>
      <c r="I1124" t="s">
        <v>1145</v>
      </c>
      <c r="L1124" t="s">
        <v>312</v>
      </c>
      <c r="M1124" t="s">
        <v>343</v>
      </c>
    </row>
    <row r="1125" spans="1:13" x14ac:dyDescent="0.3">
      <c r="A1125" t="s">
        <v>1454</v>
      </c>
      <c r="B1125" t="s">
        <v>1130</v>
      </c>
      <c r="C1125" t="s">
        <v>308</v>
      </c>
      <c r="D1125" t="s">
        <v>1461</v>
      </c>
      <c r="E1125" t="s">
        <v>484</v>
      </c>
      <c r="H1125" t="s">
        <v>25</v>
      </c>
      <c r="I1125" t="s">
        <v>1147</v>
      </c>
      <c r="L1125" t="s">
        <v>312</v>
      </c>
      <c r="M1125" t="s">
        <v>343</v>
      </c>
    </row>
    <row r="1126" spans="1:13" x14ac:dyDescent="0.3">
      <c r="A1126" t="s">
        <v>1454</v>
      </c>
      <c r="B1126" t="s">
        <v>1130</v>
      </c>
      <c r="C1126" t="s">
        <v>308</v>
      </c>
      <c r="D1126" t="s">
        <v>1462</v>
      </c>
      <c r="E1126" t="s">
        <v>361</v>
      </c>
      <c r="H1126" t="s">
        <v>25</v>
      </c>
      <c r="I1126" t="s">
        <v>1149</v>
      </c>
      <c r="L1126" t="s">
        <v>312</v>
      </c>
      <c r="M1126" t="s">
        <v>343</v>
      </c>
    </row>
    <row r="1127" spans="1:13" x14ac:dyDescent="0.3">
      <c r="A1127" t="s">
        <v>1454</v>
      </c>
      <c r="B1127" t="s">
        <v>1130</v>
      </c>
      <c r="C1127" t="s">
        <v>308</v>
      </c>
      <c r="D1127" t="s">
        <v>1463</v>
      </c>
      <c r="E1127" t="s">
        <v>1151</v>
      </c>
      <c r="H1127" t="s">
        <v>25</v>
      </c>
      <c r="I1127" t="s">
        <v>1152</v>
      </c>
      <c r="L1127" t="s">
        <v>312</v>
      </c>
      <c r="M1127" t="s">
        <v>343</v>
      </c>
    </row>
    <row r="1128" spans="1:13" x14ac:dyDescent="0.3">
      <c r="A1128" t="s">
        <v>1454</v>
      </c>
      <c r="B1128" t="s">
        <v>1130</v>
      </c>
      <c r="C1128" t="s">
        <v>308</v>
      </c>
      <c r="D1128" t="s">
        <v>1464</v>
      </c>
      <c r="E1128" t="s">
        <v>1154</v>
      </c>
      <c r="H1128" t="s">
        <v>25</v>
      </c>
      <c r="I1128" t="s">
        <v>1152</v>
      </c>
      <c r="L1128" t="s">
        <v>312</v>
      </c>
      <c r="M1128" t="s">
        <v>343</v>
      </c>
    </row>
    <row r="1129" spans="1:13" x14ac:dyDescent="0.3">
      <c r="A1129" t="s">
        <v>1454</v>
      </c>
      <c r="B1129" t="s">
        <v>1130</v>
      </c>
      <c r="C1129" t="s">
        <v>308</v>
      </c>
      <c r="D1129" t="s">
        <v>1465</v>
      </c>
      <c r="E1129" t="s">
        <v>1156</v>
      </c>
      <c r="H1129" t="s">
        <v>25</v>
      </c>
      <c r="I1129" t="s">
        <v>1157</v>
      </c>
      <c r="L1129" t="s">
        <v>312</v>
      </c>
      <c r="M1129" t="s">
        <v>343</v>
      </c>
    </row>
    <row r="1130" spans="1:13" x14ac:dyDescent="0.3">
      <c r="A1130" t="s">
        <v>1454</v>
      </c>
      <c r="B1130" t="s">
        <v>1130</v>
      </c>
      <c r="C1130" t="s">
        <v>308</v>
      </c>
      <c r="D1130" t="s">
        <v>1466</v>
      </c>
      <c r="E1130" t="s">
        <v>527</v>
      </c>
      <c r="H1130" t="s">
        <v>25</v>
      </c>
      <c r="I1130" t="s">
        <v>1159</v>
      </c>
      <c r="L1130" t="s">
        <v>312</v>
      </c>
      <c r="M1130" t="s">
        <v>343</v>
      </c>
    </row>
    <row r="1131" spans="1:13" x14ac:dyDescent="0.3">
      <c r="A1131" t="s">
        <v>1454</v>
      </c>
      <c r="B1131" t="s">
        <v>1130</v>
      </c>
      <c r="C1131" t="s">
        <v>308</v>
      </c>
      <c r="D1131" t="s">
        <v>1467</v>
      </c>
      <c r="E1131" t="s">
        <v>1161</v>
      </c>
      <c r="H1131" t="s">
        <v>25</v>
      </c>
      <c r="I1131" t="s">
        <v>1162</v>
      </c>
      <c r="L1131" t="s">
        <v>312</v>
      </c>
      <c r="M1131" t="s">
        <v>343</v>
      </c>
    </row>
    <row r="1132" spans="1:13" x14ac:dyDescent="0.3">
      <c r="A1132" t="s">
        <v>1454</v>
      </c>
      <c r="B1132" t="s">
        <v>1130</v>
      </c>
      <c r="C1132" t="s">
        <v>308</v>
      </c>
      <c r="D1132" t="s">
        <v>1468</v>
      </c>
      <c r="E1132" t="s">
        <v>1164</v>
      </c>
      <c r="H1132" t="s">
        <v>25</v>
      </c>
      <c r="I1132" t="s">
        <v>1165</v>
      </c>
      <c r="L1132" t="s">
        <v>312</v>
      </c>
      <c r="M1132" t="s">
        <v>343</v>
      </c>
    </row>
    <row r="1133" spans="1:13" x14ac:dyDescent="0.3">
      <c r="A1133" t="s">
        <v>1454</v>
      </c>
      <c r="B1133" t="s">
        <v>1130</v>
      </c>
      <c r="C1133" t="s">
        <v>308</v>
      </c>
      <c r="D1133" t="s">
        <v>1469</v>
      </c>
      <c r="E1133" t="s">
        <v>1167</v>
      </c>
      <c r="H1133" t="s">
        <v>25</v>
      </c>
      <c r="I1133" t="s">
        <v>1168</v>
      </c>
      <c r="L1133" t="s">
        <v>312</v>
      </c>
      <c r="M1133" t="s">
        <v>343</v>
      </c>
    </row>
    <row r="1134" spans="1:13" x14ac:dyDescent="0.3">
      <c r="A1134" t="s">
        <v>1454</v>
      </c>
      <c r="B1134" t="s">
        <v>1130</v>
      </c>
      <c r="C1134" t="s">
        <v>308</v>
      </c>
      <c r="D1134" t="s">
        <v>1470</v>
      </c>
      <c r="E1134" t="s">
        <v>1170</v>
      </c>
      <c r="H1134" t="s">
        <v>25</v>
      </c>
      <c r="I1134" t="s">
        <v>1171</v>
      </c>
      <c r="L1134" t="s">
        <v>312</v>
      </c>
      <c r="M1134" t="s">
        <v>343</v>
      </c>
    </row>
    <row r="1135" spans="1:13" x14ac:dyDescent="0.3">
      <c r="A1135" t="s">
        <v>1454</v>
      </c>
      <c r="B1135" t="s">
        <v>1130</v>
      </c>
      <c r="C1135" t="s">
        <v>308</v>
      </c>
      <c r="D1135" t="s">
        <v>1471</v>
      </c>
      <c r="E1135" t="s">
        <v>1173</v>
      </c>
      <c r="H1135" t="s">
        <v>25</v>
      </c>
      <c r="I1135" t="s">
        <v>1174</v>
      </c>
      <c r="L1135" t="s">
        <v>312</v>
      </c>
      <c r="M1135" t="s">
        <v>343</v>
      </c>
    </row>
    <row r="1136" spans="1:13" x14ac:dyDescent="0.3">
      <c r="A1136" t="s">
        <v>1454</v>
      </c>
      <c r="B1136" t="s">
        <v>1130</v>
      </c>
      <c r="C1136" t="s">
        <v>22</v>
      </c>
      <c r="D1136" t="s">
        <v>23</v>
      </c>
      <c r="E1136" t="s">
        <v>28</v>
      </c>
      <c r="F1136" t="s">
        <v>25</v>
      </c>
      <c r="G1136" t="s">
        <v>1472</v>
      </c>
      <c r="J1136" t="s">
        <v>373</v>
      </c>
      <c r="K1136" t="s">
        <v>374</v>
      </c>
    </row>
    <row r="1137" spans="1:13" x14ac:dyDescent="0.3">
      <c r="A1137" t="s">
        <v>1454</v>
      </c>
      <c r="B1137" t="s">
        <v>1130</v>
      </c>
      <c r="C1137" t="s">
        <v>380</v>
      </c>
      <c r="D1137" t="s">
        <v>9</v>
      </c>
      <c r="E1137" t="s">
        <v>10</v>
      </c>
    </row>
    <row r="1138" spans="1:13" x14ac:dyDescent="0.3">
      <c r="A1138" t="s">
        <v>1454</v>
      </c>
      <c r="B1138" t="s">
        <v>1130</v>
      </c>
      <c r="C1138" t="s">
        <v>16</v>
      </c>
      <c r="D1138" t="s">
        <v>1091</v>
      </c>
      <c r="E1138" t="s">
        <v>37</v>
      </c>
    </row>
    <row r="1139" spans="1:13" x14ac:dyDescent="0.3">
      <c r="A1139" t="s">
        <v>1454</v>
      </c>
      <c r="B1139" t="s">
        <v>1130</v>
      </c>
      <c r="C1139" t="s">
        <v>11</v>
      </c>
      <c r="D1139" t="s">
        <v>12</v>
      </c>
      <c r="E1139" t="s">
        <v>13</v>
      </c>
      <c r="H1139" t="s">
        <v>382</v>
      </c>
      <c r="I1139" t="s">
        <v>1473</v>
      </c>
      <c r="L1139" t="s">
        <v>14</v>
      </c>
      <c r="M1139" t="s">
        <v>1473</v>
      </c>
    </row>
    <row r="1140" spans="1:13" x14ac:dyDescent="0.3">
      <c r="A1140" t="s">
        <v>1462</v>
      </c>
      <c r="B1140" t="s">
        <v>361</v>
      </c>
      <c r="C1140" t="s">
        <v>11</v>
      </c>
      <c r="D1140" t="s">
        <v>12</v>
      </c>
      <c r="E1140" t="s">
        <v>391</v>
      </c>
      <c r="H1140" t="s">
        <v>392</v>
      </c>
      <c r="I1140" t="s">
        <v>1474</v>
      </c>
      <c r="L1140" t="s">
        <v>394</v>
      </c>
      <c r="M1140" t="s">
        <v>1473</v>
      </c>
    </row>
    <row r="1141" spans="1:13" x14ac:dyDescent="0.3">
      <c r="A1141" t="s">
        <v>1459</v>
      </c>
      <c r="B1141" t="s">
        <v>484</v>
      </c>
      <c r="C1141" t="s">
        <v>11</v>
      </c>
      <c r="D1141" t="s">
        <v>12</v>
      </c>
      <c r="E1141" t="s">
        <v>391</v>
      </c>
      <c r="H1141" t="s">
        <v>392</v>
      </c>
      <c r="I1141" t="s">
        <v>1475</v>
      </c>
      <c r="L1141" t="s">
        <v>394</v>
      </c>
      <c r="M1141" t="s">
        <v>1473</v>
      </c>
    </row>
    <row r="1142" spans="1:13" x14ac:dyDescent="0.3">
      <c r="A1142" t="s">
        <v>1463</v>
      </c>
      <c r="B1142" t="s">
        <v>1151</v>
      </c>
      <c r="C1142" t="s">
        <v>11</v>
      </c>
      <c r="D1142" t="s">
        <v>12</v>
      </c>
      <c r="E1142" t="s">
        <v>391</v>
      </c>
      <c r="H1142" t="s">
        <v>392</v>
      </c>
      <c r="I1142" t="s">
        <v>1476</v>
      </c>
      <c r="L1142" t="s">
        <v>394</v>
      </c>
      <c r="M1142" t="s">
        <v>1473</v>
      </c>
    </row>
    <row r="1143" spans="1:13" x14ac:dyDescent="0.3">
      <c r="A1143" t="s">
        <v>1464</v>
      </c>
      <c r="B1143" t="s">
        <v>1154</v>
      </c>
      <c r="C1143" t="s">
        <v>11</v>
      </c>
      <c r="D1143" t="s">
        <v>12</v>
      </c>
      <c r="E1143" t="s">
        <v>391</v>
      </c>
      <c r="H1143" t="s">
        <v>392</v>
      </c>
      <c r="I1143" t="s">
        <v>1477</v>
      </c>
      <c r="L1143" t="s">
        <v>394</v>
      </c>
      <c r="M1143" t="s">
        <v>1473</v>
      </c>
    </row>
    <row r="1144" spans="1:13" x14ac:dyDescent="0.3">
      <c r="A1144" t="s">
        <v>1465</v>
      </c>
      <c r="B1144" t="s">
        <v>1156</v>
      </c>
      <c r="C1144" t="s">
        <v>11</v>
      </c>
      <c r="D1144" t="s">
        <v>12</v>
      </c>
      <c r="E1144" t="s">
        <v>391</v>
      </c>
      <c r="H1144" t="s">
        <v>392</v>
      </c>
      <c r="I1144" t="s">
        <v>1478</v>
      </c>
      <c r="L1144" t="s">
        <v>394</v>
      </c>
      <c r="M1144" t="s">
        <v>1473</v>
      </c>
    </row>
    <row r="1145" spans="1:13" x14ac:dyDescent="0.3">
      <c r="A1145" t="s">
        <v>1466</v>
      </c>
      <c r="B1145" t="s">
        <v>550</v>
      </c>
      <c r="C1145" t="s">
        <v>11</v>
      </c>
      <c r="D1145" t="s">
        <v>12</v>
      </c>
      <c r="E1145" t="s">
        <v>391</v>
      </c>
      <c r="H1145" t="s">
        <v>392</v>
      </c>
      <c r="I1145" t="s">
        <v>1479</v>
      </c>
      <c r="L1145" t="s">
        <v>394</v>
      </c>
      <c r="M1145" t="s">
        <v>1473</v>
      </c>
    </row>
    <row r="1146" spans="1:13" x14ac:dyDescent="0.3">
      <c r="A1146" t="s">
        <v>1461</v>
      </c>
      <c r="B1146" t="s">
        <v>1183</v>
      </c>
      <c r="C1146" t="s">
        <v>11</v>
      </c>
      <c r="D1146" t="s">
        <v>12</v>
      </c>
      <c r="E1146" t="s">
        <v>391</v>
      </c>
      <c r="H1146" t="s">
        <v>392</v>
      </c>
      <c r="I1146" t="s">
        <v>1480</v>
      </c>
      <c r="L1146" t="s">
        <v>394</v>
      </c>
      <c r="M1146" t="s">
        <v>1473</v>
      </c>
    </row>
    <row r="1147" spans="1:13" x14ac:dyDescent="0.3">
      <c r="A1147" t="s">
        <v>1467</v>
      </c>
      <c r="B1147" t="s">
        <v>1161</v>
      </c>
      <c r="C1147" t="s">
        <v>11</v>
      </c>
      <c r="D1147" t="s">
        <v>12</v>
      </c>
      <c r="E1147" t="s">
        <v>391</v>
      </c>
      <c r="H1147" t="s">
        <v>392</v>
      </c>
      <c r="I1147" t="s">
        <v>1481</v>
      </c>
      <c r="L1147" t="s">
        <v>394</v>
      </c>
      <c r="M1147" t="s">
        <v>1473</v>
      </c>
    </row>
    <row r="1148" spans="1:13" x14ac:dyDescent="0.3">
      <c r="A1148" t="s">
        <v>1455</v>
      </c>
      <c r="B1148" t="s">
        <v>1132</v>
      </c>
      <c r="C1148" t="s">
        <v>11</v>
      </c>
      <c r="D1148" t="s">
        <v>12</v>
      </c>
      <c r="E1148" t="s">
        <v>391</v>
      </c>
      <c r="H1148" t="s">
        <v>392</v>
      </c>
      <c r="I1148" t="s">
        <v>1482</v>
      </c>
      <c r="L1148" t="s">
        <v>394</v>
      </c>
      <c r="M1148" t="s">
        <v>1473</v>
      </c>
    </row>
    <row r="1149" spans="1:13" x14ac:dyDescent="0.3">
      <c r="A1149" t="s">
        <v>1457</v>
      </c>
      <c r="B1149" t="s">
        <v>345</v>
      </c>
      <c r="C1149" t="s">
        <v>11</v>
      </c>
      <c r="D1149" t="s">
        <v>12</v>
      </c>
      <c r="E1149" t="s">
        <v>391</v>
      </c>
      <c r="H1149" t="s">
        <v>392</v>
      </c>
      <c r="I1149" t="s">
        <v>1483</v>
      </c>
      <c r="L1149" t="s">
        <v>394</v>
      </c>
      <c r="M1149" t="s">
        <v>1473</v>
      </c>
    </row>
    <row r="1150" spans="1:13" x14ac:dyDescent="0.3">
      <c r="A1150" t="s">
        <v>1460</v>
      </c>
      <c r="B1150" t="s">
        <v>1144</v>
      </c>
      <c r="C1150" t="s">
        <v>11</v>
      </c>
      <c r="D1150" t="s">
        <v>12</v>
      </c>
      <c r="E1150" t="s">
        <v>391</v>
      </c>
      <c r="H1150" t="s">
        <v>392</v>
      </c>
      <c r="I1150" t="s">
        <v>1484</v>
      </c>
      <c r="L1150" t="s">
        <v>394</v>
      </c>
      <c r="M1150" t="s">
        <v>1473</v>
      </c>
    </row>
    <row r="1151" spans="1:13" x14ac:dyDescent="0.3">
      <c r="A1151" t="s">
        <v>1468</v>
      </c>
      <c r="B1151" t="s">
        <v>1164</v>
      </c>
      <c r="C1151" t="s">
        <v>11</v>
      </c>
      <c r="D1151" t="s">
        <v>12</v>
      </c>
      <c r="E1151" t="s">
        <v>391</v>
      </c>
      <c r="H1151" t="s">
        <v>392</v>
      </c>
      <c r="I1151" t="s">
        <v>1485</v>
      </c>
      <c r="L1151" t="s">
        <v>394</v>
      </c>
      <c r="M1151" t="s">
        <v>1473</v>
      </c>
    </row>
    <row r="1152" spans="1:13" x14ac:dyDescent="0.3">
      <c r="A1152" t="s">
        <v>1470</v>
      </c>
      <c r="B1152" t="s">
        <v>1170</v>
      </c>
      <c r="C1152" t="s">
        <v>11</v>
      </c>
      <c r="D1152" t="s">
        <v>12</v>
      </c>
      <c r="E1152" t="s">
        <v>391</v>
      </c>
      <c r="H1152" t="s">
        <v>392</v>
      </c>
      <c r="I1152" t="s">
        <v>1486</v>
      </c>
      <c r="L1152" t="s">
        <v>394</v>
      </c>
      <c r="M1152" t="s">
        <v>1473</v>
      </c>
    </row>
    <row r="1153" spans="1:13" x14ac:dyDescent="0.3">
      <c r="A1153" t="s">
        <v>1469</v>
      </c>
      <c r="B1153" t="s">
        <v>1167</v>
      </c>
      <c r="C1153" t="s">
        <v>11</v>
      </c>
      <c r="D1153" t="s">
        <v>12</v>
      </c>
      <c r="E1153" t="s">
        <v>391</v>
      </c>
      <c r="H1153" t="s">
        <v>392</v>
      </c>
      <c r="I1153" t="s">
        <v>1487</v>
      </c>
      <c r="L1153" t="s">
        <v>394</v>
      </c>
      <c r="M1153" t="s">
        <v>1473</v>
      </c>
    </row>
    <row r="1154" spans="1:13" x14ac:dyDescent="0.3">
      <c r="A1154" t="s">
        <v>1471</v>
      </c>
      <c r="B1154" t="s">
        <v>1173</v>
      </c>
      <c r="C1154" t="s">
        <v>11</v>
      </c>
      <c r="D1154" t="s">
        <v>12</v>
      </c>
      <c r="E1154" t="s">
        <v>391</v>
      </c>
      <c r="H1154" t="s">
        <v>392</v>
      </c>
      <c r="I1154" t="s">
        <v>1488</v>
      </c>
      <c r="L1154" t="s">
        <v>394</v>
      </c>
      <c r="M1154" t="s">
        <v>1473</v>
      </c>
    </row>
    <row r="1155" spans="1:13" x14ac:dyDescent="0.3">
      <c r="A1155" t="s">
        <v>1456</v>
      </c>
      <c r="B1155" t="s">
        <v>1134</v>
      </c>
      <c r="C1155" t="s">
        <v>11</v>
      </c>
      <c r="D1155" t="s">
        <v>12</v>
      </c>
      <c r="E1155" t="s">
        <v>391</v>
      </c>
      <c r="H1155" t="s">
        <v>392</v>
      </c>
      <c r="I1155" t="s">
        <v>1489</v>
      </c>
      <c r="L1155" t="s">
        <v>394</v>
      </c>
      <c r="M1155" t="s">
        <v>1473</v>
      </c>
    </row>
    <row r="1156" spans="1:13" x14ac:dyDescent="0.3">
      <c r="A1156" t="s">
        <v>1458</v>
      </c>
      <c r="B1156" t="s">
        <v>1138</v>
      </c>
      <c r="C1156" t="s">
        <v>11</v>
      </c>
      <c r="D1156" t="s">
        <v>12</v>
      </c>
      <c r="E1156" t="s">
        <v>391</v>
      </c>
      <c r="H1156" t="s">
        <v>392</v>
      </c>
      <c r="I1156" t="s">
        <v>1490</v>
      </c>
      <c r="L1156" t="s">
        <v>394</v>
      </c>
      <c r="M1156" t="s">
        <v>1473</v>
      </c>
    </row>
    <row r="1157" spans="1:13" x14ac:dyDescent="0.3">
      <c r="A1157" t="s">
        <v>1491</v>
      </c>
      <c r="B1157" t="s">
        <v>1130</v>
      </c>
      <c r="C1157" t="s">
        <v>308</v>
      </c>
      <c r="D1157" t="s">
        <v>1492</v>
      </c>
      <c r="E1157" t="s">
        <v>1132</v>
      </c>
      <c r="H1157" t="s">
        <v>25</v>
      </c>
      <c r="I1157" t="s">
        <v>320</v>
      </c>
      <c r="L1157" t="s">
        <v>312</v>
      </c>
      <c r="M1157" t="s">
        <v>313</v>
      </c>
    </row>
    <row r="1158" spans="1:13" x14ac:dyDescent="0.3">
      <c r="A1158" t="s">
        <v>1491</v>
      </c>
      <c r="B1158" t="s">
        <v>1130</v>
      </c>
      <c r="C1158" t="s">
        <v>308</v>
      </c>
      <c r="D1158" t="s">
        <v>1493</v>
      </c>
      <c r="E1158" t="s">
        <v>1134</v>
      </c>
      <c r="H1158" t="s">
        <v>25</v>
      </c>
      <c r="I1158" t="s">
        <v>323</v>
      </c>
      <c r="L1158" t="s">
        <v>312</v>
      </c>
      <c r="M1158" t="s">
        <v>317</v>
      </c>
    </row>
    <row r="1159" spans="1:13" x14ac:dyDescent="0.3">
      <c r="A1159" t="s">
        <v>1491</v>
      </c>
      <c r="B1159" t="s">
        <v>1130</v>
      </c>
      <c r="C1159" t="s">
        <v>308</v>
      </c>
      <c r="D1159" t="s">
        <v>1494</v>
      </c>
      <c r="E1159" t="s">
        <v>345</v>
      </c>
      <c r="H1159" t="s">
        <v>25</v>
      </c>
      <c r="I1159" t="s">
        <v>1136</v>
      </c>
      <c r="L1159" t="s">
        <v>312</v>
      </c>
      <c r="M1159" t="s">
        <v>313</v>
      </c>
    </row>
    <row r="1160" spans="1:13" x14ac:dyDescent="0.3">
      <c r="A1160" t="s">
        <v>1491</v>
      </c>
      <c r="B1160" t="s">
        <v>1130</v>
      </c>
      <c r="C1160" t="s">
        <v>308</v>
      </c>
      <c r="D1160" t="s">
        <v>1495</v>
      </c>
      <c r="E1160" t="s">
        <v>1138</v>
      </c>
      <c r="H1160" t="s">
        <v>25</v>
      </c>
      <c r="I1160" t="s">
        <v>1139</v>
      </c>
      <c r="L1160" t="s">
        <v>312</v>
      </c>
      <c r="M1160" t="s">
        <v>317</v>
      </c>
    </row>
    <row r="1161" spans="1:13" x14ac:dyDescent="0.3">
      <c r="A1161" t="s">
        <v>1491</v>
      </c>
      <c r="B1161" t="s">
        <v>1130</v>
      </c>
      <c r="C1161" t="s">
        <v>308</v>
      </c>
      <c r="D1161" t="s">
        <v>1496</v>
      </c>
      <c r="E1161" t="s">
        <v>1141</v>
      </c>
      <c r="H1161" t="s">
        <v>25</v>
      </c>
      <c r="I1161" t="s">
        <v>1142</v>
      </c>
      <c r="L1161" t="s">
        <v>312</v>
      </c>
      <c r="M1161" t="s">
        <v>343</v>
      </c>
    </row>
    <row r="1162" spans="1:13" x14ac:dyDescent="0.3">
      <c r="A1162" t="s">
        <v>1491</v>
      </c>
      <c r="B1162" t="s">
        <v>1130</v>
      </c>
      <c r="C1162" t="s">
        <v>308</v>
      </c>
      <c r="D1162" t="s">
        <v>1497</v>
      </c>
      <c r="E1162" t="s">
        <v>1144</v>
      </c>
      <c r="H1162" t="s">
        <v>25</v>
      </c>
      <c r="I1162" t="s">
        <v>1145</v>
      </c>
      <c r="L1162" t="s">
        <v>312</v>
      </c>
      <c r="M1162" t="s">
        <v>343</v>
      </c>
    </row>
    <row r="1163" spans="1:13" x14ac:dyDescent="0.3">
      <c r="A1163" t="s">
        <v>1491</v>
      </c>
      <c r="B1163" t="s">
        <v>1130</v>
      </c>
      <c r="C1163" t="s">
        <v>308</v>
      </c>
      <c r="D1163" t="s">
        <v>1498</v>
      </c>
      <c r="E1163" t="s">
        <v>484</v>
      </c>
      <c r="H1163" t="s">
        <v>25</v>
      </c>
      <c r="I1163" t="s">
        <v>1147</v>
      </c>
      <c r="L1163" t="s">
        <v>312</v>
      </c>
      <c r="M1163" t="s">
        <v>343</v>
      </c>
    </row>
    <row r="1164" spans="1:13" x14ac:dyDescent="0.3">
      <c r="A1164" t="s">
        <v>1491</v>
      </c>
      <c r="B1164" t="s">
        <v>1130</v>
      </c>
      <c r="C1164" t="s">
        <v>308</v>
      </c>
      <c r="D1164" t="s">
        <v>1499</v>
      </c>
      <c r="E1164" t="s">
        <v>361</v>
      </c>
      <c r="H1164" t="s">
        <v>25</v>
      </c>
      <c r="I1164" t="s">
        <v>1149</v>
      </c>
      <c r="L1164" t="s">
        <v>312</v>
      </c>
      <c r="M1164" t="s">
        <v>343</v>
      </c>
    </row>
    <row r="1165" spans="1:13" x14ac:dyDescent="0.3">
      <c r="A1165" t="s">
        <v>1491</v>
      </c>
      <c r="B1165" t="s">
        <v>1130</v>
      </c>
      <c r="C1165" t="s">
        <v>308</v>
      </c>
      <c r="D1165" t="s">
        <v>1500</v>
      </c>
      <c r="E1165" t="s">
        <v>1151</v>
      </c>
      <c r="H1165" t="s">
        <v>25</v>
      </c>
      <c r="I1165" t="s">
        <v>1152</v>
      </c>
      <c r="L1165" t="s">
        <v>312</v>
      </c>
      <c r="M1165" t="s">
        <v>343</v>
      </c>
    </row>
    <row r="1166" spans="1:13" x14ac:dyDescent="0.3">
      <c r="A1166" t="s">
        <v>1491</v>
      </c>
      <c r="B1166" t="s">
        <v>1130</v>
      </c>
      <c r="C1166" t="s">
        <v>308</v>
      </c>
      <c r="D1166" t="s">
        <v>1501</v>
      </c>
      <c r="E1166" t="s">
        <v>1154</v>
      </c>
      <c r="H1166" t="s">
        <v>25</v>
      </c>
      <c r="I1166" t="s">
        <v>1152</v>
      </c>
      <c r="L1166" t="s">
        <v>312</v>
      </c>
      <c r="M1166" t="s">
        <v>343</v>
      </c>
    </row>
    <row r="1167" spans="1:13" x14ac:dyDescent="0.3">
      <c r="A1167" t="s">
        <v>1491</v>
      </c>
      <c r="B1167" t="s">
        <v>1130</v>
      </c>
      <c r="C1167" t="s">
        <v>308</v>
      </c>
      <c r="D1167" t="s">
        <v>1502</v>
      </c>
      <c r="E1167" t="s">
        <v>1156</v>
      </c>
      <c r="H1167" t="s">
        <v>25</v>
      </c>
      <c r="I1167" t="s">
        <v>1157</v>
      </c>
      <c r="L1167" t="s">
        <v>312</v>
      </c>
      <c r="M1167" t="s">
        <v>343</v>
      </c>
    </row>
    <row r="1168" spans="1:13" x14ac:dyDescent="0.3">
      <c r="A1168" t="s">
        <v>1491</v>
      </c>
      <c r="B1168" t="s">
        <v>1130</v>
      </c>
      <c r="C1168" t="s">
        <v>308</v>
      </c>
      <c r="D1168" t="s">
        <v>1503</v>
      </c>
      <c r="E1168" t="s">
        <v>527</v>
      </c>
      <c r="H1168" t="s">
        <v>25</v>
      </c>
      <c r="I1168" t="s">
        <v>1159</v>
      </c>
      <c r="L1168" t="s">
        <v>312</v>
      </c>
      <c r="M1168" t="s">
        <v>343</v>
      </c>
    </row>
    <row r="1169" spans="1:13" x14ac:dyDescent="0.3">
      <c r="A1169" t="s">
        <v>1491</v>
      </c>
      <c r="B1169" t="s">
        <v>1130</v>
      </c>
      <c r="C1169" t="s">
        <v>308</v>
      </c>
      <c r="D1169" t="s">
        <v>1504</v>
      </c>
      <c r="E1169" t="s">
        <v>1161</v>
      </c>
      <c r="H1169" t="s">
        <v>25</v>
      </c>
      <c r="I1169" t="s">
        <v>1162</v>
      </c>
      <c r="L1169" t="s">
        <v>312</v>
      </c>
      <c r="M1169" t="s">
        <v>343</v>
      </c>
    </row>
    <row r="1170" spans="1:13" x14ac:dyDescent="0.3">
      <c r="A1170" t="s">
        <v>1491</v>
      </c>
      <c r="B1170" t="s">
        <v>1130</v>
      </c>
      <c r="C1170" t="s">
        <v>308</v>
      </c>
      <c r="D1170" t="s">
        <v>1505</v>
      </c>
      <c r="E1170" t="s">
        <v>1164</v>
      </c>
      <c r="H1170" t="s">
        <v>25</v>
      </c>
      <c r="I1170" t="s">
        <v>1165</v>
      </c>
      <c r="L1170" t="s">
        <v>312</v>
      </c>
      <c r="M1170" t="s">
        <v>343</v>
      </c>
    </row>
    <row r="1171" spans="1:13" x14ac:dyDescent="0.3">
      <c r="A1171" t="s">
        <v>1491</v>
      </c>
      <c r="B1171" t="s">
        <v>1130</v>
      </c>
      <c r="C1171" t="s">
        <v>308</v>
      </c>
      <c r="D1171" t="s">
        <v>1506</v>
      </c>
      <c r="E1171" t="s">
        <v>1167</v>
      </c>
      <c r="H1171" t="s">
        <v>25</v>
      </c>
      <c r="I1171" t="s">
        <v>1168</v>
      </c>
      <c r="L1171" t="s">
        <v>312</v>
      </c>
      <c r="M1171" t="s">
        <v>343</v>
      </c>
    </row>
    <row r="1172" spans="1:13" x14ac:dyDescent="0.3">
      <c r="A1172" t="s">
        <v>1491</v>
      </c>
      <c r="B1172" t="s">
        <v>1130</v>
      </c>
      <c r="C1172" t="s">
        <v>308</v>
      </c>
      <c r="D1172" t="s">
        <v>1507</v>
      </c>
      <c r="E1172" t="s">
        <v>1170</v>
      </c>
      <c r="H1172" t="s">
        <v>25</v>
      </c>
      <c r="I1172" t="s">
        <v>1171</v>
      </c>
      <c r="L1172" t="s">
        <v>312</v>
      </c>
      <c r="M1172" t="s">
        <v>343</v>
      </c>
    </row>
    <row r="1173" spans="1:13" x14ac:dyDescent="0.3">
      <c r="A1173" t="s">
        <v>1491</v>
      </c>
      <c r="B1173" t="s">
        <v>1130</v>
      </c>
      <c r="C1173" t="s">
        <v>308</v>
      </c>
      <c r="D1173" t="s">
        <v>1508</v>
      </c>
      <c r="E1173" t="s">
        <v>1173</v>
      </c>
      <c r="H1173" t="s">
        <v>25</v>
      </c>
      <c r="I1173" t="s">
        <v>1174</v>
      </c>
      <c r="L1173" t="s">
        <v>312</v>
      </c>
      <c r="M1173" t="s">
        <v>343</v>
      </c>
    </row>
    <row r="1174" spans="1:13" x14ac:dyDescent="0.3">
      <c r="A1174" t="s">
        <v>1491</v>
      </c>
      <c r="B1174" t="s">
        <v>1130</v>
      </c>
      <c r="C1174" t="s">
        <v>22</v>
      </c>
      <c r="D1174" t="s">
        <v>23</v>
      </c>
      <c r="E1174" t="s">
        <v>28</v>
      </c>
      <c r="F1174" t="s">
        <v>25</v>
      </c>
      <c r="G1174" t="s">
        <v>1509</v>
      </c>
      <c r="J1174" t="s">
        <v>373</v>
      </c>
      <c r="K1174" t="s">
        <v>374</v>
      </c>
    </row>
    <row r="1175" spans="1:13" x14ac:dyDescent="0.3">
      <c r="A1175" t="s">
        <v>1491</v>
      </c>
      <c r="B1175" t="s">
        <v>1130</v>
      </c>
      <c r="C1175" t="s">
        <v>380</v>
      </c>
      <c r="D1175" t="s">
        <v>9</v>
      </c>
      <c r="E1175" t="s">
        <v>10</v>
      </c>
    </row>
    <row r="1176" spans="1:13" x14ac:dyDescent="0.3">
      <c r="A1176" t="s">
        <v>1491</v>
      </c>
      <c r="B1176" t="s">
        <v>1130</v>
      </c>
      <c r="C1176" t="s">
        <v>16</v>
      </c>
      <c r="D1176" t="s">
        <v>1091</v>
      </c>
      <c r="E1176" t="s">
        <v>37</v>
      </c>
    </row>
    <row r="1177" spans="1:13" x14ac:dyDescent="0.3">
      <c r="A1177" t="s">
        <v>1491</v>
      </c>
      <c r="B1177" t="s">
        <v>1130</v>
      </c>
      <c r="C1177" t="s">
        <v>11</v>
      </c>
      <c r="D1177" t="s">
        <v>12</v>
      </c>
      <c r="E1177" t="s">
        <v>13</v>
      </c>
      <c r="H1177" t="s">
        <v>382</v>
      </c>
      <c r="I1177" t="s">
        <v>1510</v>
      </c>
      <c r="L1177" t="s">
        <v>14</v>
      </c>
      <c r="M1177" t="s">
        <v>1510</v>
      </c>
    </row>
    <row r="1178" spans="1:13" x14ac:dyDescent="0.3">
      <c r="A1178" t="s">
        <v>1499</v>
      </c>
      <c r="B1178" t="s">
        <v>361</v>
      </c>
      <c r="C1178" t="s">
        <v>11</v>
      </c>
      <c r="D1178" t="s">
        <v>12</v>
      </c>
      <c r="E1178" t="s">
        <v>391</v>
      </c>
      <c r="H1178" t="s">
        <v>392</v>
      </c>
      <c r="I1178" t="s">
        <v>1511</v>
      </c>
      <c r="L1178" t="s">
        <v>394</v>
      </c>
      <c r="M1178" t="s">
        <v>1510</v>
      </c>
    </row>
    <row r="1179" spans="1:13" x14ac:dyDescent="0.3">
      <c r="A1179" t="s">
        <v>1496</v>
      </c>
      <c r="B1179" t="s">
        <v>484</v>
      </c>
      <c r="C1179" t="s">
        <v>11</v>
      </c>
      <c r="D1179" t="s">
        <v>12</v>
      </c>
      <c r="E1179" t="s">
        <v>391</v>
      </c>
      <c r="H1179" t="s">
        <v>392</v>
      </c>
      <c r="I1179" t="s">
        <v>1512</v>
      </c>
      <c r="L1179" t="s">
        <v>394</v>
      </c>
      <c r="M1179" t="s">
        <v>1510</v>
      </c>
    </row>
    <row r="1180" spans="1:13" x14ac:dyDescent="0.3">
      <c r="A1180" t="s">
        <v>1500</v>
      </c>
      <c r="B1180" t="s">
        <v>1151</v>
      </c>
      <c r="C1180" t="s">
        <v>11</v>
      </c>
      <c r="D1180" t="s">
        <v>12</v>
      </c>
      <c r="E1180" t="s">
        <v>391</v>
      </c>
      <c r="H1180" t="s">
        <v>392</v>
      </c>
      <c r="I1180" t="s">
        <v>1513</v>
      </c>
      <c r="L1180" t="s">
        <v>394</v>
      </c>
      <c r="M1180" t="s">
        <v>1510</v>
      </c>
    </row>
    <row r="1181" spans="1:13" x14ac:dyDescent="0.3">
      <c r="A1181" t="s">
        <v>1501</v>
      </c>
      <c r="B1181" t="s">
        <v>1154</v>
      </c>
      <c r="C1181" t="s">
        <v>11</v>
      </c>
      <c r="D1181" t="s">
        <v>12</v>
      </c>
      <c r="E1181" t="s">
        <v>391</v>
      </c>
      <c r="H1181" t="s">
        <v>392</v>
      </c>
      <c r="I1181" t="s">
        <v>1514</v>
      </c>
      <c r="L1181" t="s">
        <v>394</v>
      </c>
      <c r="M1181" t="s">
        <v>1510</v>
      </c>
    </row>
    <row r="1182" spans="1:13" x14ac:dyDescent="0.3">
      <c r="A1182" t="s">
        <v>1502</v>
      </c>
      <c r="B1182" t="s">
        <v>1156</v>
      </c>
      <c r="C1182" t="s">
        <v>11</v>
      </c>
      <c r="D1182" t="s">
        <v>12</v>
      </c>
      <c r="E1182" t="s">
        <v>391</v>
      </c>
      <c r="H1182" t="s">
        <v>392</v>
      </c>
      <c r="I1182" t="s">
        <v>1515</v>
      </c>
      <c r="L1182" t="s">
        <v>394</v>
      </c>
      <c r="M1182" t="s">
        <v>1510</v>
      </c>
    </row>
    <row r="1183" spans="1:13" x14ac:dyDescent="0.3">
      <c r="A1183" t="s">
        <v>1503</v>
      </c>
      <c r="B1183" t="s">
        <v>550</v>
      </c>
      <c r="C1183" t="s">
        <v>11</v>
      </c>
      <c r="D1183" t="s">
        <v>12</v>
      </c>
      <c r="E1183" t="s">
        <v>391</v>
      </c>
      <c r="H1183" t="s">
        <v>392</v>
      </c>
      <c r="I1183" t="s">
        <v>1516</v>
      </c>
      <c r="L1183" t="s">
        <v>394</v>
      </c>
      <c r="M1183" t="s">
        <v>1510</v>
      </c>
    </row>
    <row r="1184" spans="1:13" x14ac:dyDescent="0.3">
      <c r="A1184" t="s">
        <v>1498</v>
      </c>
      <c r="B1184" t="s">
        <v>1183</v>
      </c>
      <c r="C1184" t="s">
        <v>11</v>
      </c>
      <c r="D1184" t="s">
        <v>12</v>
      </c>
      <c r="E1184" t="s">
        <v>391</v>
      </c>
      <c r="H1184" t="s">
        <v>392</v>
      </c>
      <c r="I1184" t="s">
        <v>1517</v>
      </c>
      <c r="L1184" t="s">
        <v>394</v>
      </c>
      <c r="M1184" t="s">
        <v>1510</v>
      </c>
    </row>
    <row r="1185" spans="1:13" x14ac:dyDescent="0.3">
      <c r="A1185" t="s">
        <v>1504</v>
      </c>
      <c r="B1185" t="s">
        <v>1161</v>
      </c>
      <c r="C1185" t="s">
        <v>11</v>
      </c>
      <c r="D1185" t="s">
        <v>12</v>
      </c>
      <c r="E1185" t="s">
        <v>391</v>
      </c>
      <c r="H1185" t="s">
        <v>392</v>
      </c>
      <c r="I1185" t="s">
        <v>1518</v>
      </c>
      <c r="L1185" t="s">
        <v>394</v>
      </c>
      <c r="M1185" t="s">
        <v>1510</v>
      </c>
    </row>
    <row r="1186" spans="1:13" x14ac:dyDescent="0.3">
      <c r="A1186" t="s">
        <v>1492</v>
      </c>
      <c r="B1186" t="s">
        <v>1132</v>
      </c>
      <c r="C1186" t="s">
        <v>11</v>
      </c>
      <c r="D1186" t="s">
        <v>12</v>
      </c>
      <c r="E1186" t="s">
        <v>391</v>
      </c>
      <c r="H1186" t="s">
        <v>392</v>
      </c>
      <c r="I1186" t="s">
        <v>1519</v>
      </c>
      <c r="L1186" t="s">
        <v>394</v>
      </c>
      <c r="M1186" t="s">
        <v>1510</v>
      </c>
    </row>
    <row r="1187" spans="1:13" x14ac:dyDescent="0.3">
      <c r="A1187" t="s">
        <v>1494</v>
      </c>
      <c r="B1187" t="s">
        <v>345</v>
      </c>
      <c r="C1187" t="s">
        <v>11</v>
      </c>
      <c r="D1187" t="s">
        <v>12</v>
      </c>
      <c r="E1187" t="s">
        <v>391</v>
      </c>
      <c r="H1187" t="s">
        <v>392</v>
      </c>
      <c r="I1187" t="s">
        <v>1520</v>
      </c>
      <c r="L1187" t="s">
        <v>394</v>
      </c>
      <c r="M1187" t="s">
        <v>1510</v>
      </c>
    </row>
    <row r="1188" spans="1:13" x14ac:dyDescent="0.3">
      <c r="A1188" t="s">
        <v>1497</v>
      </c>
      <c r="B1188" t="s">
        <v>1144</v>
      </c>
      <c r="C1188" t="s">
        <v>11</v>
      </c>
      <c r="D1188" t="s">
        <v>12</v>
      </c>
      <c r="E1188" t="s">
        <v>391</v>
      </c>
      <c r="H1188" t="s">
        <v>392</v>
      </c>
      <c r="I1188" t="s">
        <v>1521</v>
      </c>
      <c r="L1188" t="s">
        <v>394</v>
      </c>
      <c r="M1188" t="s">
        <v>1510</v>
      </c>
    </row>
    <row r="1189" spans="1:13" x14ac:dyDescent="0.3">
      <c r="A1189" t="s">
        <v>1505</v>
      </c>
      <c r="B1189" t="s">
        <v>1164</v>
      </c>
      <c r="C1189" t="s">
        <v>11</v>
      </c>
      <c r="D1189" t="s">
        <v>12</v>
      </c>
      <c r="E1189" t="s">
        <v>391</v>
      </c>
      <c r="H1189" t="s">
        <v>392</v>
      </c>
      <c r="I1189" t="s">
        <v>1522</v>
      </c>
      <c r="L1189" t="s">
        <v>394</v>
      </c>
      <c r="M1189" t="s">
        <v>1510</v>
      </c>
    </row>
    <row r="1190" spans="1:13" x14ac:dyDescent="0.3">
      <c r="A1190" t="s">
        <v>1507</v>
      </c>
      <c r="B1190" t="s">
        <v>1170</v>
      </c>
      <c r="C1190" t="s">
        <v>11</v>
      </c>
      <c r="D1190" t="s">
        <v>12</v>
      </c>
      <c r="E1190" t="s">
        <v>391</v>
      </c>
      <c r="H1190" t="s">
        <v>392</v>
      </c>
      <c r="I1190" t="s">
        <v>1523</v>
      </c>
      <c r="L1190" t="s">
        <v>394</v>
      </c>
      <c r="M1190" t="s">
        <v>1510</v>
      </c>
    </row>
    <row r="1191" spans="1:13" x14ac:dyDescent="0.3">
      <c r="A1191" t="s">
        <v>1506</v>
      </c>
      <c r="B1191" t="s">
        <v>1167</v>
      </c>
      <c r="C1191" t="s">
        <v>11</v>
      </c>
      <c r="D1191" t="s">
        <v>12</v>
      </c>
      <c r="E1191" t="s">
        <v>391</v>
      </c>
      <c r="H1191" t="s">
        <v>392</v>
      </c>
      <c r="I1191" t="s">
        <v>1524</v>
      </c>
      <c r="L1191" t="s">
        <v>394</v>
      </c>
      <c r="M1191" t="s">
        <v>1510</v>
      </c>
    </row>
    <row r="1192" spans="1:13" x14ac:dyDescent="0.3">
      <c r="A1192" t="s">
        <v>1508</v>
      </c>
      <c r="B1192" t="s">
        <v>1173</v>
      </c>
      <c r="C1192" t="s">
        <v>11</v>
      </c>
      <c r="D1192" t="s">
        <v>12</v>
      </c>
      <c r="E1192" t="s">
        <v>391</v>
      </c>
      <c r="H1192" t="s">
        <v>392</v>
      </c>
      <c r="I1192" t="s">
        <v>1525</v>
      </c>
      <c r="L1192" t="s">
        <v>394</v>
      </c>
      <c r="M1192" t="s">
        <v>1510</v>
      </c>
    </row>
    <row r="1193" spans="1:13" x14ac:dyDescent="0.3">
      <c r="A1193" t="s">
        <v>1493</v>
      </c>
      <c r="B1193" t="s">
        <v>1134</v>
      </c>
      <c r="C1193" t="s">
        <v>11</v>
      </c>
      <c r="D1193" t="s">
        <v>12</v>
      </c>
      <c r="E1193" t="s">
        <v>391</v>
      </c>
      <c r="H1193" t="s">
        <v>392</v>
      </c>
      <c r="I1193" t="s">
        <v>1526</v>
      </c>
      <c r="L1193" t="s">
        <v>394</v>
      </c>
      <c r="M1193" t="s">
        <v>1510</v>
      </c>
    </row>
    <row r="1194" spans="1:13" x14ac:dyDescent="0.3">
      <c r="A1194" t="s">
        <v>1495</v>
      </c>
      <c r="B1194" t="s">
        <v>1138</v>
      </c>
      <c r="C1194" t="s">
        <v>11</v>
      </c>
      <c r="D1194" t="s">
        <v>12</v>
      </c>
      <c r="E1194" t="s">
        <v>391</v>
      </c>
      <c r="H1194" t="s">
        <v>392</v>
      </c>
      <c r="I1194" t="s">
        <v>1527</v>
      </c>
      <c r="L1194" t="s">
        <v>394</v>
      </c>
      <c r="M1194" t="s">
        <v>1510</v>
      </c>
    </row>
    <row r="1195" spans="1:13" x14ac:dyDescent="0.3">
      <c r="A1195" t="s">
        <v>1528</v>
      </c>
      <c r="B1195" t="s">
        <v>1130</v>
      </c>
      <c r="C1195" t="s">
        <v>308</v>
      </c>
      <c r="D1195" t="s">
        <v>1529</v>
      </c>
      <c r="E1195" t="s">
        <v>1132</v>
      </c>
      <c r="H1195" t="s">
        <v>25</v>
      </c>
      <c r="I1195" t="s">
        <v>320</v>
      </c>
      <c r="L1195" t="s">
        <v>312</v>
      </c>
      <c r="M1195" t="s">
        <v>313</v>
      </c>
    </row>
    <row r="1196" spans="1:13" x14ac:dyDescent="0.3">
      <c r="A1196" t="s">
        <v>1528</v>
      </c>
      <c r="B1196" t="s">
        <v>1130</v>
      </c>
      <c r="C1196" t="s">
        <v>308</v>
      </c>
      <c r="D1196" t="s">
        <v>1530</v>
      </c>
      <c r="E1196" t="s">
        <v>1134</v>
      </c>
      <c r="H1196" t="s">
        <v>25</v>
      </c>
      <c r="I1196" t="s">
        <v>323</v>
      </c>
      <c r="L1196" t="s">
        <v>312</v>
      </c>
      <c r="M1196" t="s">
        <v>317</v>
      </c>
    </row>
    <row r="1197" spans="1:13" x14ac:dyDescent="0.3">
      <c r="A1197" t="s">
        <v>1528</v>
      </c>
      <c r="B1197" t="s">
        <v>1130</v>
      </c>
      <c r="C1197" t="s">
        <v>308</v>
      </c>
      <c r="D1197" t="s">
        <v>1531</v>
      </c>
      <c r="E1197" t="s">
        <v>345</v>
      </c>
      <c r="H1197" t="s">
        <v>25</v>
      </c>
      <c r="I1197" t="s">
        <v>1136</v>
      </c>
      <c r="L1197" t="s">
        <v>312</v>
      </c>
      <c r="M1197" t="s">
        <v>313</v>
      </c>
    </row>
    <row r="1198" spans="1:13" x14ac:dyDescent="0.3">
      <c r="A1198" t="s">
        <v>1528</v>
      </c>
      <c r="B1198" t="s">
        <v>1130</v>
      </c>
      <c r="C1198" t="s">
        <v>308</v>
      </c>
      <c r="D1198" t="s">
        <v>1532</v>
      </c>
      <c r="E1198" t="s">
        <v>1138</v>
      </c>
      <c r="H1198" t="s">
        <v>25</v>
      </c>
      <c r="I1198" t="s">
        <v>1139</v>
      </c>
      <c r="L1198" t="s">
        <v>312</v>
      </c>
      <c r="M1198" t="s">
        <v>317</v>
      </c>
    </row>
    <row r="1199" spans="1:13" x14ac:dyDescent="0.3">
      <c r="A1199" t="s">
        <v>1528</v>
      </c>
      <c r="B1199" t="s">
        <v>1130</v>
      </c>
      <c r="C1199" t="s">
        <v>308</v>
      </c>
      <c r="D1199" t="s">
        <v>1533</v>
      </c>
      <c r="E1199" t="s">
        <v>1141</v>
      </c>
      <c r="H1199" t="s">
        <v>25</v>
      </c>
      <c r="I1199" t="s">
        <v>1142</v>
      </c>
      <c r="L1199" t="s">
        <v>312</v>
      </c>
      <c r="M1199" t="s">
        <v>343</v>
      </c>
    </row>
    <row r="1200" spans="1:13" x14ac:dyDescent="0.3">
      <c r="A1200" t="s">
        <v>1528</v>
      </c>
      <c r="B1200" t="s">
        <v>1130</v>
      </c>
      <c r="C1200" t="s">
        <v>308</v>
      </c>
      <c r="D1200" t="s">
        <v>1534</v>
      </c>
      <c r="E1200" t="s">
        <v>1144</v>
      </c>
      <c r="H1200" t="s">
        <v>25</v>
      </c>
      <c r="I1200" t="s">
        <v>1145</v>
      </c>
      <c r="L1200" t="s">
        <v>312</v>
      </c>
      <c r="M1200" t="s">
        <v>343</v>
      </c>
    </row>
    <row r="1201" spans="1:13" x14ac:dyDescent="0.3">
      <c r="A1201" t="s">
        <v>1528</v>
      </c>
      <c r="B1201" t="s">
        <v>1130</v>
      </c>
      <c r="C1201" t="s">
        <v>308</v>
      </c>
      <c r="D1201" t="s">
        <v>1535</v>
      </c>
      <c r="E1201" t="s">
        <v>484</v>
      </c>
      <c r="H1201" t="s">
        <v>25</v>
      </c>
      <c r="I1201" t="s">
        <v>1147</v>
      </c>
      <c r="L1201" t="s">
        <v>312</v>
      </c>
      <c r="M1201" t="s">
        <v>343</v>
      </c>
    </row>
    <row r="1202" spans="1:13" x14ac:dyDescent="0.3">
      <c r="A1202" t="s">
        <v>1528</v>
      </c>
      <c r="B1202" t="s">
        <v>1130</v>
      </c>
      <c r="C1202" t="s">
        <v>308</v>
      </c>
      <c r="D1202" t="s">
        <v>1536</v>
      </c>
      <c r="E1202" t="s">
        <v>361</v>
      </c>
      <c r="H1202" t="s">
        <v>25</v>
      </c>
      <c r="I1202" t="s">
        <v>1149</v>
      </c>
      <c r="L1202" t="s">
        <v>312</v>
      </c>
      <c r="M1202" t="s">
        <v>343</v>
      </c>
    </row>
    <row r="1203" spans="1:13" x14ac:dyDescent="0.3">
      <c r="A1203" t="s">
        <v>1528</v>
      </c>
      <c r="B1203" t="s">
        <v>1130</v>
      </c>
      <c r="C1203" t="s">
        <v>308</v>
      </c>
      <c r="D1203" t="s">
        <v>1537</v>
      </c>
      <c r="E1203" t="s">
        <v>1151</v>
      </c>
      <c r="H1203" t="s">
        <v>25</v>
      </c>
      <c r="I1203" t="s">
        <v>1152</v>
      </c>
      <c r="L1203" t="s">
        <v>312</v>
      </c>
      <c r="M1203" t="s">
        <v>343</v>
      </c>
    </row>
    <row r="1204" spans="1:13" x14ac:dyDescent="0.3">
      <c r="A1204" t="s">
        <v>1528</v>
      </c>
      <c r="B1204" t="s">
        <v>1130</v>
      </c>
      <c r="C1204" t="s">
        <v>308</v>
      </c>
      <c r="D1204" t="s">
        <v>1538</v>
      </c>
      <c r="E1204" t="s">
        <v>1154</v>
      </c>
      <c r="H1204" t="s">
        <v>25</v>
      </c>
      <c r="I1204" t="s">
        <v>1152</v>
      </c>
      <c r="L1204" t="s">
        <v>312</v>
      </c>
      <c r="M1204" t="s">
        <v>343</v>
      </c>
    </row>
    <row r="1205" spans="1:13" x14ac:dyDescent="0.3">
      <c r="A1205" t="s">
        <v>1528</v>
      </c>
      <c r="B1205" t="s">
        <v>1130</v>
      </c>
      <c r="C1205" t="s">
        <v>308</v>
      </c>
      <c r="D1205" t="s">
        <v>1539</v>
      </c>
      <c r="E1205" t="s">
        <v>1156</v>
      </c>
      <c r="H1205" t="s">
        <v>25</v>
      </c>
      <c r="I1205" t="s">
        <v>1157</v>
      </c>
      <c r="L1205" t="s">
        <v>312</v>
      </c>
      <c r="M1205" t="s">
        <v>343</v>
      </c>
    </row>
    <row r="1206" spans="1:13" x14ac:dyDescent="0.3">
      <c r="A1206" t="s">
        <v>1528</v>
      </c>
      <c r="B1206" t="s">
        <v>1130</v>
      </c>
      <c r="C1206" t="s">
        <v>308</v>
      </c>
      <c r="D1206" t="s">
        <v>1540</v>
      </c>
      <c r="E1206" t="s">
        <v>527</v>
      </c>
      <c r="H1206" t="s">
        <v>25</v>
      </c>
      <c r="I1206" t="s">
        <v>1159</v>
      </c>
      <c r="L1206" t="s">
        <v>312</v>
      </c>
      <c r="M1206" t="s">
        <v>343</v>
      </c>
    </row>
    <row r="1207" spans="1:13" x14ac:dyDescent="0.3">
      <c r="A1207" t="s">
        <v>1528</v>
      </c>
      <c r="B1207" t="s">
        <v>1130</v>
      </c>
      <c r="C1207" t="s">
        <v>308</v>
      </c>
      <c r="D1207" t="s">
        <v>1541</v>
      </c>
      <c r="E1207" t="s">
        <v>1161</v>
      </c>
      <c r="H1207" t="s">
        <v>25</v>
      </c>
      <c r="I1207" t="s">
        <v>1162</v>
      </c>
      <c r="L1207" t="s">
        <v>312</v>
      </c>
      <c r="M1207" t="s">
        <v>343</v>
      </c>
    </row>
    <row r="1208" spans="1:13" x14ac:dyDescent="0.3">
      <c r="A1208" t="s">
        <v>1528</v>
      </c>
      <c r="B1208" t="s">
        <v>1130</v>
      </c>
      <c r="C1208" t="s">
        <v>308</v>
      </c>
      <c r="D1208" t="s">
        <v>1542</v>
      </c>
      <c r="E1208" t="s">
        <v>1164</v>
      </c>
      <c r="H1208" t="s">
        <v>25</v>
      </c>
      <c r="I1208" t="s">
        <v>1165</v>
      </c>
      <c r="L1208" t="s">
        <v>312</v>
      </c>
      <c r="M1208" t="s">
        <v>343</v>
      </c>
    </row>
    <row r="1209" spans="1:13" x14ac:dyDescent="0.3">
      <c r="A1209" t="s">
        <v>1528</v>
      </c>
      <c r="B1209" t="s">
        <v>1130</v>
      </c>
      <c r="C1209" t="s">
        <v>308</v>
      </c>
      <c r="D1209" t="s">
        <v>1543</v>
      </c>
      <c r="E1209" t="s">
        <v>1167</v>
      </c>
      <c r="H1209" t="s">
        <v>25</v>
      </c>
      <c r="I1209" t="s">
        <v>1168</v>
      </c>
      <c r="L1209" t="s">
        <v>312</v>
      </c>
      <c r="M1209" t="s">
        <v>343</v>
      </c>
    </row>
    <row r="1210" spans="1:13" x14ac:dyDescent="0.3">
      <c r="A1210" t="s">
        <v>1528</v>
      </c>
      <c r="B1210" t="s">
        <v>1130</v>
      </c>
      <c r="C1210" t="s">
        <v>308</v>
      </c>
      <c r="D1210" t="s">
        <v>1544</v>
      </c>
      <c r="E1210" t="s">
        <v>1170</v>
      </c>
      <c r="H1210" t="s">
        <v>25</v>
      </c>
      <c r="I1210" t="s">
        <v>1171</v>
      </c>
      <c r="L1210" t="s">
        <v>312</v>
      </c>
      <c r="M1210" t="s">
        <v>343</v>
      </c>
    </row>
    <row r="1211" spans="1:13" x14ac:dyDescent="0.3">
      <c r="A1211" t="s">
        <v>1528</v>
      </c>
      <c r="B1211" t="s">
        <v>1130</v>
      </c>
      <c r="C1211" t="s">
        <v>308</v>
      </c>
      <c r="D1211" t="s">
        <v>1545</v>
      </c>
      <c r="E1211" t="s">
        <v>1173</v>
      </c>
      <c r="H1211" t="s">
        <v>25</v>
      </c>
      <c r="I1211" t="s">
        <v>1174</v>
      </c>
      <c r="L1211" t="s">
        <v>312</v>
      </c>
      <c r="M1211" t="s">
        <v>343</v>
      </c>
    </row>
    <row r="1212" spans="1:13" x14ac:dyDescent="0.3">
      <c r="A1212" t="s">
        <v>1528</v>
      </c>
      <c r="B1212" t="s">
        <v>1130</v>
      </c>
      <c r="C1212" t="s">
        <v>22</v>
      </c>
      <c r="D1212" t="s">
        <v>23</v>
      </c>
      <c r="E1212" t="s">
        <v>28</v>
      </c>
      <c r="F1212" t="s">
        <v>25</v>
      </c>
      <c r="G1212" t="s">
        <v>1546</v>
      </c>
      <c r="J1212" t="s">
        <v>373</v>
      </c>
      <c r="K1212" t="s">
        <v>374</v>
      </c>
    </row>
    <row r="1213" spans="1:13" x14ac:dyDescent="0.3">
      <c r="A1213" t="s">
        <v>1528</v>
      </c>
      <c r="B1213" t="s">
        <v>1130</v>
      </c>
      <c r="C1213" t="s">
        <v>380</v>
      </c>
      <c r="D1213" t="s">
        <v>9</v>
      </c>
      <c r="E1213" t="s">
        <v>10</v>
      </c>
    </row>
    <row r="1214" spans="1:13" x14ac:dyDescent="0.3">
      <c r="A1214" t="s">
        <v>1528</v>
      </c>
      <c r="B1214" t="s">
        <v>1130</v>
      </c>
      <c r="C1214" t="s">
        <v>16</v>
      </c>
      <c r="D1214" t="s">
        <v>1091</v>
      </c>
      <c r="E1214" t="s">
        <v>37</v>
      </c>
    </row>
    <row r="1215" spans="1:13" x14ac:dyDescent="0.3">
      <c r="A1215" t="s">
        <v>1528</v>
      </c>
      <c r="B1215" t="s">
        <v>1130</v>
      </c>
      <c r="C1215" t="s">
        <v>11</v>
      </c>
      <c r="D1215" t="s">
        <v>12</v>
      </c>
      <c r="E1215" t="s">
        <v>13</v>
      </c>
      <c r="H1215" t="s">
        <v>382</v>
      </c>
      <c r="I1215" t="s">
        <v>1547</v>
      </c>
      <c r="L1215" t="s">
        <v>14</v>
      </c>
      <c r="M1215" t="s">
        <v>1547</v>
      </c>
    </row>
    <row r="1216" spans="1:13" x14ac:dyDescent="0.3">
      <c r="A1216" t="s">
        <v>1536</v>
      </c>
      <c r="B1216" t="s">
        <v>361</v>
      </c>
      <c r="C1216" t="s">
        <v>11</v>
      </c>
      <c r="D1216" t="s">
        <v>12</v>
      </c>
      <c r="E1216" t="s">
        <v>391</v>
      </c>
      <c r="H1216" t="s">
        <v>392</v>
      </c>
      <c r="I1216" t="s">
        <v>1548</v>
      </c>
      <c r="L1216" t="s">
        <v>394</v>
      </c>
      <c r="M1216" t="s">
        <v>1547</v>
      </c>
    </row>
    <row r="1217" spans="1:13" x14ac:dyDescent="0.3">
      <c r="A1217" t="s">
        <v>1533</v>
      </c>
      <c r="B1217" t="s">
        <v>484</v>
      </c>
      <c r="C1217" t="s">
        <v>11</v>
      </c>
      <c r="D1217" t="s">
        <v>12</v>
      </c>
      <c r="E1217" t="s">
        <v>391</v>
      </c>
      <c r="H1217" t="s">
        <v>392</v>
      </c>
      <c r="I1217" t="s">
        <v>1549</v>
      </c>
      <c r="L1217" t="s">
        <v>394</v>
      </c>
      <c r="M1217" t="s">
        <v>1547</v>
      </c>
    </row>
    <row r="1218" spans="1:13" x14ac:dyDescent="0.3">
      <c r="A1218" t="s">
        <v>1537</v>
      </c>
      <c r="B1218" t="s">
        <v>1151</v>
      </c>
      <c r="C1218" t="s">
        <v>11</v>
      </c>
      <c r="D1218" t="s">
        <v>12</v>
      </c>
      <c r="E1218" t="s">
        <v>391</v>
      </c>
      <c r="H1218" t="s">
        <v>392</v>
      </c>
      <c r="I1218" t="s">
        <v>1550</v>
      </c>
      <c r="L1218" t="s">
        <v>394</v>
      </c>
      <c r="M1218" t="s">
        <v>1547</v>
      </c>
    </row>
    <row r="1219" spans="1:13" x14ac:dyDescent="0.3">
      <c r="A1219" t="s">
        <v>1538</v>
      </c>
      <c r="B1219" t="s">
        <v>1154</v>
      </c>
      <c r="C1219" t="s">
        <v>11</v>
      </c>
      <c r="D1219" t="s">
        <v>12</v>
      </c>
      <c r="E1219" t="s">
        <v>391</v>
      </c>
      <c r="H1219" t="s">
        <v>392</v>
      </c>
      <c r="I1219" t="s">
        <v>1551</v>
      </c>
      <c r="L1219" t="s">
        <v>394</v>
      </c>
      <c r="M1219" t="s">
        <v>1547</v>
      </c>
    </row>
    <row r="1220" spans="1:13" x14ac:dyDescent="0.3">
      <c r="A1220" t="s">
        <v>1539</v>
      </c>
      <c r="B1220" t="s">
        <v>1156</v>
      </c>
      <c r="C1220" t="s">
        <v>11</v>
      </c>
      <c r="D1220" t="s">
        <v>12</v>
      </c>
      <c r="E1220" t="s">
        <v>391</v>
      </c>
      <c r="H1220" t="s">
        <v>392</v>
      </c>
      <c r="I1220" t="s">
        <v>1552</v>
      </c>
      <c r="L1220" t="s">
        <v>394</v>
      </c>
      <c r="M1220" t="s">
        <v>1547</v>
      </c>
    </row>
    <row r="1221" spans="1:13" x14ac:dyDescent="0.3">
      <c r="A1221" t="s">
        <v>1540</v>
      </c>
      <c r="B1221" t="s">
        <v>550</v>
      </c>
      <c r="C1221" t="s">
        <v>11</v>
      </c>
      <c r="D1221" t="s">
        <v>12</v>
      </c>
      <c r="E1221" t="s">
        <v>391</v>
      </c>
      <c r="H1221" t="s">
        <v>392</v>
      </c>
      <c r="I1221" t="s">
        <v>1553</v>
      </c>
      <c r="L1221" t="s">
        <v>394</v>
      </c>
      <c r="M1221" t="s">
        <v>1547</v>
      </c>
    </row>
    <row r="1222" spans="1:13" x14ac:dyDescent="0.3">
      <c r="A1222" t="s">
        <v>1535</v>
      </c>
      <c r="B1222" t="s">
        <v>1183</v>
      </c>
      <c r="C1222" t="s">
        <v>11</v>
      </c>
      <c r="D1222" t="s">
        <v>12</v>
      </c>
      <c r="E1222" t="s">
        <v>391</v>
      </c>
      <c r="H1222" t="s">
        <v>392</v>
      </c>
      <c r="I1222" t="s">
        <v>1554</v>
      </c>
      <c r="L1222" t="s">
        <v>394</v>
      </c>
      <c r="M1222" t="s">
        <v>1547</v>
      </c>
    </row>
    <row r="1223" spans="1:13" x14ac:dyDescent="0.3">
      <c r="A1223" t="s">
        <v>1541</v>
      </c>
      <c r="B1223" t="s">
        <v>1161</v>
      </c>
      <c r="C1223" t="s">
        <v>11</v>
      </c>
      <c r="D1223" t="s">
        <v>12</v>
      </c>
      <c r="E1223" t="s">
        <v>391</v>
      </c>
      <c r="H1223" t="s">
        <v>392</v>
      </c>
      <c r="I1223" t="s">
        <v>1555</v>
      </c>
      <c r="L1223" t="s">
        <v>394</v>
      </c>
      <c r="M1223" t="s">
        <v>1547</v>
      </c>
    </row>
    <row r="1224" spans="1:13" x14ac:dyDescent="0.3">
      <c r="A1224" t="s">
        <v>1529</v>
      </c>
      <c r="B1224" t="s">
        <v>1132</v>
      </c>
      <c r="C1224" t="s">
        <v>11</v>
      </c>
      <c r="D1224" t="s">
        <v>12</v>
      </c>
      <c r="E1224" t="s">
        <v>391</v>
      </c>
      <c r="H1224" t="s">
        <v>392</v>
      </c>
      <c r="I1224" t="s">
        <v>1556</v>
      </c>
      <c r="L1224" t="s">
        <v>394</v>
      </c>
      <c r="M1224" t="s">
        <v>1547</v>
      </c>
    </row>
    <row r="1225" spans="1:13" x14ac:dyDescent="0.3">
      <c r="A1225" t="s">
        <v>1531</v>
      </c>
      <c r="B1225" t="s">
        <v>345</v>
      </c>
      <c r="C1225" t="s">
        <v>11</v>
      </c>
      <c r="D1225" t="s">
        <v>12</v>
      </c>
      <c r="E1225" t="s">
        <v>391</v>
      </c>
      <c r="H1225" t="s">
        <v>392</v>
      </c>
      <c r="I1225" t="s">
        <v>1557</v>
      </c>
      <c r="L1225" t="s">
        <v>394</v>
      </c>
      <c r="M1225" t="s">
        <v>1547</v>
      </c>
    </row>
    <row r="1226" spans="1:13" x14ac:dyDescent="0.3">
      <c r="A1226" t="s">
        <v>1534</v>
      </c>
      <c r="B1226" t="s">
        <v>1144</v>
      </c>
      <c r="C1226" t="s">
        <v>11</v>
      </c>
      <c r="D1226" t="s">
        <v>12</v>
      </c>
      <c r="E1226" t="s">
        <v>391</v>
      </c>
      <c r="H1226" t="s">
        <v>392</v>
      </c>
      <c r="I1226" t="s">
        <v>1558</v>
      </c>
      <c r="L1226" t="s">
        <v>394</v>
      </c>
      <c r="M1226" t="s">
        <v>1547</v>
      </c>
    </row>
    <row r="1227" spans="1:13" x14ac:dyDescent="0.3">
      <c r="A1227" t="s">
        <v>1542</v>
      </c>
      <c r="B1227" t="s">
        <v>1164</v>
      </c>
      <c r="C1227" t="s">
        <v>11</v>
      </c>
      <c r="D1227" t="s">
        <v>12</v>
      </c>
      <c r="E1227" t="s">
        <v>391</v>
      </c>
      <c r="H1227" t="s">
        <v>392</v>
      </c>
      <c r="I1227" t="s">
        <v>1559</v>
      </c>
      <c r="L1227" t="s">
        <v>394</v>
      </c>
      <c r="M1227" t="s">
        <v>1547</v>
      </c>
    </row>
    <row r="1228" spans="1:13" x14ac:dyDescent="0.3">
      <c r="A1228" t="s">
        <v>1544</v>
      </c>
      <c r="B1228" t="s">
        <v>1170</v>
      </c>
      <c r="C1228" t="s">
        <v>11</v>
      </c>
      <c r="D1228" t="s">
        <v>12</v>
      </c>
      <c r="E1228" t="s">
        <v>391</v>
      </c>
      <c r="H1228" t="s">
        <v>392</v>
      </c>
      <c r="I1228" t="s">
        <v>1560</v>
      </c>
      <c r="L1228" t="s">
        <v>394</v>
      </c>
      <c r="M1228" t="s">
        <v>1547</v>
      </c>
    </row>
    <row r="1229" spans="1:13" x14ac:dyDescent="0.3">
      <c r="A1229" t="s">
        <v>1543</v>
      </c>
      <c r="B1229" t="s">
        <v>1167</v>
      </c>
      <c r="C1229" t="s">
        <v>11</v>
      </c>
      <c r="D1229" t="s">
        <v>12</v>
      </c>
      <c r="E1229" t="s">
        <v>391</v>
      </c>
      <c r="H1229" t="s">
        <v>392</v>
      </c>
      <c r="I1229" t="s">
        <v>1561</v>
      </c>
      <c r="L1229" t="s">
        <v>394</v>
      </c>
      <c r="M1229" t="s">
        <v>1547</v>
      </c>
    </row>
    <row r="1230" spans="1:13" x14ac:dyDescent="0.3">
      <c r="A1230" t="s">
        <v>1545</v>
      </c>
      <c r="B1230" t="s">
        <v>1173</v>
      </c>
      <c r="C1230" t="s">
        <v>11</v>
      </c>
      <c r="D1230" t="s">
        <v>12</v>
      </c>
      <c r="E1230" t="s">
        <v>391</v>
      </c>
      <c r="H1230" t="s">
        <v>392</v>
      </c>
      <c r="I1230" t="s">
        <v>1562</v>
      </c>
      <c r="L1230" t="s">
        <v>394</v>
      </c>
      <c r="M1230" t="s">
        <v>1547</v>
      </c>
    </row>
    <row r="1231" spans="1:13" x14ac:dyDescent="0.3">
      <c r="A1231" t="s">
        <v>1530</v>
      </c>
      <c r="B1231" t="s">
        <v>1134</v>
      </c>
      <c r="C1231" t="s">
        <v>11</v>
      </c>
      <c r="D1231" t="s">
        <v>12</v>
      </c>
      <c r="E1231" t="s">
        <v>391</v>
      </c>
      <c r="H1231" t="s">
        <v>392</v>
      </c>
      <c r="I1231" t="s">
        <v>1563</v>
      </c>
      <c r="L1231" t="s">
        <v>394</v>
      </c>
      <c r="M1231" t="s">
        <v>1547</v>
      </c>
    </row>
    <row r="1232" spans="1:13" x14ac:dyDescent="0.3">
      <c r="A1232" t="s">
        <v>1532</v>
      </c>
      <c r="B1232" t="s">
        <v>1138</v>
      </c>
      <c r="C1232" t="s">
        <v>11</v>
      </c>
      <c r="D1232" t="s">
        <v>12</v>
      </c>
      <c r="E1232" t="s">
        <v>391</v>
      </c>
      <c r="H1232" t="s">
        <v>392</v>
      </c>
      <c r="I1232" t="s">
        <v>1564</v>
      </c>
      <c r="L1232" t="s">
        <v>394</v>
      </c>
      <c r="M1232" t="s">
        <v>1547</v>
      </c>
    </row>
    <row r="1233" spans="1:13" x14ac:dyDescent="0.3">
      <c r="A1233" t="s">
        <v>1565</v>
      </c>
      <c r="B1233" t="s">
        <v>1130</v>
      </c>
      <c r="C1233" t="s">
        <v>308</v>
      </c>
      <c r="D1233" t="s">
        <v>1566</v>
      </c>
      <c r="E1233" t="s">
        <v>1132</v>
      </c>
      <c r="H1233" t="s">
        <v>25</v>
      </c>
      <c r="I1233" t="s">
        <v>320</v>
      </c>
      <c r="L1233" t="s">
        <v>312</v>
      </c>
      <c r="M1233" t="s">
        <v>313</v>
      </c>
    </row>
    <row r="1234" spans="1:13" x14ac:dyDescent="0.3">
      <c r="A1234" t="s">
        <v>1565</v>
      </c>
      <c r="B1234" t="s">
        <v>1130</v>
      </c>
      <c r="C1234" t="s">
        <v>308</v>
      </c>
      <c r="D1234" t="s">
        <v>1567</v>
      </c>
      <c r="E1234" t="s">
        <v>1134</v>
      </c>
      <c r="H1234" t="s">
        <v>25</v>
      </c>
      <c r="I1234" t="s">
        <v>323</v>
      </c>
      <c r="L1234" t="s">
        <v>312</v>
      </c>
      <c r="M1234" t="s">
        <v>317</v>
      </c>
    </row>
    <row r="1235" spans="1:13" x14ac:dyDescent="0.3">
      <c r="A1235" t="s">
        <v>1565</v>
      </c>
      <c r="B1235" t="s">
        <v>1130</v>
      </c>
      <c r="C1235" t="s">
        <v>308</v>
      </c>
      <c r="D1235" t="s">
        <v>1568</v>
      </c>
      <c r="E1235" t="s">
        <v>345</v>
      </c>
      <c r="H1235" t="s">
        <v>25</v>
      </c>
      <c r="I1235" t="s">
        <v>1136</v>
      </c>
      <c r="L1235" t="s">
        <v>312</v>
      </c>
      <c r="M1235" t="s">
        <v>313</v>
      </c>
    </row>
    <row r="1236" spans="1:13" x14ac:dyDescent="0.3">
      <c r="A1236" t="s">
        <v>1565</v>
      </c>
      <c r="B1236" t="s">
        <v>1130</v>
      </c>
      <c r="C1236" t="s">
        <v>308</v>
      </c>
      <c r="D1236" t="s">
        <v>1569</v>
      </c>
      <c r="E1236" t="s">
        <v>1138</v>
      </c>
      <c r="H1236" t="s">
        <v>25</v>
      </c>
      <c r="I1236" t="s">
        <v>1139</v>
      </c>
      <c r="L1236" t="s">
        <v>312</v>
      </c>
      <c r="M1236" t="s">
        <v>317</v>
      </c>
    </row>
    <row r="1237" spans="1:13" x14ac:dyDescent="0.3">
      <c r="A1237" t="s">
        <v>1565</v>
      </c>
      <c r="B1237" t="s">
        <v>1130</v>
      </c>
      <c r="C1237" t="s">
        <v>308</v>
      </c>
      <c r="D1237" t="s">
        <v>1570</v>
      </c>
      <c r="E1237" t="s">
        <v>1141</v>
      </c>
      <c r="H1237" t="s">
        <v>25</v>
      </c>
      <c r="I1237" t="s">
        <v>1142</v>
      </c>
      <c r="L1237" t="s">
        <v>312</v>
      </c>
      <c r="M1237" t="s">
        <v>343</v>
      </c>
    </row>
    <row r="1238" spans="1:13" x14ac:dyDescent="0.3">
      <c r="A1238" t="s">
        <v>1565</v>
      </c>
      <c r="B1238" t="s">
        <v>1130</v>
      </c>
      <c r="C1238" t="s">
        <v>308</v>
      </c>
      <c r="D1238" t="s">
        <v>1571</v>
      </c>
      <c r="E1238" t="s">
        <v>1144</v>
      </c>
      <c r="H1238" t="s">
        <v>25</v>
      </c>
      <c r="I1238" t="s">
        <v>1145</v>
      </c>
      <c r="L1238" t="s">
        <v>312</v>
      </c>
      <c r="M1238" t="s">
        <v>343</v>
      </c>
    </row>
    <row r="1239" spans="1:13" x14ac:dyDescent="0.3">
      <c r="A1239" t="s">
        <v>1565</v>
      </c>
      <c r="B1239" t="s">
        <v>1130</v>
      </c>
      <c r="C1239" t="s">
        <v>308</v>
      </c>
      <c r="D1239" t="s">
        <v>1572</v>
      </c>
      <c r="E1239" t="s">
        <v>484</v>
      </c>
      <c r="H1239" t="s">
        <v>25</v>
      </c>
      <c r="I1239" t="s">
        <v>1147</v>
      </c>
      <c r="L1239" t="s">
        <v>312</v>
      </c>
      <c r="M1239" t="s">
        <v>343</v>
      </c>
    </row>
    <row r="1240" spans="1:13" x14ac:dyDescent="0.3">
      <c r="A1240" t="s">
        <v>1565</v>
      </c>
      <c r="B1240" t="s">
        <v>1130</v>
      </c>
      <c r="C1240" t="s">
        <v>308</v>
      </c>
      <c r="D1240" t="s">
        <v>1573</v>
      </c>
      <c r="E1240" t="s">
        <v>361</v>
      </c>
      <c r="H1240" t="s">
        <v>25</v>
      </c>
      <c r="I1240" t="s">
        <v>1149</v>
      </c>
      <c r="L1240" t="s">
        <v>312</v>
      </c>
      <c r="M1240" t="s">
        <v>343</v>
      </c>
    </row>
    <row r="1241" spans="1:13" x14ac:dyDescent="0.3">
      <c r="A1241" t="s">
        <v>1565</v>
      </c>
      <c r="B1241" t="s">
        <v>1130</v>
      </c>
      <c r="C1241" t="s">
        <v>308</v>
      </c>
      <c r="D1241" t="s">
        <v>1574</v>
      </c>
      <c r="E1241" t="s">
        <v>1151</v>
      </c>
      <c r="H1241" t="s">
        <v>25</v>
      </c>
      <c r="I1241" t="s">
        <v>1152</v>
      </c>
      <c r="L1241" t="s">
        <v>312</v>
      </c>
      <c r="M1241" t="s">
        <v>343</v>
      </c>
    </row>
    <row r="1242" spans="1:13" x14ac:dyDescent="0.3">
      <c r="A1242" t="s">
        <v>1565</v>
      </c>
      <c r="B1242" t="s">
        <v>1130</v>
      </c>
      <c r="C1242" t="s">
        <v>308</v>
      </c>
      <c r="D1242" t="s">
        <v>1575</v>
      </c>
      <c r="E1242" t="s">
        <v>1154</v>
      </c>
      <c r="H1242" t="s">
        <v>25</v>
      </c>
      <c r="I1242" t="s">
        <v>1152</v>
      </c>
      <c r="L1242" t="s">
        <v>312</v>
      </c>
      <c r="M1242" t="s">
        <v>343</v>
      </c>
    </row>
    <row r="1243" spans="1:13" x14ac:dyDescent="0.3">
      <c r="A1243" t="s">
        <v>1565</v>
      </c>
      <c r="B1243" t="s">
        <v>1130</v>
      </c>
      <c r="C1243" t="s">
        <v>308</v>
      </c>
      <c r="D1243" t="s">
        <v>1576</v>
      </c>
      <c r="E1243" t="s">
        <v>1156</v>
      </c>
      <c r="H1243" t="s">
        <v>25</v>
      </c>
      <c r="I1243" t="s">
        <v>1157</v>
      </c>
      <c r="L1243" t="s">
        <v>312</v>
      </c>
      <c r="M1243" t="s">
        <v>343</v>
      </c>
    </row>
    <row r="1244" spans="1:13" x14ac:dyDescent="0.3">
      <c r="A1244" t="s">
        <v>1565</v>
      </c>
      <c r="B1244" t="s">
        <v>1130</v>
      </c>
      <c r="C1244" t="s">
        <v>308</v>
      </c>
      <c r="D1244" t="s">
        <v>1577</v>
      </c>
      <c r="E1244" t="s">
        <v>527</v>
      </c>
      <c r="H1244" t="s">
        <v>25</v>
      </c>
      <c r="I1244" t="s">
        <v>1159</v>
      </c>
      <c r="L1244" t="s">
        <v>312</v>
      </c>
      <c r="M1244" t="s">
        <v>343</v>
      </c>
    </row>
    <row r="1245" spans="1:13" x14ac:dyDescent="0.3">
      <c r="A1245" t="s">
        <v>1565</v>
      </c>
      <c r="B1245" t="s">
        <v>1130</v>
      </c>
      <c r="C1245" t="s">
        <v>308</v>
      </c>
      <c r="D1245" t="s">
        <v>1578</v>
      </c>
      <c r="E1245" t="s">
        <v>1161</v>
      </c>
      <c r="H1245" t="s">
        <v>25</v>
      </c>
      <c r="I1245" t="s">
        <v>1162</v>
      </c>
      <c r="L1245" t="s">
        <v>312</v>
      </c>
      <c r="M1245" t="s">
        <v>343</v>
      </c>
    </row>
    <row r="1246" spans="1:13" x14ac:dyDescent="0.3">
      <c r="A1246" t="s">
        <v>1565</v>
      </c>
      <c r="B1246" t="s">
        <v>1130</v>
      </c>
      <c r="C1246" t="s">
        <v>308</v>
      </c>
      <c r="D1246" t="s">
        <v>1579</v>
      </c>
      <c r="E1246" t="s">
        <v>1164</v>
      </c>
      <c r="H1246" t="s">
        <v>25</v>
      </c>
      <c r="I1246" t="s">
        <v>1165</v>
      </c>
      <c r="L1246" t="s">
        <v>312</v>
      </c>
      <c r="M1246" t="s">
        <v>343</v>
      </c>
    </row>
    <row r="1247" spans="1:13" x14ac:dyDescent="0.3">
      <c r="A1247" t="s">
        <v>1565</v>
      </c>
      <c r="B1247" t="s">
        <v>1130</v>
      </c>
      <c r="C1247" t="s">
        <v>308</v>
      </c>
      <c r="D1247" t="s">
        <v>1580</v>
      </c>
      <c r="E1247" t="s">
        <v>1167</v>
      </c>
      <c r="H1247" t="s">
        <v>25</v>
      </c>
      <c r="I1247" t="s">
        <v>1168</v>
      </c>
      <c r="L1247" t="s">
        <v>312</v>
      </c>
      <c r="M1247" t="s">
        <v>343</v>
      </c>
    </row>
    <row r="1248" spans="1:13" x14ac:dyDescent="0.3">
      <c r="A1248" t="s">
        <v>1565</v>
      </c>
      <c r="B1248" t="s">
        <v>1130</v>
      </c>
      <c r="C1248" t="s">
        <v>308</v>
      </c>
      <c r="D1248" t="s">
        <v>1581</v>
      </c>
      <c r="E1248" t="s">
        <v>1170</v>
      </c>
      <c r="H1248" t="s">
        <v>25</v>
      </c>
      <c r="I1248" t="s">
        <v>1171</v>
      </c>
      <c r="L1248" t="s">
        <v>312</v>
      </c>
      <c r="M1248" t="s">
        <v>343</v>
      </c>
    </row>
    <row r="1249" spans="1:13" x14ac:dyDescent="0.3">
      <c r="A1249" t="s">
        <v>1565</v>
      </c>
      <c r="B1249" t="s">
        <v>1130</v>
      </c>
      <c r="C1249" t="s">
        <v>308</v>
      </c>
      <c r="D1249" t="s">
        <v>1582</v>
      </c>
      <c r="E1249" t="s">
        <v>1173</v>
      </c>
      <c r="H1249" t="s">
        <v>25</v>
      </c>
      <c r="I1249" t="s">
        <v>1174</v>
      </c>
      <c r="L1249" t="s">
        <v>312</v>
      </c>
      <c r="M1249" t="s">
        <v>343</v>
      </c>
    </row>
    <row r="1250" spans="1:13" x14ac:dyDescent="0.3">
      <c r="A1250" t="s">
        <v>1565</v>
      </c>
      <c r="B1250" t="s">
        <v>1130</v>
      </c>
      <c r="C1250" t="s">
        <v>22</v>
      </c>
      <c r="D1250" t="s">
        <v>23</v>
      </c>
      <c r="E1250" t="s">
        <v>28</v>
      </c>
      <c r="F1250" t="s">
        <v>25</v>
      </c>
      <c r="G1250" t="s">
        <v>1583</v>
      </c>
      <c r="J1250" t="s">
        <v>373</v>
      </c>
      <c r="K1250" t="s">
        <v>374</v>
      </c>
    </row>
    <row r="1251" spans="1:13" x14ac:dyDescent="0.3">
      <c r="A1251" t="s">
        <v>1565</v>
      </c>
      <c r="B1251" t="s">
        <v>1130</v>
      </c>
      <c r="C1251" t="s">
        <v>380</v>
      </c>
      <c r="D1251" t="s">
        <v>9</v>
      </c>
      <c r="E1251" t="s">
        <v>10</v>
      </c>
    </row>
    <row r="1252" spans="1:13" x14ac:dyDescent="0.3">
      <c r="A1252" t="s">
        <v>1565</v>
      </c>
      <c r="B1252" t="s">
        <v>1130</v>
      </c>
      <c r="C1252" t="s">
        <v>16</v>
      </c>
      <c r="D1252" t="s">
        <v>1091</v>
      </c>
      <c r="E1252" t="s">
        <v>37</v>
      </c>
    </row>
    <row r="1253" spans="1:13" x14ac:dyDescent="0.3">
      <c r="A1253" t="s">
        <v>1565</v>
      </c>
      <c r="B1253" t="s">
        <v>1130</v>
      </c>
      <c r="C1253" t="s">
        <v>11</v>
      </c>
      <c r="D1253" t="s">
        <v>12</v>
      </c>
      <c r="E1253" t="s">
        <v>13</v>
      </c>
      <c r="H1253" t="s">
        <v>382</v>
      </c>
      <c r="I1253" t="s">
        <v>1584</v>
      </c>
      <c r="L1253" t="s">
        <v>14</v>
      </c>
      <c r="M1253" t="s">
        <v>1584</v>
      </c>
    </row>
    <row r="1254" spans="1:13" x14ac:dyDescent="0.3">
      <c r="A1254" t="s">
        <v>1573</v>
      </c>
      <c r="B1254" t="s">
        <v>361</v>
      </c>
      <c r="C1254" t="s">
        <v>11</v>
      </c>
      <c r="D1254" t="s">
        <v>12</v>
      </c>
      <c r="E1254" t="s">
        <v>391</v>
      </c>
      <c r="H1254" t="s">
        <v>392</v>
      </c>
      <c r="I1254" t="s">
        <v>1585</v>
      </c>
      <c r="L1254" t="s">
        <v>394</v>
      </c>
      <c r="M1254" t="s">
        <v>1584</v>
      </c>
    </row>
    <row r="1255" spans="1:13" x14ac:dyDescent="0.3">
      <c r="A1255" t="s">
        <v>1570</v>
      </c>
      <c r="B1255" t="s">
        <v>484</v>
      </c>
      <c r="C1255" t="s">
        <v>11</v>
      </c>
      <c r="D1255" t="s">
        <v>12</v>
      </c>
      <c r="E1255" t="s">
        <v>391</v>
      </c>
      <c r="H1255" t="s">
        <v>392</v>
      </c>
      <c r="I1255" t="s">
        <v>1586</v>
      </c>
      <c r="L1255" t="s">
        <v>394</v>
      </c>
      <c r="M1255" t="s">
        <v>1584</v>
      </c>
    </row>
    <row r="1256" spans="1:13" x14ac:dyDescent="0.3">
      <c r="A1256" t="s">
        <v>1574</v>
      </c>
      <c r="B1256" t="s">
        <v>1151</v>
      </c>
      <c r="C1256" t="s">
        <v>11</v>
      </c>
      <c r="D1256" t="s">
        <v>12</v>
      </c>
      <c r="E1256" t="s">
        <v>391</v>
      </c>
      <c r="H1256" t="s">
        <v>392</v>
      </c>
      <c r="I1256" t="s">
        <v>1587</v>
      </c>
      <c r="L1256" t="s">
        <v>394</v>
      </c>
      <c r="M1256" t="s">
        <v>1584</v>
      </c>
    </row>
    <row r="1257" spans="1:13" x14ac:dyDescent="0.3">
      <c r="A1257" t="s">
        <v>1575</v>
      </c>
      <c r="B1257" t="s">
        <v>1154</v>
      </c>
      <c r="C1257" t="s">
        <v>11</v>
      </c>
      <c r="D1257" t="s">
        <v>12</v>
      </c>
      <c r="E1257" t="s">
        <v>391</v>
      </c>
      <c r="H1257" t="s">
        <v>392</v>
      </c>
      <c r="I1257" t="s">
        <v>1588</v>
      </c>
      <c r="L1257" t="s">
        <v>394</v>
      </c>
      <c r="M1257" t="s">
        <v>1584</v>
      </c>
    </row>
    <row r="1258" spans="1:13" x14ac:dyDescent="0.3">
      <c r="A1258" t="s">
        <v>1576</v>
      </c>
      <c r="B1258" t="s">
        <v>1156</v>
      </c>
      <c r="C1258" t="s">
        <v>11</v>
      </c>
      <c r="D1258" t="s">
        <v>12</v>
      </c>
      <c r="E1258" t="s">
        <v>391</v>
      </c>
      <c r="H1258" t="s">
        <v>392</v>
      </c>
      <c r="I1258" t="s">
        <v>1589</v>
      </c>
      <c r="L1258" t="s">
        <v>394</v>
      </c>
      <c r="M1258" t="s">
        <v>1584</v>
      </c>
    </row>
    <row r="1259" spans="1:13" x14ac:dyDescent="0.3">
      <c r="A1259" t="s">
        <v>1577</v>
      </c>
      <c r="B1259" t="s">
        <v>550</v>
      </c>
      <c r="C1259" t="s">
        <v>11</v>
      </c>
      <c r="D1259" t="s">
        <v>12</v>
      </c>
      <c r="E1259" t="s">
        <v>391</v>
      </c>
      <c r="H1259" t="s">
        <v>392</v>
      </c>
      <c r="I1259" t="s">
        <v>1590</v>
      </c>
      <c r="L1259" t="s">
        <v>394</v>
      </c>
      <c r="M1259" t="s">
        <v>1584</v>
      </c>
    </row>
    <row r="1260" spans="1:13" x14ac:dyDescent="0.3">
      <c r="A1260" t="s">
        <v>1572</v>
      </c>
      <c r="B1260" t="s">
        <v>1183</v>
      </c>
      <c r="C1260" t="s">
        <v>11</v>
      </c>
      <c r="D1260" t="s">
        <v>12</v>
      </c>
      <c r="E1260" t="s">
        <v>391</v>
      </c>
      <c r="H1260" t="s">
        <v>392</v>
      </c>
      <c r="I1260" t="s">
        <v>1591</v>
      </c>
      <c r="L1260" t="s">
        <v>394</v>
      </c>
      <c r="M1260" t="s">
        <v>1584</v>
      </c>
    </row>
    <row r="1261" spans="1:13" x14ac:dyDescent="0.3">
      <c r="A1261" t="s">
        <v>1578</v>
      </c>
      <c r="B1261" t="s">
        <v>1161</v>
      </c>
      <c r="C1261" t="s">
        <v>11</v>
      </c>
      <c r="D1261" t="s">
        <v>12</v>
      </c>
      <c r="E1261" t="s">
        <v>391</v>
      </c>
      <c r="H1261" t="s">
        <v>392</v>
      </c>
      <c r="I1261" t="s">
        <v>1592</v>
      </c>
      <c r="L1261" t="s">
        <v>394</v>
      </c>
      <c r="M1261" t="s">
        <v>1584</v>
      </c>
    </row>
    <row r="1262" spans="1:13" x14ac:dyDescent="0.3">
      <c r="A1262" t="s">
        <v>1566</v>
      </c>
      <c r="B1262" t="s">
        <v>1132</v>
      </c>
      <c r="C1262" t="s">
        <v>11</v>
      </c>
      <c r="D1262" t="s">
        <v>12</v>
      </c>
      <c r="E1262" t="s">
        <v>391</v>
      </c>
      <c r="H1262" t="s">
        <v>392</v>
      </c>
      <c r="I1262" t="s">
        <v>1593</v>
      </c>
      <c r="L1262" t="s">
        <v>394</v>
      </c>
      <c r="M1262" t="s">
        <v>1584</v>
      </c>
    </row>
    <row r="1263" spans="1:13" x14ac:dyDescent="0.3">
      <c r="A1263" t="s">
        <v>1568</v>
      </c>
      <c r="B1263" t="s">
        <v>345</v>
      </c>
      <c r="C1263" t="s">
        <v>11</v>
      </c>
      <c r="D1263" t="s">
        <v>12</v>
      </c>
      <c r="E1263" t="s">
        <v>391</v>
      </c>
      <c r="H1263" t="s">
        <v>392</v>
      </c>
      <c r="I1263" t="s">
        <v>1594</v>
      </c>
      <c r="L1263" t="s">
        <v>394</v>
      </c>
      <c r="M1263" t="s">
        <v>1584</v>
      </c>
    </row>
    <row r="1264" spans="1:13" x14ac:dyDescent="0.3">
      <c r="A1264" t="s">
        <v>1571</v>
      </c>
      <c r="B1264" t="s">
        <v>1144</v>
      </c>
      <c r="C1264" t="s">
        <v>11</v>
      </c>
      <c r="D1264" t="s">
        <v>12</v>
      </c>
      <c r="E1264" t="s">
        <v>391</v>
      </c>
      <c r="H1264" t="s">
        <v>392</v>
      </c>
      <c r="I1264" t="s">
        <v>1595</v>
      </c>
      <c r="L1264" t="s">
        <v>394</v>
      </c>
      <c r="M1264" t="s">
        <v>1584</v>
      </c>
    </row>
    <row r="1265" spans="1:13" x14ac:dyDescent="0.3">
      <c r="A1265" t="s">
        <v>1579</v>
      </c>
      <c r="B1265" t="s">
        <v>1164</v>
      </c>
      <c r="C1265" t="s">
        <v>11</v>
      </c>
      <c r="D1265" t="s">
        <v>12</v>
      </c>
      <c r="E1265" t="s">
        <v>391</v>
      </c>
      <c r="H1265" t="s">
        <v>392</v>
      </c>
      <c r="I1265" t="s">
        <v>1596</v>
      </c>
      <c r="L1265" t="s">
        <v>394</v>
      </c>
      <c r="M1265" t="s">
        <v>1584</v>
      </c>
    </row>
    <row r="1266" spans="1:13" x14ac:dyDescent="0.3">
      <c r="A1266" t="s">
        <v>1581</v>
      </c>
      <c r="B1266" t="s">
        <v>1170</v>
      </c>
      <c r="C1266" t="s">
        <v>11</v>
      </c>
      <c r="D1266" t="s">
        <v>12</v>
      </c>
      <c r="E1266" t="s">
        <v>391</v>
      </c>
      <c r="H1266" t="s">
        <v>392</v>
      </c>
      <c r="I1266" t="s">
        <v>1597</v>
      </c>
      <c r="L1266" t="s">
        <v>394</v>
      </c>
      <c r="M1266" t="s">
        <v>1584</v>
      </c>
    </row>
    <row r="1267" spans="1:13" x14ac:dyDescent="0.3">
      <c r="A1267" t="s">
        <v>1580</v>
      </c>
      <c r="B1267" t="s">
        <v>1167</v>
      </c>
      <c r="C1267" t="s">
        <v>11</v>
      </c>
      <c r="D1267" t="s">
        <v>12</v>
      </c>
      <c r="E1267" t="s">
        <v>391</v>
      </c>
      <c r="H1267" t="s">
        <v>392</v>
      </c>
      <c r="I1267" t="s">
        <v>1598</v>
      </c>
      <c r="L1267" t="s">
        <v>394</v>
      </c>
      <c r="M1267" t="s">
        <v>1584</v>
      </c>
    </row>
    <row r="1268" spans="1:13" x14ac:dyDescent="0.3">
      <c r="A1268" t="s">
        <v>1582</v>
      </c>
      <c r="B1268" t="s">
        <v>1173</v>
      </c>
      <c r="C1268" t="s">
        <v>11</v>
      </c>
      <c r="D1268" t="s">
        <v>12</v>
      </c>
      <c r="E1268" t="s">
        <v>391</v>
      </c>
      <c r="H1268" t="s">
        <v>392</v>
      </c>
      <c r="I1268" t="s">
        <v>1599</v>
      </c>
      <c r="L1268" t="s">
        <v>394</v>
      </c>
      <c r="M1268" t="s">
        <v>1584</v>
      </c>
    </row>
    <row r="1269" spans="1:13" x14ac:dyDescent="0.3">
      <c r="A1269" t="s">
        <v>1567</v>
      </c>
      <c r="B1269" t="s">
        <v>1134</v>
      </c>
      <c r="C1269" t="s">
        <v>11</v>
      </c>
      <c r="D1269" t="s">
        <v>12</v>
      </c>
      <c r="E1269" t="s">
        <v>391</v>
      </c>
      <c r="H1269" t="s">
        <v>392</v>
      </c>
      <c r="I1269" t="s">
        <v>1600</v>
      </c>
      <c r="L1269" t="s">
        <v>394</v>
      </c>
      <c r="M1269" t="s">
        <v>1584</v>
      </c>
    </row>
    <row r="1270" spans="1:13" x14ac:dyDescent="0.3">
      <c r="A1270" t="s">
        <v>1569</v>
      </c>
      <c r="B1270" t="s">
        <v>1138</v>
      </c>
      <c r="C1270" t="s">
        <v>11</v>
      </c>
      <c r="D1270" t="s">
        <v>12</v>
      </c>
      <c r="E1270" t="s">
        <v>391</v>
      </c>
      <c r="H1270" t="s">
        <v>392</v>
      </c>
      <c r="I1270" t="s">
        <v>1601</v>
      </c>
      <c r="L1270" t="s">
        <v>394</v>
      </c>
      <c r="M1270" t="s">
        <v>1584</v>
      </c>
    </row>
    <row r="1271" spans="1:13" x14ac:dyDescent="0.3">
      <c r="A1271" t="s">
        <v>1602</v>
      </c>
      <c r="B1271" t="s">
        <v>1130</v>
      </c>
      <c r="C1271" t="s">
        <v>308</v>
      </c>
      <c r="D1271" t="s">
        <v>1603</v>
      </c>
      <c r="E1271" t="s">
        <v>1132</v>
      </c>
      <c r="H1271" t="s">
        <v>25</v>
      </c>
      <c r="I1271" t="s">
        <v>320</v>
      </c>
      <c r="L1271" t="s">
        <v>312</v>
      </c>
      <c r="M1271" t="s">
        <v>313</v>
      </c>
    </row>
    <row r="1272" spans="1:13" x14ac:dyDescent="0.3">
      <c r="A1272" t="s">
        <v>1602</v>
      </c>
      <c r="B1272" t="s">
        <v>1130</v>
      </c>
      <c r="C1272" t="s">
        <v>308</v>
      </c>
      <c r="D1272" t="s">
        <v>1604</v>
      </c>
      <c r="E1272" t="s">
        <v>1134</v>
      </c>
      <c r="H1272" t="s">
        <v>25</v>
      </c>
      <c r="I1272" t="s">
        <v>323</v>
      </c>
      <c r="L1272" t="s">
        <v>312</v>
      </c>
      <c r="M1272" t="s">
        <v>317</v>
      </c>
    </row>
    <row r="1273" spans="1:13" x14ac:dyDescent="0.3">
      <c r="A1273" t="s">
        <v>1602</v>
      </c>
      <c r="B1273" t="s">
        <v>1130</v>
      </c>
      <c r="C1273" t="s">
        <v>308</v>
      </c>
      <c r="D1273" t="s">
        <v>1605</v>
      </c>
      <c r="E1273" t="s">
        <v>345</v>
      </c>
      <c r="H1273" t="s">
        <v>25</v>
      </c>
      <c r="I1273" t="s">
        <v>1136</v>
      </c>
      <c r="L1273" t="s">
        <v>312</v>
      </c>
      <c r="M1273" t="s">
        <v>313</v>
      </c>
    </row>
    <row r="1274" spans="1:13" x14ac:dyDescent="0.3">
      <c r="A1274" t="s">
        <v>1602</v>
      </c>
      <c r="B1274" t="s">
        <v>1130</v>
      </c>
      <c r="C1274" t="s">
        <v>308</v>
      </c>
      <c r="D1274" t="s">
        <v>1606</v>
      </c>
      <c r="E1274" t="s">
        <v>1138</v>
      </c>
      <c r="H1274" t="s">
        <v>25</v>
      </c>
      <c r="I1274" t="s">
        <v>1139</v>
      </c>
      <c r="L1274" t="s">
        <v>312</v>
      </c>
      <c r="M1274" t="s">
        <v>317</v>
      </c>
    </row>
    <row r="1275" spans="1:13" x14ac:dyDescent="0.3">
      <c r="A1275" t="s">
        <v>1602</v>
      </c>
      <c r="B1275" t="s">
        <v>1130</v>
      </c>
      <c r="C1275" t="s">
        <v>308</v>
      </c>
      <c r="D1275" t="s">
        <v>1607</v>
      </c>
      <c r="E1275" t="s">
        <v>1141</v>
      </c>
      <c r="H1275" t="s">
        <v>25</v>
      </c>
      <c r="I1275" t="s">
        <v>1142</v>
      </c>
      <c r="L1275" t="s">
        <v>312</v>
      </c>
      <c r="M1275" t="s">
        <v>343</v>
      </c>
    </row>
    <row r="1276" spans="1:13" x14ac:dyDescent="0.3">
      <c r="A1276" t="s">
        <v>1602</v>
      </c>
      <c r="B1276" t="s">
        <v>1130</v>
      </c>
      <c r="C1276" t="s">
        <v>308</v>
      </c>
      <c r="D1276" t="s">
        <v>1608</v>
      </c>
      <c r="E1276" t="s">
        <v>1144</v>
      </c>
      <c r="H1276" t="s">
        <v>25</v>
      </c>
      <c r="I1276" t="s">
        <v>1145</v>
      </c>
      <c r="L1276" t="s">
        <v>312</v>
      </c>
      <c r="M1276" t="s">
        <v>343</v>
      </c>
    </row>
    <row r="1277" spans="1:13" x14ac:dyDescent="0.3">
      <c r="A1277" t="s">
        <v>1602</v>
      </c>
      <c r="B1277" t="s">
        <v>1130</v>
      </c>
      <c r="C1277" t="s">
        <v>308</v>
      </c>
      <c r="D1277" t="s">
        <v>1609</v>
      </c>
      <c r="E1277" t="s">
        <v>484</v>
      </c>
      <c r="H1277" t="s">
        <v>25</v>
      </c>
      <c r="I1277" t="s">
        <v>1147</v>
      </c>
      <c r="L1277" t="s">
        <v>312</v>
      </c>
      <c r="M1277" t="s">
        <v>343</v>
      </c>
    </row>
    <row r="1278" spans="1:13" x14ac:dyDescent="0.3">
      <c r="A1278" t="s">
        <v>1602</v>
      </c>
      <c r="B1278" t="s">
        <v>1130</v>
      </c>
      <c r="C1278" t="s">
        <v>308</v>
      </c>
      <c r="D1278" t="s">
        <v>1610</v>
      </c>
      <c r="E1278" t="s">
        <v>361</v>
      </c>
      <c r="H1278" t="s">
        <v>25</v>
      </c>
      <c r="I1278" t="s">
        <v>1149</v>
      </c>
      <c r="L1278" t="s">
        <v>312</v>
      </c>
      <c r="M1278" t="s">
        <v>343</v>
      </c>
    </row>
    <row r="1279" spans="1:13" x14ac:dyDescent="0.3">
      <c r="A1279" t="s">
        <v>1602</v>
      </c>
      <c r="B1279" t="s">
        <v>1130</v>
      </c>
      <c r="C1279" t="s">
        <v>308</v>
      </c>
      <c r="D1279" t="s">
        <v>1611</v>
      </c>
      <c r="E1279" t="s">
        <v>1151</v>
      </c>
      <c r="H1279" t="s">
        <v>25</v>
      </c>
      <c r="I1279" t="s">
        <v>1152</v>
      </c>
      <c r="L1279" t="s">
        <v>312</v>
      </c>
      <c r="M1279" t="s">
        <v>343</v>
      </c>
    </row>
    <row r="1280" spans="1:13" x14ac:dyDescent="0.3">
      <c r="A1280" t="s">
        <v>1602</v>
      </c>
      <c r="B1280" t="s">
        <v>1130</v>
      </c>
      <c r="C1280" t="s">
        <v>308</v>
      </c>
      <c r="D1280" t="s">
        <v>1612</v>
      </c>
      <c r="E1280" t="s">
        <v>1154</v>
      </c>
      <c r="H1280" t="s">
        <v>25</v>
      </c>
      <c r="I1280" t="s">
        <v>1152</v>
      </c>
      <c r="L1280" t="s">
        <v>312</v>
      </c>
      <c r="M1280" t="s">
        <v>343</v>
      </c>
    </row>
    <row r="1281" spans="1:13" x14ac:dyDescent="0.3">
      <c r="A1281" t="s">
        <v>1602</v>
      </c>
      <c r="B1281" t="s">
        <v>1130</v>
      </c>
      <c r="C1281" t="s">
        <v>308</v>
      </c>
      <c r="D1281" t="s">
        <v>1613</v>
      </c>
      <c r="E1281" t="s">
        <v>1156</v>
      </c>
      <c r="H1281" t="s">
        <v>25</v>
      </c>
      <c r="I1281" t="s">
        <v>1157</v>
      </c>
      <c r="L1281" t="s">
        <v>312</v>
      </c>
      <c r="M1281" t="s">
        <v>343</v>
      </c>
    </row>
    <row r="1282" spans="1:13" x14ac:dyDescent="0.3">
      <c r="A1282" t="s">
        <v>1602</v>
      </c>
      <c r="B1282" t="s">
        <v>1130</v>
      </c>
      <c r="C1282" t="s">
        <v>308</v>
      </c>
      <c r="D1282" t="s">
        <v>1614</v>
      </c>
      <c r="E1282" t="s">
        <v>527</v>
      </c>
      <c r="H1282" t="s">
        <v>25</v>
      </c>
      <c r="I1282" t="s">
        <v>1159</v>
      </c>
      <c r="L1282" t="s">
        <v>312</v>
      </c>
      <c r="M1282" t="s">
        <v>343</v>
      </c>
    </row>
    <row r="1283" spans="1:13" x14ac:dyDescent="0.3">
      <c r="A1283" t="s">
        <v>1602</v>
      </c>
      <c r="B1283" t="s">
        <v>1130</v>
      </c>
      <c r="C1283" t="s">
        <v>308</v>
      </c>
      <c r="D1283" t="s">
        <v>1615</v>
      </c>
      <c r="E1283" t="s">
        <v>1161</v>
      </c>
      <c r="H1283" t="s">
        <v>25</v>
      </c>
      <c r="I1283" t="s">
        <v>1162</v>
      </c>
      <c r="L1283" t="s">
        <v>312</v>
      </c>
      <c r="M1283" t="s">
        <v>343</v>
      </c>
    </row>
    <row r="1284" spans="1:13" x14ac:dyDescent="0.3">
      <c r="A1284" t="s">
        <v>1602</v>
      </c>
      <c r="B1284" t="s">
        <v>1130</v>
      </c>
      <c r="C1284" t="s">
        <v>308</v>
      </c>
      <c r="D1284" t="s">
        <v>1616</v>
      </c>
      <c r="E1284" t="s">
        <v>1164</v>
      </c>
      <c r="H1284" t="s">
        <v>25</v>
      </c>
      <c r="I1284" t="s">
        <v>1165</v>
      </c>
      <c r="L1284" t="s">
        <v>312</v>
      </c>
      <c r="M1284" t="s">
        <v>343</v>
      </c>
    </row>
    <row r="1285" spans="1:13" x14ac:dyDescent="0.3">
      <c r="A1285" t="s">
        <v>1602</v>
      </c>
      <c r="B1285" t="s">
        <v>1130</v>
      </c>
      <c r="C1285" t="s">
        <v>308</v>
      </c>
      <c r="D1285" t="s">
        <v>1617</v>
      </c>
      <c r="E1285" t="s">
        <v>1167</v>
      </c>
      <c r="H1285" t="s">
        <v>25</v>
      </c>
      <c r="I1285" t="s">
        <v>1168</v>
      </c>
      <c r="L1285" t="s">
        <v>312</v>
      </c>
      <c r="M1285" t="s">
        <v>343</v>
      </c>
    </row>
    <row r="1286" spans="1:13" x14ac:dyDescent="0.3">
      <c r="A1286" t="s">
        <v>1602</v>
      </c>
      <c r="B1286" t="s">
        <v>1130</v>
      </c>
      <c r="C1286" t="s">
        <v>308</v>
      </c>
      <c r="D1286" t="s">
        <v>1618</v>
      </c>
      <c r="E1286" t="s">
        <v>1170</v>
      </c>
      <c r="H1286" t="s">
        <v>25</v>
      </c>
      <c r="I1286" t="s">
        <v>1171</v>
      </c>
      <c r="L1286" t="s">
        <v>312</v>
      </c>
      <c r="M1286" t="s">
        <v>343</v>
      </c>
    </row>
    <row r="1287" spans="1:13" x14ac:dyDescent="0.3">
      <c r="A1287" t="s">
        <v>1602</v>
      </c>
      <c r="B1287" t="s">
        <v>1130</v>
      </c>
      <c r="C1287" t="s">
        <v>308</v>
      </c>
      <c r="D1287" t="s">
        <v>1619</v>
      </c>
      <c r="E1287" t="s">
        <v>1173</v>
      </c>
      <c r="H1287" t="s">
        <v>25</v>
      </c>
      <c r="I1287" t="s">
        <v>1174</v>
      </c>
      <c r="L1287" t="s">
        <v>312</v>
      </c>
      <c r="M1287" t="s">
        <v>343</v>
      </c>
    </row>
    <row r="1288" spans="1:13" x14ac:dyDescent="0.3">
      <c r="A1288" t="s">
        <v>1602</v>
      </c>
      <c r="B1288" t="s">
        <v>1130</v>
      </c>
      <c r="C1288" t="s">
        <v>22</v>
      </c>
      <c r="D1288" t="s">
        <v>23</v>
      </c>
      <c r="E1288" t="s">
        <v>28</v>
      </c>
      <c r="F1288" t="s">
        <v>25</v>
      </c>
      <c r="G1288" t="s">
        <v>1620</v>
      </c>
      <c r="J1288" t="s">
        <v>373</v>
      </c>
      <c r="K1288" t="s">
        <v>374</v>
      </c>
    </row>
    <row r="1289" spans="1:13" x14ac:dyDescent="0.3">
      <c r="A1289" t="s">
        <v>1602</v>
      </c>
      <c r="B1289" t="s">
        <v>1130</v>
      </c>
      <c r="C1289" t="s">
        <v>380</v>
      </c>
      <c r="D1289" t="s">
        <v>9</v>
      </c>
      <c r="E1289" t="s">
        <v>10</v>
      </c>
    </row>
    <row r="1290" spans="1:13" x14ac:dyDescent="0.3">
      <c r="A1290" t="s">
        <v>1602</v>
      </c>
      <c r="B1290" t="s">
        <v>1130</v>
      </c>
      <c r="C1290" t="s">
        <v>16</v>
      </c>
      <c r="D1290" t="s">
        <v>1079</v>
      </c>
      <c r="E1290" t="s">
        <v>37</v>
      </c>
    </row>
    <row r="1291" spans="1:13" x14ac:dyDescent="0.3">
      <c r="A1291" t="s">
        <v>1602</v>
      </c>
      <c r="B1291" t="s">
        <v>1130</v>
      </c>
      <c r="C1291" t="s">
        <v>11</v>
      </c>
      <c r="D1291" t="s">
        <v>12</v>
      </c>
      <c r="E1291" t="s">
        <v>13</v>
      </c>
      <c r="H1291" t="s">
        <v>382</v>
      </c>
      <c r="I1291" t="s">
        <v>1621</v>
      </c>
      <c r="L1291" t="s">
        <v>14</v>
      </c>
      <c r="M1291" t="s">
        <v>1621</v>
      </c>
    </row>
    <row r="1292" spans="1:13" x14ac:dyDescent="0.3">
      <c r="A1292" t="s">
        <v>1610</v>
      </c>
      <c r="B1292" t="s">
        <v>361</v>
      </c>
      <c r="C1292" t="s">
        <v>11</v>
      </c>
      <c r="D1292" t="s">
        <v>12</v>
      </c>
      <c r="E1292" t="s">
        <v>391</v>
      </c>
      <c r="H1292" t="s">
        <v>392</v>
      </c>
      <c r="I1292" t="s">
        <v>1622</v>
      </c>
      <c r="L1292" t="s">
        <v>394</v>
      </c>
      <c r="M1292" t="s">
        <v>1621</v>
      </c>
    </row>
    <row r="1293" spans="1:13" x14ac:dyDescent="0.3">
      <c r="A1293" t="s">
        <v>1607</v>
      </c>
      <c r="B1293" t="s">
        <v>484</v>
      </c>
      <c r="C1293" t="s">
        <v>11</v>
      </c>
      <c r="D1293" t="s">
        <v>12</v>
      </c>
      <c r="E1293" t="s">
        <v>391</v>
      </c>
      <c r="H1293" t="s">
        <v>392</v>
      </c>
      <c r="I1293" t="s">
        <v>1623</v>
      </c>
      <c r="L1293" t="s">
        <v>394</v>
      </c>
      <c r="M1293" t="s">
        <v>1621</v>
      </c>
    </row>
    <row r="1294" spans="1:13" x14ac:dyDescent="0.3">
      <c r="A1294" t="s">
        <v>1611</v>
      </c>
      <c r="B1294" t="s">
        <v>1151</v>
      </c>
      <c r="C1294" t="s">
        <v>11</v>
      </c>
      <c r="D1294" t="s">
        <v>12</v>
      </c>
      <c r="E1294" t="s">
        <v>391</v>
      </c>
      <c r="H1294" t="s">
        <v>392</v>
      </c>
      <c r="I1294" t="s">
        <v>1624</v>
      </c>
      <c r="L1294" t="s">
        <v>394</v>
      </c>
      <c r="M1294" t="s">
        <v>1621</v>
      </c>
    </row>
    <row r="1295" spans="1:13" x14ac:dyDescent="0.3">
      <c r="A1295" t="s">
        <v>1612</v>
      </c>
      <c r="B1295" t="s">
        <v>1154</v>
      </c>
      <c r="C1295" t="s">
        <v>11</v>
      </c>
      <c r="D1295" t="s">
        <v>12</v>
      </c>
      <c r="E1295" t="s">
        <v>391</v>
      </c>
      <c r="H1295" t="s">
        <v>392</v>
      </c>
      <c r="I1295" t="s">
        <v>1625</v>
      </c>
      <c r="L1295" t="s">
        <v>394</v>
      </c>
      <c r="M1295" t="s">
        <v>1621</v>
      </c>
    </row>
    <row r="1296" spans="1:13" x14ac:dyDescent="0.3">
      <c r="A1296" t="s">
        <v>1613</v>
      </c>
      <c r="B1296" t="s">
        <v>1156</v>
      </c>
      <c r="C1296" t="s">
        <v>11</v>
      </c>
      <c r="D1296" t="s">
        <v>12</v>
      </c>
      <c r="E1296" t="s">
        <v>391</v>
      </c>
      <c r="H1296" t="s">
        <v>392</v>
      </c>
      <c r="I1296" t="s">
        <v>1626</v>
      </c>
      <c r="L1296" t="s">
        <v>394</v>
      </c>
      <c r="M1296" t="s">
        <v>1621</v>
      </c>
    </row>
    <row r="1297" spans="1:13" x14ac:dyDescent="0.3">
      <c r="A1297" t="s">
        <v>1614</v>
      </c>
      <c r="B1297" t="s">
        <v>550</v>
      </c>
      <c r="C1297" t="s">
        <v>11</v>
      </c>
      <c r="D1297" t="s">
        <v>12</v>
      </c>
      <c r="E1297" t="s">
        <v>391</v>
      </c>
      <c r="H1297" t="s">
        <v>392</v>
      </c>
      <c r="I1297" t="s">
        <v>1627</v>
      </c>
      <c r="L1297" t="s">
        <v>394</v>
      </c>
      <c r="M1297" t="s">
        <v>1621</v>
      </c>
    </row>
    <row r="1298" spans="1:13" x14ac:dyDescent="0.3">
      <c r="A1298" t="s">
        <v>1609</v>
      </c>
      <c r="B1298" t="s">
        <v>1183</v>
      </c>
      <c r="C1298" t="s">
        <v>11</v>
      </c>
      <c r="D1298" t="s">
        <v>12</v>
      </c>
      <c r="E1298" t="s">
        <v>391</v>
      </c>
      <c r="H1298" t="s">
        <v>392</v>
      </c>
      <c r="I1298" t="s">
        <v>1628</v>
      </c>
      <c r="L1298" t="s">
        <v>394</v>
      </c>
      <c r="M1298" t="s">
        <v>1621</v>
      </c>
    </row>
    <row r="1299" spans="1:13" x14ac:dyDescent="0.3">
      <c r="A1299" t="s">
        <v>1615</v>
      </c>
      <c r="B1299" t="s">
        <v>1161</v>
      </c>
      <c r="C1299" t="s">
        <v>11</v>
      </c>
      <c r="D1299" t="s">
        <v>12</v>
      </c>
      <c r="E1299" t="s">
        <v>391</v>
      </c>
      <c r="H1299" t="s">
        <v>392</v>
      </c>
      <c r="I1299" t="s">
        <v>1629</v>
      </c>
      <c r="L1299" t="s">
        <v>394</v>
      </c>
      <c r="M1299" t="s">
        <v>1621</v>
      </c>
    </row>
    <row r="1300" spans="1:13" x14ac:dyDescent="0.3">
      <c r="A1300" t="s">
        <v>1603</v>
      </c>
      <c r="B1300" t="s">
        <v>1132</v>
      </c>
      <c r="C1300" t="s">
        <v>11</v>
      </c>
      <c r="D1300" t="s">
        <v>12</v>
      </c>
      <c r="E1300" t="s">
        <v>391</v>
      </c>
      <c r="H1300" t="s">
        <v>392</v>
      </c>
      <c r="I1300" t="s">
        <v>1630</v>
      </c>
      <c r="L1300" t="s">
        <v>394</v>
      </c>
      <c r="M1300" t="s">
        <v>1621</v>
      </c>
    </row>
    <row r="1301" spans="1:13" x14ac:dyDescent="0.3">
      <c r="A1301" t="s">
        <v>1605</v>
      </c>
      <c r="B1301" t="s">
        <v>345</v>
      </c>
      <c r="C1301" t="s">
        <v>11</v>
      </c>
      <c r="D1301" t="s">
        <v>12</v>
      </c>
      <c r="E1301" t="s">
        <v>391</v>
      </c>
      <c r="H1301" t="s">
        <v>392</v>
      </c>
      <c r="I1301" t="s">
        <v>1631</v>
      </c>
      <c r="L1301" t="s">
        <v>394</v>
      </c>
      <c r="M1301" t="s">
        <v>1621</v>
      </c>
    </row>
    <row r="1302" spans="1:13" x14ac:dyDescent="0.3">
      <c r="A1302" t="s">
        <v>1608</v>
      </c>
      <c r="B1302" t="s">
        <v>1144</v>
      </c>
      <c r="C1302" t="s">
        <v>11</v>
      </c>
      <c r="D1302" t="s">
        <v>12</v>
      </c>
      <c r="E1302" t="s">
        <v>391</v>
      </c>
      <c r="H1302" t="s">
        <v>392</v>
      </c>
      <c r="I1302" t="s">
        <v>1632</v>
      </c>
      <c r="L1302" t="s">
        <v>394</v>
      </c>
      <c r="M1302" t="s">
        <v>1621</v>
      </c>
    </row>
    <row r="1303" spans="1:13" x14ac:dyDescent="0.3">
      <c r="A1303" t="s">
        <v>1616</v>
      </c>
      <c r="B1303" t="s">
        <v>1164</v>
      </c>
      <c r="C1303" t="s">
        <v>11</v>
      </c>
      <c r="D1303" t="s">
        <v>12</v>
      </c>
      <c r="E1303" t="s">
        <v>391</v>
      </c>
      <c r="H1303" t="s">
        <v>392</v>
      </c>
      <c r="I1303" t="s">
        <v>1633</v>
      </c>
      <c r="L1303" t="s">
        <v>394</v>
      </c>
      <c r="M1303" t="s">
        <v>1621</v>
      </c>
    </row>
    <row r="1304" spans="1:13" x14ac:dyDescent="0.3">
      <c r="A1304" t="s">
        <v>1618</v>
      </c>
      <c r="B1304" t="s">
        <v>1170</v>
      </c>
      <c r="C1304" t="s">
        <v>11</v>
      </c>
      <c r="D1304" t="s">
        <v>12</v>
      </c>
      <c r="E1304" t="s">
        <v>391</v>
      </c>
      <c r="H1304" t="s">
        <v>392</v>
      </c>
      <c r="I1304" t="s">
        <v>1634</v>
      </c>
      <c r="L1304" t="s">
        <v>394</v>
      </c>
      <c r="M1304" t="s">
        <v>1621</v>
      </c>
    </row>
    <row r="1305" spans="1:13" x14ac:dyDescent="0.3">
      <c r="A1305" t="s">
        <v>1617</v>
      </c>
      <c r="B1305" t="s">
        <v>1167</v>
      </c>
      <c r="C1305" t="s">
        <v>11</v>
      </c>
      <c r="D1305" t="s">
        <v>12</v>
      </c>
      <c r="E1305" t="s">
        <v>391</v>
      </c>
      <c r="H1305" t="s">
        <v>392</v>
      </c>
      <c r="I1305" t="s">
        <v>1635</v>
      </c>
      <c r="L1305" t="s">
        <v>394</v>
      </c>
      <c r="M1305" t="s">
        <v>1621</v>
      </c>
    </row>
    <row r="1306" spans="1:13" x14ac:dyDescent="0.3">
      <c r="A1306" t="s">
        <v>1619</v>
      </c>
      <c r="B1306" t="s">
        <v>1173</v>
      </c>
      <c r="C1306" t="s">
        <v>11</v>
      </c>
      <c r="D1306" t="s">
        <v>12</v>
      </c>
      <c r="E1306" t="s">
        <v>391</v>
      </c>
      <c r="H1306" t="s">
        <v>392</v>
      </c>
      <c r="I1306" t="s">
        <v>1636</v>
      </c>
      <c r="L1306" t="s">
        <v>394</v>
      </c>
      <c r="M1306" t="s">
        <v>1621</v>
      </c>
    </row>
    <row r="1307" spans="1:13" x14ac:dyDescent="0.3">
      <c r="A1307" t="s">
        <v>1604</v>
      </c>
      <c r="B1307" t="s">
        <v>1134</v>
      </c>
      <c r="C1307" t="s">
        <v>11</v>
      </c>
      <c r="D1307" t="s">
        <v>12</v>
      </c>
      <c r="E1307" t="s">
        <v>391</v>
      </c>
      <c r="H1307" t="s">
        <v>392</v>
      </c>
      <c r="I1307" t="s">
        <v>1637</v>
      </c>
      <c r="L1307" t="s">
        <v>394</v>
      </c>
      <c r="M1307" t="s">
        <v>1621</v>
      </c>
    </row>
    <row r="1308" spans="1:13" x14ac:dyDescent="0.3">
      <c r="A1308" t="s">
        <v>1606</v>
      </c>
      <c r="B1308" t="s">
        <v>1138</v>
      </c>
      <c r="C1308" t="s">
        <v>11</v>
      </c>
      <c r="D1308" t="s">
        <v>12</v>
      </c>
      <c r="E1308" t="s">
        <v>391</v>
      </c>
      <c r="H1308" t="s">
        <v>392</v>
      </c>
      <c r="I1308" t="s">
        <v>1638</v>
      </c>
      <c r="L1308" t="s">
        <v>394</v>
      </c>
      <c r="M1308" t="s">
        <v>1621</v>
      </c>
    </row>
    <row r="1309" spans="1:13" x14ac:dyDescent="0.3">
      <c r="A1309" t="s">
        <v>1639</v>
      </c>
      <c r="B1309" t="s">
        <v>1130</v>
      </c>
      <c r="C1309" t="s">
        <v>308</v>
      </c>
      <c r="D1309" t="s">
        <v>1640</v>
      </c>
      <c r="E1309" t="s">
        <v>1132</v>
      </c>
      <c r="H1309" t="s">
        <v>25</v>
      </c>
      <c r="I1309" t="s">
        <v>320</v>
      </c>
      <c r="L1309" t="s">
        <v>312</v>
      </c>
      <c r="M1309" t="s">
        <v>313</v>
      </c>
    </row>
    <row r="1310" spans="1:13" x14ac:dyDescent="0.3">
      <c r="A1310" t="s">
        <v>1639</v>
      </c>
      <c r="B1310" t="s">
        <v>1130</v>
      </c>
      <c r="C1310" t="s">
        <v>308</v>
      </c>
      <c r="D1310" t="s">
        <v>1641</v>
      </c>
      <c r="E1310" t="s">
        <v>1134</v>
      </c>
      <c r="H1310" t="s">
        <v>25</v>
      </c>
      <c r="I1310" t="s">
        <v>323</v>
      </c>
      <c r="L1310" t="s">
        <v>312</v>
      </c>
      <c r="M1310" t="s">
        <v>317</v>
      </c>
    </row>
    <row r="1311" spans="1:13" x14ac:dyDescent="0.3">
      <c r="A1311" t="s">
        <v>1639</v>
      </c>
      <c r="B1311" t="s">
        <v>1130</v>
      </c>
      <c r="C1311" t="s">
        <v>308</v>
      </c>
      <c r="D1311" t="s">
        <v>1642</v>
      </c>
      <c r="E1311" t="s">
        <v>345</v>
      </c>
      <c r="H1311" t="s">
        <v>25</v>
      </c>
      <c r="I1311" t="s">
        <v>1136</v>
      </c>
      <c r="L1311" t="s">
        <v>312</v>
      </c>
      <c r="M1311" t="s">
        <v>313</v>
      </c>
    </row>
    <row r="1312" spans="1:13" x14ac:dyDescent="0.3">
      <c r="A1312" t="s">
        <v>1639</v>
      </c>
      <c r="B1312" t="s">
        <v>1130</v>
      </c>
      <c r="C1312" t="s">
        <v>308</v>
      </c>
      <c r="D1312" t="s">
        <v>1643</v>
      </c>
      <c r="E1312" t="s">
        <v>1138</v>
      </c>
      <c r="H1312" t="s">
        <v>25</v>
      </c>
      <c r="I1312" t="s">
        <v>1139</v>
      </c>
      <c r="L1312" t="s">
        <v>312</v>
      </c>
      <c r="M1312" t="s">
        <v>317</v>
      </c>
    </row>
    <row r="1313" spans="1:13" x14ac:dyDescent="0.3">
      <c r="A1313" t="s">
        <v>1639</v>
      </c>
      <c r="B1313" t="s">
        <v>1130</v>
      </c>
      <c r="C1313" t="s">
        <v>308</v>
      </c>
      <c r="D1313" t="s">
        <v>1644</v>
      </c>
      <c r="E1313" t="s">
        <v>1141</v>
      </c>
      <c r="H1313" t="s">
        <v>25</v>
      </c>
      <c r="I1313" t="s">
        <v>1142</v>
      </c>
      <c r="L1313" t="s">
        <v>312</v>
      </c>
      <c r="M1313" t="s">
        <v>343</v>
      </c>
    </row>
    <row r="1314" spans="1:13" x14ac:dyDescent="0.3">
      <c r="A1314" t="s">
        <v>1639</v>
      </c>
      <c r="B1314" t="s">
        <v>1130</v>
      </c>
      <c r="C1314" t="s">
        <v>308</v>
      </c>
      <c r="D1314" t="s">
        <v>1645</v>
      </c>
      <c r="E1314" t="s">
        <v>1144</v>
      </c>
      <c r="H1314" t="s">
        <v>25</v>
      </c>
      <c r="I1314" t="s">
        <v>1145</v>
      </c>
      <c r="L1314" t="s">
        <v>312</v>
      </c>
      <c r="M1314" t="s">
        <v>343</v>
      </c>
    </row>
    <row r="1315" spans="1:13" x14ac:dyDescent="0.3">
      <c r="A1315" t="s">
        <v>1639</v>
      </c>
      <c r="B1315" t="s">
        <v>1130</v>
      </c>
      <c r="C1315" t="s">
        <v>308</v>
      </c>
      <c r="D1315" t="s">
        <v>1646</v>
      </c>
      <c r="E1315" t="s">
        <v>484</v>
      </c>
      <c r="H1315" t="s">
        <v>25</v>
      </c>
      <c r="I1315" t="s">
        <v>1147</v>
      </c>
      <c r="L1315" t="s">
        <v>312</v>
      </c>
      <c r="M1315" t="s">
        <v>343</v>
      </c>
    </row>
    <row r="1316" spans="1:13" x14ac:dyDescent="0.3">
      <c r="A1316" t="s">
        <v>1639</v>
      </c>
      <c r="B1316" t="s">
        <v>1130</v>
      </c>
      <c r="C1316" t="s">
        <v>308</v>
      </c>
      <c r="D1316" t="s">
        <v>1647</v>
      </c>
      <c r="E1316" t="s">
        <v>361</v>
      </c>
      <c r="H1316" t="s">
        <v>25</v>
      </c>
      <c r="I1316" t="s">
        <v>1149</v>
      </c>
      <c r="L1316" t="s">
        <v>312</v>
      </c>
      <c r="M1316" t="s">
        <v>343</v>
      </c>
    </row>
    <row r="1317" spans="1:13" x14ac:dyDescent="0.3">
      <c r="A1317" t="s">
        <v>1639</v>
      </c>
      <c r="B1317" t="s">
        <v>1130</v>
      </c>
      <c r="C1317" t="s">
        <v>308</v>
      </c>
      <c r="D1317" t="s">
        <v>1648</v>
      </c>
      <c r="E1317" t="s">
        <v>1151</v>
      </c>
      <c r="H1317" t="s">
        <v>25</v>
      </c>
      <c r="I1317" t="s">
        <v>1152</v>
      </c>
      <c r="L1317" t="s">
        <v>312</v>
      </c>
      <c r="M1317" t="s">
        <v>343</v>
      </c>
    </row>
    <row r="1318" spans="1:13" x14ac:dyDescent="0.3">
      <c r="A1318" t="s">
        <v>1639</v>
      </c>
      <c r="B1318" t="s">
        <v>1130</v>
      </c>
      <c r="C1318" t="s">
        <v>308</v>
      </c>
      <c r="D1318" t="s">
        <v>1649</v>
      </c>
      <c r="E1318" t="s">
        <v>1154</v>
      </c>
      <c r="H1318" t="s">
        <v>25</v>
      </c>
      <c r="I1318" t="s">
        <v>1152</v>
      </c>
      <c r="L1318" t="s">
        <v>312</v>
      </c>
      <c r="M1318" t="s">
        <v>343</v>
      </c>
    </row>
    <row r="1319" spans="1:13" x14ac:dyDescent="0.3">
      <c r="A1319" t="s">
        <v>1639</v>
      </c>
      <c r="B1319" t="s">
        <v>1130</v>
      </c>
      <c r="C1319" t="s">
        <v>308</v>
      </c>
      <c r="D1319" t="s">
        <v>1650</v>
      </c>
      <c r="E1319" t="s">
        <v>1156</v>
      </c>
      <c r="H1319" t="s">
        <v>25</v>
      </c>
      <c r="I1319" t="s">
        <v>1157</v>
      </c>
      <c r="L1319" t="s">
        <v>312</v>
      </c>
      <c r="M1319" t="s">
        <v>343</v>
      </c>
    </row>
    <row r="1320" spans="1:13" x14ac:dyDescent="0.3">
      <c r="A1320" t="s">
        <v>1639</v>
      </c>
      <c r="B1320" t="s">
        <v>1130</v>
      </c>
      <c r="C1320" t="s">
        <v>308</v>
      </c>
      <c r="D1320" t="s">
        <v>1651</v>
      </c>
      <c r="E1320" t="s">
        <v>527</v>
      </c>
      <c r="H1320" t="s">
        <v>25</v>
      </c>
      <c r="I1320" t="s">
        <v>1159</v>
      </c>
      <c r="L1320" t="s">
        <v>312</v>
      </c>
      <c r="M1320" t="s">
        <v>343</v>
      </c>
    </row>
    <row r="1321" spans="1:13" x14ac:dyDescent="0.3">
      <c r="A1321" t="s">
        <v>1639</v>
      </c>
      <c r="B1321" t="s">
        <v>1130</v>
      </c>
      <c r="C1321" t="s">
        <v>308</v>
      </c>
      <c r="D1321" t="s">
        <v>1652</v>
      </c>
      <c r="E1321" t="s">
        <v>1161</v>
      </c>
      <c r="H1321" t="s">
        <v>25</v>
      </c>
      <c r="I1321" t="s">
        <v>1162</v>
      </c>
      <c r="L1321" t="s">
        <v>312</v>
      </c>
      <c r="M1321" t="s">
        <v>343</v>
      </c>
    </row>
    <row r="1322" spans="1:13" x14ac:dyDescent="0.3">
      <c r="A1322" t="s">
        <v>1639</v>
      </c>
      <c r="B1322" t="s">
        <v>1130</v>
      </c>
      <c r="C1322" t="s">
        <v>308</v>
      </c>
      <c r="D1322" t="s">
        <v>1653</v>
      </c>
      <c r="E1322" t="s">
        <v>1164</v>
      </c>
      <c r="H1322" t="s">
        <v>25</v>
      </c>
      <c r="I1322" t="s">
        <v>1165</v>
      </c>
      <c r="L1322" t="s">
        <v>312</v>
      </c>
      <c r="M1322" t="s">
        <v>343</v>
      </c>
    </row>
    <row r="1323" spans="1:13" x14ac:dyDescent="0.3">
      <c r="A1323" t="s">
        <v>1639</v>
      </c>
      <c r="B1323" t="s">
        <v>1130</v>
      </c>
      <c r="C1323" t="s">
        <v>308</v>
      </c>
      <c r="D1323" t="s">
        <v>1654</v>
      </c>
      <c r="E1323" t="s">
        <v>1167</v>
      </c>
      <c r="H1323" t="s">
        <v>25</v>
      </c>
      <c r="I1323" t="s">
        <v>1168</v>
      </c>
      <c r="L1323" t="s">
        <v>312</v>
      </c>
      <c r="M1323" t="s">
        <v>343</v>
      </c>
    </row>
    <row r="1324" spans="1:13" x14ac:dyDescent="0.3">
      <c r="A1324" t="s">
        <v>1639</v>
      </c>
      <c r="B1324" t="s">
        <v>1130</v>
      </c>
      <c r="C1324" t="s">
        <v>308</v>
      </c>
      <c r="D1324" t="s">
        <v>1655</v>
      </c>
      <c r="E1324" t="s">
        <v>1170</v>
      </c>
      <c r="H1324" t="s">
        <v>25</v>
      </c>
      <c r="I1324" t="s">
        <v>1171</v>
      </c>
      <c r="L1324" t="s">
        <v>312</v>
      </c>
      <c r="M1324" t="s">
        <v>343</v>
      </c>
    </row>
    <row r="1325" spans="1:13" x14ac:dyDescent="0.3">
      <c r="A1325" t="s">
        <v>1639</v>
      </c>
      <c r="B1325" t="s">
        <v>1130</v>
      </c>
      <c r="C1325" t="s">
        <v>308</v>
      </c>
      <c r="D1325" t="s">
        <v>1656</v>
      </c>
      <c r="E1325" t="s">
        <v>1173</v>
      </c>
      <c r="H1325" t="s">
        <v>25</v>
      </c>
      <c r="I1325" t="s">
        <v>1174</v>
      </c>
      <c r="L1325" t="s">
        <v>312</v>
      </c>
      <c r="M1325" t="s">
        <v>343</v>
      </c>
    </row>
    <row r="1326" spans="1:13" x14ac:dyDescent="0.3">
      <c r="A1326" t="s">
        <v>1639</v>
      </c>
      <c r="B1326" t="s">
        <v>1130</v>
      </c>
      <c r="C1326" t="s">
        <v>22</v>
      </c>
      <c r="D1326" t="s">
        <v>23</v>
      </c>
      <c r="E1326" t="s">
        <v>28</v>
      </c>
      <c r="F1326" t="s">
        <v>25</v>
      </c>
      <c r="G1326" t="s">
        <v>1657</v>
      </c>
      <c r="J1326" t="s">
        <v>373</v>
      </c>
      <c r="K1326" t="s">
        <v>374</v>
      </c>
    </row>
    <row r="1327" spans="1:13" x14ac:dyDescent="0.3">
      <c r="A1327" t="s">
        <v>1639</v>
      </c>
      <c r="B1327" t="s">
        <v>1130</v>
      </c>
      <c r="C1327" t="s">
        <v>380</v>
      </c>
      <c r="D1327" t="s">
        <v>9</v>
      </c>
      <c r="E1327" t="s">
        <v>10</v>
      </c>
    </row>
    <row r="1328" spans="1:13" x14ac:dyDescent="0.3">
      <c r="A1328" t="s">
        <v>1639</v>
      </c>
      <c r="B1328" t="s">
        <v>1130</v>
      </c>
      <c r="C1328" t="s">
        <v>16</v>
      </c>
      <c r="D1328" t="s">
        <v>1079</v>
      </c>
      <c r="E1328" t="s">
        <v>37</v>
      </c>
    </row>
    <row r="1329" spans="1:13" x14ac:dyDescent="0.3">
      <c r="A1329" t="s">
        <v>1639</v>
      </c>
      <c r="B1329" t="s">
        <v>1130</v>
      </c>
      <c r="C1329" t="s">
        <v>11</v>
      </c>
      <c r="D1329" t="s">
        <v>12</v>
      </c>
      <c r="E1329" t="s">
        <v>13</v>
      </c>
      <c r="H1329" t="s">
        <v>382</v>
      </c>
      <c r="I1329" t="s">
        <v>1658</v>
      </c>
      <c r="L1329" t="s">
        <v>14</v>
      </c>
      <c r="M1329" t="s">
        <v>1658</v>
      </c>
    </row>
    <row r="1330" spans="1:13" x14ac:dyDescent="0.3">
      <c r="A1330" t="s">
        <v>1647</v>
      </c>
      <c r="B1330" t="s">
        <v>361</v>
      </c>
      <c r="C1330" t="s">
        <v>11</v>
      </c>
      <c r="D1330" t="s">
        <v>12</v>
      </c>
      <c r="E1330" t="s">
        <v>391</v>
      </c>
      <c r="H1330" t="s">
        <v>392</v>
      </c>
      <c r="I1330" t="s">
        <v>1659</v>
      </c>
      <c r="L1330" t="s">
        <v>394</v>
      </c>
      <c r="M1330" t="s">
        <v>1658</v>
      </c>
    </row>
    <row r="1331" spans="1:13" x14ac:dyDescent="0.3">
      <c r="A1331" t="s">
        <v>1644</v>
      </c>
      <c r="B1331" t="s">
        <v>484</v>
      </c>
      <c r="C1331" t="s">
        <v>11</v>
      </c>
      <c r="D1331" t="s">
        <v>12</v>
      </c>
      <c r="E1331" t="s">
        <v>391</v>
      </c>
      <c r="H1331" t="s">
        <v>392</v>
      </c>
      <c r="I1331" t="s">
        <v>1660</v>
      </c>
      <c r="L1331" t="s">
        <v>394</v>
      </c>
      <c r="M1331" t="s">
        <v>1658</v>
      </c>
    </row>
    <row r="1332" spans="1:13" x14ac:dyDescent="0.3">
      <c r="A1332" t="s">
        <v>1648</v>
      </c>
      <c r="B1332" t="s">
        <v>1151</v>
      </c>
      <c r="C1332" t="s">
        <v>11</v>
      </c>
      <c r="D1332" t="s">
        <v>12</v>
      </c>
      <c r="E1332" t="s">
        <v>391</v>
      </c>
      <c r="H1332" t="s">
        <v>392</v>
      </c>
      <c r="I1332" t="s">
        <v>1661</v>
      </c>
      <c r="L1332" t="s">
        <v>394</v>
      </c>
      <c r="M1332" t="s">
        <v>1658</v>
      </c>
    </row>
    <row r="1333" spans="1:13" x14ac:dyDescent="0.3">
      <c r="A1333" t="s">
        <v>1649</v>
      </c>
      <c r="B1333" t="s">
        <v>1154</v>
      </c>
      <c r="C1333" t="s">
        <v>11</v>
      </c>
      <c r="D1333" t="s">
        <v>12</v>
      </c>
      <c r="E1333" t="s">
        <v>391</v>
      </c>
      <c r="H1333" t="s">
        <v>392</v>
      </c>
      <c r="I1333" t="s">
        <v>1662</v>
      </c>
      <c r="L1333" t="s">
        <v>394</v>
      </c>
      <c r="M1333" t="s">
        <v>1658</v>
      </c>
    </row>
    <row r="1334" spans="1:13" x14ac:dyDescent="0.3">
      <c r="A1334" t="s">
        <v>1650</v>
      </c>
      <c r="B1334" t="s">
        <v>1156</v>
      </c>
      <c r="C1334" t="s">
        <v>11</v>
      </c>
      <c r="D1334" t="s">
        <v>12</v>
      </c>
      <c r="E1334" t="s">
        <v>391</v>
      </c>
      <c r="H1334" t="s">
        <v>392</v>
      </c>
      <c r="I1334" t="s">
        <v>1663</v>
      </c>
      <c r="L1334" t="s">
        <v>394</v>
      </c>
      <c r="M1334" t="s">
        <v>1658</v>
      </c>
    </row>
    <row r="1335" spans="1:13" x14ac:dyDescent="0.3">
      <c r="A1335" t="s">
        <v>1651</v>
      </c>
      <c r="B1335" t="s">
        <v>550</v>
      </c>
      <c r="C1335" t="s">
        <v>11</v>
      </c>
      <c r="D1335" t="s">
        <v>12</v>
      </c>
      <c r="E1335" t="s">
        <v>391</v>
      </c>
      <c r="H1335" t="s">
        <v>392</v>
      </c>
      <c r="I1335" t="s">
        <v>1664</v>
      </c>
      <c r="L1335" t="s">
        <v>394</v>
      </c>
      <c r="M1335" t="s">
        <v>1658</v>
      </c>
    </row>
    <row r="1336" spans="1:13" x14ac:dyDescent="0.3">
      <c r="A1336" t="s">
        <v>1646</v>
      </c>
      <c r="B1336" t="s">
        <v>1183</v>
      </c>
      <c r="C1336" t="s">
        <v>11</v>
      </c>
      <c r="D1336" t="s">
        <v>12</v>
      </c>
      <c r="E1336" t="s">
        <v>391</v>
      </c>
      <c r="H1336" t="s">
        <v>392</v>
      </c>
      <c r="I1336" t="s">
        <v>1665</v>
      </c>
      <c r="L1336" t="s">
        <v>394</v>
      </c>
      <c r="M1336" t="s">
        <v>1658</v>
      </c>
    </row>
    <row r="1337" spans="1:13" x14ac:dyDescent="0.3">
      <c r="A1337" t="s">
        <v>1652</v>
      </c>
      <c r="B1337" t="s">
        <v>1161</v>
      </c>
      <c r="C1337" t="s">
        <v>11</v>
      </c>
      <c r="D1337" t="s">
        <v>12</v>
      </c>
      <c r="E1337" t="s">
        <v>391</v>
      </c>
      <c r="H1337" t="s">
        <v>392</v>
      </c>
      <c r="I1337" t="s">
        <v>1666</v>
      </c>
      <c r="L1337" t="s">
        <v>394</v>
      </c>
      <c r="M1337" t="s">
        <v>1658</v>
      </c>
    </row>
    <row r="1338" spans="1:13" x14ac:dyDescent="0.3">
      <c r="A1338" t="s">
        <v>1640</v>
      </c>
      <c r="B1338" t="s">
        <v>1132</v>
      </c>
      <c r="C1338" t="s">
        <v>11</v>
      </c>
      <c r="D1338" t="s">
        <v>12</v>
      </c>
      <c r="E1338" t="s">
        <v>391</v>
      </c>
      <c r="H1338" t="s">
        <v>392</v>
      </c>
      <c r="I1338" t="s">
        <v>1667</v>
      </c>
      <c r="L1338" t="s">
        <v>394</v>
      </c>
      <c r="M1338" t="s">
        <v>1658</v>
      </c>
    </row>
    <row r="1339" spans="1:13" x14ac:dyDescent="0.3">
      <c r="A1339" t="s">
        <v>1642</v>
      </c>
      <c r="B1339" t="s">
        <v>345</v>
      </c>
      <c r="C1339" t="s">
        <v>11</v>
      </c>
      <c r="D1339" t="s">
        <v>12</v>
      </c>
      <c r="E1339" t="s">
        <v>391</v>
      </c>
      <c r="H1339" t="s">
        <v>392</v>
      </c>
      <c r="I1339" t="s">
        <v>1668</v>
      </c>
      <c r="L1339" t="s">
        <v>394</v>
      </c>
      <c r="M1339" t="s">
        <v>1658</v>
      </c>
    </row>
    <row r="1340" spans="1:13" x14ac:dyDescent="0.3">
      <c r="A1340" t="s">
        <v>1645</v>
      </c>
      <c r="B1340" t="s">
        <v>1144</v>
      </c>
      <c r="C1340" t="s">
        <v>11</v>
      </c>
      <c r="D1340" t="s">
        <v>12</v>
      </c>
      <c r="E1340" t="s">
        <v>391</v>
      </c>
      <c r="H1340" t="s">
        <v>392</v>
      </c>
      <c r="I1340" t="s">
        <v>1669</v>
      </c>
      <c r="L1340" t="s">
        <v>394</v>
      </c>
      <c r="M1340" t="s">
        <v>1658</v>
      </c>
    </row>
    <row r="1341" spans="1:13" x14ac:dyDescent="0.3">
      <c r="A1341" t="s">
        <v>1653</v>
      </c>
      <c r="B1341" t="s">
        <v>1164</v>
      </c>
      <c r="C1341" t="s">
        <v>11</v>
      </c>
      <c r="D1341" t="s">
        <v>12</v>
      </c>
      <c r="E1341" t="s">
        <v>391</v>
      </c>
      <c r="H1341" t="s">
        <v>392</v>
      </c>
      <c r="I1341" t="s">
        <v>1670</v>
      </c>
      <c r="L1341" t="s">
        <v>394</v>
      </c>
      <c r="M1341" t="s">
        <v>1658</v>
      </c>
    </row>
    <row r="1342" spans="1:13" x14ac:dyDescent="0.3">
      <c r="A1342" t="s">
        <v>1655</v>
      </c>
      <c r="B1342" t="s">
        <v>1170</v>
      </c>
      <c r="C1342" t="s">
        <v>11</v>
      </c>
      <c r="D1342" t="s">
        <v>12</v>
      </c>
      <c r="E1342" t="s">
        <v>391</v>
      </c>
      <c r="H1342" t="s">
        <v>392</v>
      </c>
      <c r="I1342" t="s">
        <v>1671</v>
      </c>
      <c r="L1342" t="s">
        <v>394</v>
      </c>
      <c r="M1342" t="s">
        <v>1658</v>
      </c>
    </row>
    <row r="1343" spans="1:13" x14ac:dyDescent="0.3">
      <c r="A1343" t="s">
        <v>1654</v>
      </c>
      <c r="B1343" t="s">
        <v>1167</v>
      </c>
      <c r="C1343" t="s">
        <v>11</v>
      </c>
      <c r="D1343" t="s">
        <v>12</v>
      </c>
      <c r="E1343" t="s">
        <v>391</v>
      </c>
      <c r="H1343" t="s">
        <v>392</v>
      </c>
      <c r="I1343" t="s">
        <v>1672</v>
      </c>
      <c r="L1343" t="s">
        <v>394</v>
      </c>
      <c r="M1343" t="s">
        <v>1658</v>
      </c>
    </row>
    <row r="1344" spans="1:13" x14ac:dyDescent="0.3">
      <c r="A1344" t="s">
        <v>1656</v>
      </c>
      <c r="B1344" t="s">
        <v>1173</v>
      </c>
      <c r="C1344" t="s">
        <v>11</v>
      </c>
      <c r="D1344" t="s">
        <v>12</v>
      </c>
      <c r="E1344" t="s">
        <v>391</v>
      </c>
      <c r="H1344" t="s">
        <v>392</v>
      </c>
      <c r="I1344" t="s">
        <v>1673</v>
      </c>
      <c r="L1344" t="s">
        <v>394</v>
      </c>
      <c r="M1344" t="s">
        <v>1658</v>
      </c>
    </row>
    <row r="1345" spans="1:13" x14ac:dyDescent="0.3">
      <c r="A1345" t="s">
        <v>1641</v>
      </c>
      <c r="B1345" t="s">
        <v>1134</v>
      </c>
      <c r="C1345" t="s">
        <v>11</v>
      </c>
      <c r="D1345" t="s">
        <v>12</v>
      </c>
      <c r="E1345" t="s">
        <v>391</v>
      </c>
      <c r="H1345" t="s">
        <v>392</v>
      </c>
      <c r="I1345" t="s">
        <v>1674</v>
      </c>
      <c r="L1345" t="s">
        <v>394</v>
      </c>
      <c r="M1345" t="s">
        <v>1658</v>
      </c>
    </row>
    <row r="1346" spans="1:13" x14ac:dyDescent="0.3">
      <c r="A1346" t="s">
        <v>1643</v>
      </c>
      <c r="B1346" t="s">
        <v>1138</v>
      </c>
      <c r="C1346" t="s">
        <v>11</v>
      </c>
      <c r="D1346" t="s">
        <v>12</v>
      </c>
      <c r="E1346" t="s">
        <v>391</v>
      </c>
      <c r="H1346" t="s">
        <v>392</v>
      </c>
      <c r="I1346" t="s">
        <v>1675</v>
      </c>
      <c r="L1346" t="s">
        <v>394</v>
      </c>
      <c r="M1346" t="s">
        <v>1658</v>
      </c>
    </row>
    <row r="1347" spans="1:13" x14ac:dyDescent="0.3">
      <c r="A1347" t="s">
        <v>1676</v>
      </c>
      <c r="B1347" t="s">
        <v>1677</v>
      </c>
      <c r="C1347" t="s">
        <v>280</v>
      </c>
      <c r="D1347" t="s">
        <v>1678</v>
      </c>
      <c r="E1347" t="s">
        <v>478</v>
      </c>
      <c r="H1347" t="s">
        <v>25</v>
      </c>
      <c r="I1347" t="s">
        <v>1679</v>
      </c>
    </row>
    <row r="1348" spans="1:13" x14ac:dyDescent="0.3">
      <c r="A1348" t="s">
        <v>1676</v>
      </c>
      <c r="B1348" t="s">
        <v>1677</v>
      </c>
      <c r="C1348" t="s">
        <v>280</v>
      </c>
      <c r="D1348" t="s">
        <v>1680</v>
      </c>
      <c r="E1348" t="s">
        <v>488</v>
      </c>
      <c r="H1348" t="s">
        <v>25</v>
      </c>
      <c r="I1348" t="s">
        <v>1681</v>
      </c>
    </row>
    <row r="1349" spans="1:13" x14ac:dyDescent="0.3">
      <c r="A1349" t="s">
        <v>1676</v>
      </c>
      <c r="B1349" t="s">
        <v>1677</v>
      </c>
      <c r="C1349" t="s">
        <v>280</v>
      </c>
      <c r="D1349" t="s">
        <v>1682</v>
      </c>
      <c r="E1349" t="s">
        <v>399</v>
      </c>
      <c r="H1349" t="s">
        <v>25</v>
      </c>
      <c r="I1349" t="s">
        <v>1683</v>
      </c>
    </row>
    <row r="1350" spans="1:13" x14ac:dyDescent="0.3">
      <c r="A1350" t="s">
        <v>1676</v>
      </c>
      <c r="B1350" t="s">
        <v>1677</v>
      </c>
      <c r="C1350" t="s">
        <v>308</v>
      </c>
      <c r="D1350" t="s">
        <v>1684</v>
      </c>
      <c r="E1350" t="s">
        <v>1685</v>
      </c>
      <c r="H1350" t="s">
        <v>25</v>
      </c>
      <c r="I1350" t="s">
        <v>1686</v>
      </c>
      <c r="L1350" t="s">
        <v>312</v>
      </c>
      <c r="M1350" t="s">
        <v>1687</v>
      </c>
    </row>
    <row r="1351" spans="1:13" x14ac:dyDescent="0.3">
      <c r="A1351" t="s">
        <v>1676</v>
      </c>
      <c r="B1351" t="s">
        <v>1677</v>
      </c>
      <c r="C1351" t="s">
        <v>308</v>
      </c>
      <c r="D1351" t="s">
        <v>1688</v>
      </c>
      <c r="E1351" t="s">
        <v>1689</v>
      </c>
      <c r="H1351" t="s">
        <v>25</v>
      </c>
      <c r="I1351" t="s">
        <v>1690</v>
      </c>
      <c r="L1351" t="s">
        <v>312</v>
      </c>
      <c r="M1351" t="s">
        <v>1687</v>
      </c>
    </row>
    <row r="1352" spans="1:13" x14ac:dyDescent="0.3">
      <c r="A1352" t="s">
        <v>1676</v>
      </c>
      <c r="B1352" t="s">
        <v>1677</v>
      </c>
      <c r="C1352" t="s">
        <v>22</v>
      </c>
      <c r="D1352" s="1" t="s">
        <v>20</v>
      </c>
      <c r="E1352" s="1" t="s">
        <v>21</v>
      </c>
      <c r="F1352" t="s">
        <v>25</v>
      </c>
      <c r="G1352" t="s">
        <v>1691</v>
      </c>
    </row>
    <row r="1353" spans="1:13" x14ac:dyDescent="0.3">
      <c r="A1353" t="s">
        <v>1676</v>
      </c>
      <c r="B1353" s="5" t="s">
        <v>1677</v>
      </c>
      <c r="C1353" t="s">
        <v>1692</v>
      </c>
      <c r="D1353" t="s">
        <v>9</v>
      </c>
      <c r="E1353" t="s">
        <v>10</v>
      </c>
    </row>
    <row r="1354" spans="1:13" x14ac:dyDescent="0.3">
      <c r="A1354" t="s">
        <v>1676</v>
      </c>
      <c r="B1354" s="4" t="s">
        <v>1677</v>
      </c>
      <c r="C1354" t="s">
        <v>16</v>
      </c>
      <c r="D1354" t="s">
        <v>587</v>
      </c>
      <c r="E1354" t="s">
        <v>37</v>
      </c>
    </row>
    <row r="1355" spans="1:13" x14ac:dyDescent="0.3">
      <c r="A1355" t="s">
        <v>1676</v>
      </c>
      <c r="B1355" t="s">
        <v>1677</v>
      </c>
      <c r="C1355" t="s">
        <v>11</v>
      </c>
      <c r="D1355" t="s">
        <v>12</v>
      </c>
      <c r="E1355" t="s">
        <v>13</v>
      </c>
      <c r="H1355" t="s">
        <v>382</v>
      </c>
      <c r="I1355" t="s">
        <v>1693</v>
      </c>
      <c r="L1355" t="s">
        <v>14</v>
      </c>
      <c r="M1355" t="s">
        <v>1693</v>
      </c>
    </row>
    <row r="1356" spans="1:13" x14ac:dyDescent="0.3">
      <c r="A1356" t="s">
        <v>1680</v>
      </c>
      <c r="B1356" t="s">
        <v>488</v>
      </c>
      <c r="C1356" t="s">
        <v>308</v>
      </c>
      <c r="D1356" t="s">
        <v>1694</v>
      </c>
      <c r="E1356" t="s">
        <v>1695</v>
      </c>
      <c r="H1356" t="s">
        <v>25</v>
      </c>
      <c r="I1356" t="s">
        <v>1696</v>
      </c>
      <c r="L1356" t="s">
        <v>312</v>
      </c>
      <c r="M1356" t="s">
        <v>385</v>
      </c>
    </row>
    <row r="1357" spans="1:13" x14ac:dyDescent="0.3">
      <c r="A1357" t="s">
        <v>1678</v>
      </c>
      <c r="B1357" t="s">
        <v>478</v>
      </c>
      <c r="C1357" t="s">
        <v>308</v>
      </c>
      <c r="D1357" t="s">
        <v>1697</v>
      </c>
      <c r="E1357" t="s">
        <v>491</v>
      </c>
      <c r="H1357" t="s">
        <v>25</v>
      </c>
      <c r="I1357" t="s">
        <v>1698</v>
      </c>
      <c r="L1357" t="s">
        <v>312</v>
      </c>
      <c r="M1357" t="s">
        <v>343</v>
      </c>
    </row>
    <row r="1358" spans="1:13" x14ac:dyDescent="0.3">
      <c r="A1358" t="s">
        <v>1678</v>
      </c>
      <c r="B1358" t="s">
        <v>478</v>
      </c>
      <c r="C1358" t="s">
        <v>308</v>
      </c>
      <c r="D1358" t="s">
        <v>1699</v>
      </c>
      <c r="E1358" t="s">
        <v>494</v>
      </c>
      <c r="H1358" t="s">
        <v>25</v>
      </c>
      <c r="I1358" t="s">
        <v>1700</v>
      </c>
      <c r="L1358" t="s">
        <v>312</v>
      </c>
      <c r="M1358" t="s">
        <v>496</v>
      </c>
    </row>
    <row r="1359" spans="1:13" x14ac:dyDescent="0.3">
      <c r="A1359" t="s">
        <v>1694</v>
      </c>
      <c r="B1359" t="s">
        <v>1695</v>
      </c>
      <c r="C1359" t="s">
        <v>11</v>
      </c>
      <c r="D1359" t="s">
        <v>12</v>
      </c>
      <c r="E1359" t="s">
        <v>391</v>
      </c>
      <c r="H1359" t="s">
        <v>392</v>
      </c>
      <c r="I1359" t="s">
        <v>1701</v>
      </c>
      <c r="L1359" t="s">
        <v>394</v>
      </c>
      <c r="M1359" t="s">
        <v>1693</v>
      </c>
    </row>
    <row r="1360" spans="1:13" x14ac:dyDescent="0.3">
      <c r="A1360" t="s">
        <v>1684</v>
      </c>
      <c r="B1360" t="s">
        <v>1685</v>
      </c>
      <c r="C1360" t="s">
        <v>11</v>
      </c>
      <c r="D1360" t="s">
        <v>12</v>
      </c>
      <c r="E1360" t="s">
        <v>391</v>
      </c>
      <c r="H1360" t="s">
        <v>392</v>
      </c>
      <c r="I1360" t="s">
        <v>1702</v>
      </c>
      <c r="L1360" t="s">
        <v>394</v>
      </c>
      <c r="M1360" t="s">
        <v>1693</v>
      </c>
    </row>
    <row r="1361" spans="1:13" x14ac:dyDescent="0.3">
      <c r="A1361" t="s">
        <v>1697</v>
      </c>
      <c r="B1361" t="s">
        <v>491</v>
      </c>
      <c r="C1361" t="s">
        <v>11</v>
      </c>
      <c r="D1361" t="s">
        <v>12</v>
      </c>
      <c r="E1361" t="s">
        <v>391</v>
      </c>
      <c r="H1361" t="s">
        <v>392</v>
      </c>
      <c r="I1361" t="s">
        <v>1703</v>
      </c>
      <c r="L1361" t="s">
        <v>394</v>
      </c>
      <c r="M1361" t="s">
        <v>1693</v>
      </c>
    </row>
    <row r="1362" spans="1:13" x14ac:dyDescent="0.3">
      <c r="A1362" t="s">
        <v>1699</v>
      </c>
      <c r="B1362" t="s">
        <v>494</v>
      </c>
      <c r="C1362" t="s">
        <v>11</v>
      </c>
      <c r="D1362" t="s">
        <v>12</v>
      </c>
      <c r="E1362" t="s">
        <v>391</v>
      </c>
      <c r="H1362" t="s">
        <v>392</v>
      </c>
      <c r="I1362" t="s">
        <v>1704</v>
      </c>
      <c r="L1362" t="s">
        <v>394</v>
      </c>
      <c r="M1362" t="s">
        <v>1693</v>
      </c>
    </row>
    <row r="1363" spans="1:13" x14ac:dyDescent="0.3">
      <c r="A1363" t="s">
        <v>1682</v>
      </c>
      <c r="B1363" t="s">
        <v>399</v>
      </c>
      <c r="C1363" t="s">
        <v>308</v>
      </c>
      <c r="D1363" t="s">
        <v>1705</v>
      </c>
      <c r="E1363" t="s">
        <v>396</v>
      </c>
      <c r="H1363" t="s">
        <v>25</v>
      </c>
      <c r="I1363" t="s">
        <v>1706</v>
      </c>
      <c r="L1363" t="s">
        <v>312</v>
      </c>
      <c r="M1363" t="s">
        <v>413</v>
      </c>
    </row>
    <row r="1364" spans="1:13" x14ac:dyDescent="0.3">
      <c r="A1364" t="s">
        <v>1705</v>
      </c>
      <c r="B1364" t="s">
        <v>396</v>
      </c>
      <c r="C1364" t="s">
        <v>11</v>
      </c>
      <c r="D1364" t="s">
        <v>12</v>
      </c>
      <c r="E1364" t="s">
        <v>391</v>
      </c>
      <c r="H1364" t="s">
        <v>392</v>
      </c>
      <c r="I1364" t="s">
        <v>1707</v>
      </c>
      <c r="L1364" t="s">
        <v>394</v>
      </c>
      <c r="M1364" t="s">
        <v>1693</v>
      </c>
    </row>
    <row r="1365" spans="1:13" x14ac:dyDescent="0.3">
      <c r="A1365" t="s">
        <v>1688</v>
      </c>
      <c r="B1365" t="s">
        <v>1689</v>
      </c>
      <c r="C1365" t="s">
        <v>11</v>
      </c>
      <c r="D1365" t="s">
        <v>12</v>
      </c>
      <c r="E1365" t="s">
        <v>391</v>
      </c>
      <c r="H1365" t="s">
        <v>392</v>
      </c>
      <c r="I1365" t="s">
        <v>1708</v>
      </c>
      <c r="L1365" t="s">
        <v>394</v>
      </c>
      <c r="M1365" t="s">
        <v>1693</v>
      </c>
    </row>
    <row r="1366" spans="1:13" x14ac:dyDescent="0.3">
      <c r="A1366" t="s">
        <v>1709</v>
      </c>
      <c r="B1366" t="s">
        <v>1677</v>
      </c>
      <c r="C1366" t="s">
        <v>280</v>
      </c>
      <c r="D1366" t="s">
        <v>1710</v>
      </c>
      <c r="E1366" t="s">
        <v>478</v>
      </c>
      <c r="H1366" t="s">
        <v>25</v>
      </c>
      <c r="I1366" t="s">
        <v>1711</v>
      </c>
    </row>
    <row r="1367" spans="1:13" x14ac:dyDescent="0.3">
      <c r="A1367" t="s">
        <v>1709</v>
      </c>
      <c r="B1367" t="s">
        <v>1677</v>
      </c>
      <c r="C1367" t="s">
        <v>280</v>
      </c>
      <c r="D1367" t="s">
        <v>1712</v>
      </c>
      <c r="E1367" t="s">
        <v>488</v>
      </c>
      <c r="H1367" t="s">
        <v>25</v>
      </c>
      <c r="I1367" t="s">
        <v>1713</v>
      </c>
    </row>
    <row r="1368" spans="1:13" x14ac:dyDescent="0.3">
      <c r="A1368" t="s">
        <v>1709</v>
      </c>
      <c r="B1368" t="s">
        <v>1677</v>
      </c>
      <c r="C1368" t="s">
        <v>280</v>
      </c>
      <c r="D1368" t="s">
        <v>1714</v>
      </c>
      <c r="E1368" t="s">
        <v>399</v>
      </c>
      <c r="H1368" t="s">
        <v>25</v>
      </c>
      <c r="I1368" t="s">
        <v>1715</v>
      </c>
    </row>
    <row r="1369" spans="1:13" x14ac:dyDescent="0.3">
      <c r="A1369" t="s">
        <v>1709</v>
      </c>
      <c r="B1369" t="s">
        <v>1677</v>
      </c>
      <c r="C1369" t="s">
        <v>308</v>
      </c>
      <c r="D1369" t="s">
        <v>1716</v>
      </c>
      <c r="E1369" t="s">
        <v>1685</v>
      </c>
      <c r="H1369" t="s">
        <v>25</v>
      </c>
      <c r="I1369" t="s">
        <v>1686</v>
      </c>
      <c r="L1369" t="s">
        <v>312</v>
      </c>
      <c r="M1369" t="s">
        <v>1687</v>
      </c>
    </row>
    <row r="1370" spans="1:13" x14ac:dyDescent="0.3">
      <c r="A1370" t="s">
        <v>1709</v>
      </c>
      <c r="B1370" t="s">
        <v>1677</v>
      </c>
      <c r="C1370" t="s">
        <v>308</v>
      </c>
      <c r="D1370" t="s">
        <v>1717</v>
      </c>
      <c r="E1370" t="s">
        <v>1689</v>
      </c>
      <c r="H1370" t="s">
        <v>25</v>
      </c>
      <c r="I1370" t="s">
        <v>1690</v>
      </c>
      <c r="L1370" t="s">
        <v>312</v>
      </c>
      <c r="M1370" t="s">
        <v>1687</v>
      </c>
    </row>
    <row r="1371" spans="1:13" x14ac:dyDescent="0.3">
      <c r="A1371" t="s">
        <v>1709</v>
      </c>
      <c r="B1371" t="s">
        <v>1677</v>
      </c>
      <c r="C1371" t="s">
        <v>22</v>
      </c>
      <c r="D1371" s="1" t="s">
        <v>20</v>
      </c>
      <c r="E1371" s="1" t="s">
        <v>21</v>
      </c>
      <c r="F1371" t="s">
        <v>25</v>
      </c>
      <c r="G1371" t="s">
        <v>1718</v>
      </c>
    </row>
    <row r="1372" spans="1:13" x14ac:dyDescent="0.3">
      <c r="A1372" t="s">
        <v>1709</v>
      </c>
      <c r="B1372" s="4" t="s">
        <v>1677</v>
      </c>
      <c r="C1372" t="s">
        <v>1692</v>
      </c>
      <c r="D1372" t="s">
        <v>9</v>
      </c>
      <c r="E1372" t="s">
        <v>10</v>
      </c>
    </row>
    <row r="1373" spans="1:13" x14ac:dyDescent="0.3">
      <c r="A1373" t="s">
        <v>1709</v>
      </c>
      <c r="B1373" s="4" t="s">
        <v>1677</v>
      </c>
      <c r="C1373" t="s">
        <v>16</v>
      </c>
      <c r="D1373" t="s">
        <v>587</v>
      </c>
      <c r="E1373" t="s">
        <v>37</v>
      </c>
    </row>
    <row r="1374" spans="1:13" x14ac:dyDescent="0.3">
      <c r="A1374" t="s">
        <v>1709</v>
      </c>
      <c r="B1374" t="s">
        <v>1677</v>
      </c>
      <c r="C1374" t="s">
        <v>11</v>
      </c>
      <c r="D1374" t="s">
        <v>12</v>
      </c>
      <c r="E1374" t="s">
        <v>13</v>
      </c>
      <c r="H1374" t="s">
        <v>382</v>
      </c>
      <c r="I1374" t="s">
        <v>1719</v>
      </c>
      <c r="L1374" t="s">
        <v>14</v>
      </c>
      <c r="M1374" t="s">
        <v>1719</v>
      </c>
    </row>
    <row r="1375" spans="1:13" x14ac:dyDescent="0.3">
      <c r="A1375" t="s">
        <v>1712</v>
      </c>
      <c r="B1375" t="s">
        <v>488</v>
      </c>
      <c r="C1375" t="s">
        <v>308</v>
      </c>
      <c r="D1375" t="s">
        <v>1720</v>
      </c>
      <c r="E1375" t="s">
        <v>1695</v>
      </c>
      <c r="H1375" t="s">
        <v>25</v>
      </c>
      <c r="I1375" t="s">
        <v>1696</v>
      </c>
      <c r="L1375" t="s">
        <v>312</v>
      </c>
      <c r="M1375" t="s">
        <v>385</v>
      </c>
    </row>
    <row r="1376" spans="1:13" x14ac:dyDescent="0.3">
      <c r="A1376" t="s">
        <v>1710</v>
      </c>
      <c r="B1376" t="s">
        <v>478</v>
      </c>
      <c r="C1376" t="s">
        <v>308</v>
      </c>
      <c r="D1376" t="s">
        <v>1721</v>
      </c>
      <c r="E1376" t="s">
        <v>491</v>
      </c>
      <c r="H1376" t="s">
        <v>25</v>
      </c>
      <c r="I1376" t="s">
        <v>1698</v>
      </c>
      <c r="L1376" t="s">
        <v>312</v>
      </c>
      <c r="M1376" t="s">
        <v>343</v>
      </c>
    </row>
    <row r="1377" spans="1:13" x14ac:dyDescent="0.3">
      <c r="A1377" t="s">
        <v>1710</v>
      </c>
      <c r="B1377" t="s">
        <v>478</v>
      </c>
      <c r="C1377" t="s">
        <v>308</v>
      </c>
      <c r="D1377" t="s">
        <v>1722</v>
      </c>
      <c r="E1377" t="s">
        <v>494</v>
      </c>
      <c r="H1377" t="s">
        <v>25</v>
      </c>
      <c r="I1377" t="s">
        <v>1700</v>
      </c>
      <c r="L1377" t="s">
        <v>312</v>
      </c>
      <c r="M1377" t="s">
        <v>496</v>
      </c>
    </row>
    <row r="1378" spans="1:13" x14ac:dyDescent="0.3">
      <c r="A1378" t="s">
        <v>1720</v>
      </c>
      <c r="B1378" t="s">
        <v>1695</v>
      </c>
      <c r="C1378" t="s">
        <v>11</v>
      </c>
      <c r="D1378" t="s">
        <v>12</v>
      </c>
      <c r="E1378" t="s">
        <v>391</v>
      </c>
      <c r="H1378" t="s">
        <v>392</v>
      </c>
      <c r="I1378" t="s">
        <v>1723</v>
      </c>
      <c r="L1378" t="s">
        <v>394</v>
      </c>
      <c r="M1378" t="s">
        <v>1719</v>
      </c>
    </row>
    <row r="1379" spans="1:13" x14ac:dyDescent="0.3">
      <c r="A1379" t="s">
        <v>1716</v>
      </c>
      <c r="B1379" t="s">
        <v>1685</v>
      </c>
      <c r="C1379" t="s">
        <v>11</v>
      </c>
      <c r="D1379" t="s">
        <v>12</v>
      </c>
      <c r="E1379" t="s">
        <v>391</v>
      </c>
      <c r="H1379" t="s">
        <v>392</v>
      </c>
      <c r="I1379" t="s">
        <v>1724</v>
      </c>
      <c r="L1379" t="s">
        <v>394</v>
      </c>
      <c r="M1379" t="s">
        <v>1719</v>
      </c>
    </row>
    <row r="1380" spans="1:13" x14ac:dyDescent="0.3">
      <c r="A1380" t="s">
        <v>1721</v>
      </c>
      <c r="B1380" t="s">
        <v>491</v>
      </c>
      <c r="C1380" t="s">
        <v>11</v>
      </c>
      <c r="D1380" t="s">
        <v>12</v>
      </c>
      <c r="E1380" t="s">
        <v>391</v>
      </c>
      <c r="H1380" t="s">
        <v>392</v>
      </c>
      <c r="I1380" t="s">
        <v>1725</v>
      </c>
      <c r="L1380" t="s">
        <v>394</v>
      </c>
      <c r="M1380" t="s">
        <v>1719</v>
      </c>
    </row>
    <row r="1381" spans="1:13" x14ac:dyDescent="0.3">
      <c r="A1381" t="s">
        <v>1722</v>
      </c>
      <c r="B1381" t="s">
        <v>494</v>
      </c>
      <c r="C1381" t="s">
        <v>11</v>
      </c>
      <c r="D1381" t="s">
        <v>12</v>
      </c>
      <c r="E1381" t="s">
        <v>391</v>
      </c>
      <c r="H1381" t="s">
        <v>392</v>
      </c>
      <c r="I1381" t="s">
        <v>1726</v>
      </c>
      <c r="L1381" t="s">
        <v>394</v>
      </c>
      <c r="M1381" t="s">
        <v>1719</v>
      </c>
    </row>
    <row r="1382" spans="1:13" x14ac:dyDescent="0.3">
      <c r="A1382" t="s">
        <v>1714</v>
      </c>
      <c r="B1382" t="s">
        <v>399</v>
      </c>
      <c r="C1382" t="s">
        <v>308</v>
      </c>
      <c r="D1382" t="s">
        <v>1727</v>
      </c>
      <c r="E1382" t="s">
        <v>396</v>
      </c>
      <c r="H1382" t="s">
        <v>25</v>
      </c>
      <c r="I1382" t="s">
        <v>1706</v>
      </c>
      <c r="L1382" t="s">
        <v>312</v>
      </c>
      <c r="M1382" t="s">
        <v>413</v>
      </c>
    </row>
    <row r="1383" spans="1:13" x14ac:dyDescent="0.3">
      <c r="A1383" t="s">
        <v>1727</v>
      </c>
      <c r="B1383" t="s">
        <v>396</v>
      </c>
      <c r="C1383" t="s">
        <v>11</v>
      </c>
      <c r="D1383" t="s">
        <v>12</v>
      </c>
      <c r="E1383" t="s">
        <v>391</v>
      </c>
      <c r="H1383" t="s">
        <v>392</v>
      </c>
      <c r="I1383" t="s">
        <v>1728</v>
      </c>
      <c r="L1383" t="s">
        <v>394</v>
      </c>
      <c r="M1383" t="s">
        <v>1719</v>
      </c>
    </row>
    <row r="1384" spans="1:13" x14ac:dyDescent="0.3">
      <c r="A1384" t="s">
        <v>1717</v>
      </c>
      <c r="B1384" t="s">
        <v>1689</v>
      </c>
      <c r="C1384" t="s">
        <v>11</v>
      </c>
      <c r="D1384" t="s">
        <v>12</v>
      </c>
      <c r="E1384" t="s">
        <v>391</v>
      </c>
      <c r="H1384" t="s">
        <v>392</v>
      </c>
      <c r="I1384" t="s">
        <v>1729</v>
      </c>
      <c r="L1384" t="s">
        <v>394</v>
      </c>
      <c r="M1384" t="s">
        <v>1719</v>
      </c>
    </row>
    <row r="1385" spans="1:13" x14ac:dyDescent="0.3">
      <c r="A1385" t="s">
        <v>1730</v>
      </c>
      <c r="B1385" t="s">
        <v>1677</v>
      </c>
      <c r="C1385" t="s">
        <v>280</v>
      </c>
      <c r="D1385" t="s">
        <v>1731</v>
      </c>
      <c r="E1385" t="s">
        <v>478</v>
      </c>
      <c r="H1385" t="s">
        <v>25</v>
      </c>
      <c r="I1385" t="s">
        <v>1732</v>
      </c>
    </row>
    <row r="1386" spans="1:13" x14ac:dyDescent="0.3">
      <c r="A1386" t="s">
        <v>1730</v>
      </c>
      <c r="B1386" t="s">
        <v>1677</v>
      </c>
      <c r="C1386" t="s">
        <v>280</v>
      </c>
      <c r="D1386" t="s">
        <v>1733</v>
      </c>
      <c r="E1386" t="s">
        <v>488</v>
      </c>
      <c r="H1386" t="s">
        <v>25</v>
      </c>
      <c r="I1386" t="s">
        <v>1734</v>
      </c>
    </row>
    <row r="1387" spans="1:13" x14ac:dyDescent="0.3">
      <c r="A1387" t="s">
        <v>1730</v>
      </c>
      <c r="B1387" t="s">
        <v>1677</v>
      </c>
      <c r="C1387" t="s">
        <v>280</v>
      </c>
      <c r="D1387" t="s">
        <v>1735</v>
      </c>
      <c r="E1387" t="s">
        <v>399</v>
      </c>
      <c r="H1387" t="s">
        <v>25</v>
      </c>
      <c r="I1387" t="s">
        <v>1736</v>
      </c>
    </row>
    <row r="1388" spans="1:13" x14ac:dyDescent="0.3">
      <c r="A1388" t="s">
        <v>1730</v>
      </c>
      <c r="B1388" t="s">
        <v>1677</v>
      </c>
      <c r="C1388" t="s">
        <v>308</v>
      </c>
      <c r="D1388" t="s">
        <v>1737</v>
      </c>
      <c r="E1388" t="s">
        <v>1685</v>
      </c>
      <c r="H1388" t="s">
        <v>25</v>
      </c>
      <c r="I1388" t="s">
        <v>1686</v>
      </c>
      <c r="L1388" t="s">
        <v>312</v>
      </c>
      <c r="M1388" t="s">
        <v>1687</v>
      </c>
    </row>
    <row r="1389" spans="1:13" x14ac:dyDescent="0.3">
      <c r="A1389" t="s">
        <v>1730</v>
      </c>
      <c r="B1389" t="s">
        <v>1677</v>
      </c>
      <c r="C1389" t="s">
        <v>308</v>
      </c>
      <c r="D1389" t="s">
        <v>1738</v>
      </c>
      <c r="E1389" t="s">
        <v>1689</v>
      </c>
      <c r="H1389" t="s">
        <v>25</v>
      </c>
      <c r="I1389" t="s">
        <v>1690</v>
      </c>
      <c r="L1389" t="s">
        <v>312</v>
      </c>
      <c r="M1389" t="s">
        <v>1687</v>
      </c>
    </row>
    <row r="1390" spans="1:13" x14ac:dyDescent="0.3">
      <c r="A1390" t="s">
        <v>1730</v>
      </c>
      <c r="B1390" t="s">
        <v>1677</v>
      </c>
      <c r="C1390" t="s">
        <v>22</v>
      </c>
      <c r="D1390" s="1" t="s">
        <v>20</v>
      </c>
      <c r="E1390" s="1" t="s">
        <v>21</v>
      </c>
      <c r="F1390" t="s">
        <v>25</v>
      </c>
      <c r="G1390" t="s">
        <v>1739</v>
      </c>
    </row>
    <row r="1391" spans="1:13" x14ac:dyDescent="0.3">
      <c r="A1391" t="s">
        <v>1730</v>
      </c>
      <c r="B1391" s="4" t="s">
        <v>1677</v>
      </c>
      <c r="C1391" t="s">
        <v>1692</v>
      </c>
      <c r="D1391" t="s">
        <v>9</v>
      </c>
      <c r="E1391" t="s">
        <v>10</v>
      </c>
    </row>
    <row r="1392" spans="1:13" x14ac:dyDescent="0.3">
      <c r="A1392" t="s">
        <v>1730</v>
      </c>
      <c r="B1392" s="4" t="s">
        <v>1677</v>
      </c>
      <c r="C1392" t="s">
        <v>16</v>
      </c>
      <c r="D1392" t="s">
        <v>587</v>
      </c>
      <c r="E1392" t="s">
        <v>37</v>
      </c>
    </row>
    <row r="1393" spans="1:13" x14ac:dyDescent="0.3">
      <c r="A1393" t="s">
        <v>1730</v>
      </c>
      <c r="B1393" t="s">
        <v>1677</v>
      </c>
      <c r="C1393" t="s">
        <v>11</v>
      </c>
      <c r="D1393" t="s">
        <v>12</v>
      </c>
      <c r="E1393" t="s">
        <v>13</v>
      </c>
      <c r="H1393" t="s">
        <v>382</v>
      </c>
      <c r="I1393" t="s">
        <v>1740</v>
      </c>
      <c r="L1393" t="s">
        <v>14</v>
      </c>
      <c r="M1393" t="s">
        <v>1740</v>
      </c>
    </row>
    <row r="1394" spans="1:13" x14ac:dyDescent="0.3">
      <c r="A1394" t="s">
        <v>1733</v>
      </c>
      <c r="B1394" t="s">
        <v>488</v>
      </c>
      <c r="C1394" t="s">
        <v>308</v>
      </c>
      <c r="D1394" t="s">
        <v>1741</v>
      </c>
      <c r="E1394" t="s">
        <v>1695</v>
      </c>
      <c r="H1394" t="s">
        <v>25</v>
      </c>
      <c r="I1394" t="s">
        <v>1696</v>
      </c>
      <c r="L1394" t="s">
        <v>312</v>
      </c>
      <c r="M1394" t="s">
        <v>385</v>
      </c>
    </row>
    <row r="1395" spans="1:13" x14ac:dyDescent="0.3">
      <c r="A1395" t="s">
        <v>1731</v>
      </c>
      <c r="B1395" t="s">
        <v>478</v>
      </c>
      <c r="C1395" t="s">
        <v>308</v>
      </c>
      <c r="D1395" t="s">
        <v>1742</v>
      </c>
      <c r="E1395" t="s">
        <v>491</v>
      </c>
      <c r="H1395" t="s">
        <v>25</v>
      </c>
      <c r="I1395" t="s">
        <v>1698</v>
      </c>
      <c r="L1395" t="s">
        <v>312</v>
      </c>
      <c r="M1395" t="s">
        <v>343</v>
      </c>
    </row>
    <row r="1396" spans="1:13" x14ac:dyDescent="0.3">
      <c r="A1396" t="s">
        <v>1731</v>
      </c>
      <c r="B1396" t="s">
        <v>478</v>
      </c>
      <c r="C1396" t="s">
        <v>308</v>
      </c>
      <c r="D1396" t="s">
        <v>1743</v>
      </c>
      <c r="E1396" t="s">
        <v>494</v>
      </c>
      <c r="H1396" t="s">
        <v>25</v>
      </c>
      <c r="I1396" t="s">
        <v>1700</v>
      </c>
      <c r="L1396" t="s">
        <v>312</v>
      </c>
      <c r="M1396" t="s">
        <v>496</v>
      </c>
    </row>
    <row r="1397" spans="1:13" x14ac:dyDescent="0.3">
      <c r="A1397" t="s">
        <v>1741</v>
      </c>
      <c r="B1397" t="s">
        <v>1695</v>
      </c>
      <c r="C1397" t="s">
        <v>11</v>
      </c>
      <c r="D1397" t="s">
        <v>12</v>
      </c>
      <c r="E1397" t="s">
        <v>391</v>
      </c>
      <c r="H1397" t="s">
        <v>392</v>
      </c>
      <c r="I1397" t="s">
        <v>1744</v>
      </c>
      <c r="L1397" t="s">
        <v>394</v>
      </c>
      <c r="M1397" t="s">
        <v>1740</v>
      </c>
    </row>
    <row r="1398" spans="1:13" x14ac:dyDescent="0.3">
      <c r="A1398" t="s">
        <v>1737</v>
      </c>
      <c r="B1398" t="s">
        <v>1685</v>
      </c>
      <c r="C1398" t="s">
        <v>11</v>
      </c>
      <c r="D1398" t="s">
        <v>12</v>
      </c>
      <c r="E1398" t="s">
        <v>391</v>
      </c>
      <c r="H1398" t="s">
        <v>392</v>
      </c>
      <c r="I1398" t="s">
        <v>1745</v>
      </c>
      <c r="L1398" t="s">
        <v>394</v>
      </c>
      <c r="M1398" t="s">
        <v>1740</v>
      </c>
    </row>
    <row r="1399" spans="1:13" x14ac:dyDescent="0.3">
      <c r="A1399" t="s">
        <v>1742</v>
      </c>
      <c r="B1399" t="s">
        <v>491</v>
      </c>
      <c r="C1399" t="s">
        <v>11</v>
      </c>
      <c r="D1399" t="s">
        <v>12</v>
      </c>
      <c r="E1399" t="s">
        <v>391</v>
      </c>
      <c r="H1399" t="s">
        <v>392</v>
      </c>
      <c r="I1399" t="s">
        <v>1746</v>
      </c>
      <c r="L1399" t="s">
        <v>394</v>
      </c>
      <c r="M1399" t="s">
        <v>1740</v>
      </c>
    </row>
    <row r="1400" spans="1:13" x14ac:dyDescent="0.3">
      <c r="A1400" t="s">
        <v>1743</v>
      </c>
      <c r="B1400" t="s">
        <v>494</v>
      </c>
      <c r="C1400" t="s">
        <v>11</v>
      </c>
      <c r="D1400" t="s">
        <v>12</v>
      </c>
      <c r="E1400" t="s">
        <v>391</v>
      </c>
      <c r="H1400" t="s">
        <v>392</v>
      </c>
      <c r="I1400" t="s">
        <v>1747</v>
      </c>
      <c r="L1400" t="s">
        <v>394</v>
      </c>
      <c r="M1400" t="s">
        <v>1740</v>
      </c>
    </row>
    <row r="1401" spans="1:13" x14ac:dyDescent="0.3">
      <c r="A1401" t="s">
        <v>1735</v>
      </c>
      <c r="B1401" t="s">
        <v>399</v>
      </c>
      <c r="C1401" t="s">
        <v>308</v>
      </c>
      <c r="D1401" t="s">
        <v>1748</v>
      </c>
      <c r="E1401" t="s">
        <v>396</v>
      </c>
      <c r="H1401" t="s">
        <v>25</v>
      </c>
      <c r="I1401" t="s">
        <v>1706</v>
      </c>
      <c r="L1401" t="s">
        <v>312</v>
      </c>
      <c r="M1401" t="s">
        <v>413</v>
      </c>
    </row>
    <row r="1402" spans="1:13" x14ac:dyDescent="0.3">
      <c r="A1402" t="s">
        <v>1748</v>
      </c>
      <c r="B1402" t="s">
        <v>396</v>
      </c>
      <c r="C1402" t="s">
        <v>11</v>
      </c>
      <c r="D1402" t="s">
        <v>12</v>
      </c>
      <c r="E1402" t="s">
        <v>391</v>
      </c>
      <c r="H1402" t="s">
        <v>392</v>
      </c>
      <c r="I1402" t="s">
        <v>1749</v>
      </c>
      <c r="L1402" t="s">
        <v>394</v>
      </c>
      <c r="M1402" t="s">
        <v>1740</v>
      </c>
    </row>
    <row r="1403" spans="1:13" x14ac:dyDescent="0.3">
      <c r="A1403" t="s">
        <v>1738</v>
      </c>
      <c r="B1403" t="s">
        <v>1689</v>
      </c>
      <c r="C1403" t="s">
        <v>11</v>
      </c>
      <c r="D1403" t="s">
        <v>12</v>
      </c>
      <c r="E1403" t="s">
        <v>391</v>
      </c>
      <c r="H1403" t="s">
        <v>392</v>
      </c>
      <c r="I1403" t="s">
        <v>1750</v>
      </c>
      <c r="L1403" t="s">
        <v>394</v>
      </c>
      <c r="M1403" t="s">
        <v>1740</v>
      </c>
    </row>
    <row r="1404" spans="1:13" x14ac:dyDescent="0.3">
      <c r="A1404" t="s">
        <v>1751</v>
      </c>
      <c r="B1404" t="s">
        <v>1677</v>
      </c>
      <c r="C1404" t="s">
        <v>280</v>
      </c>
      <c r="D1404" t="s">
        <v>1752</v>
      </c>
      <c r="E1404" t="s">
        <v>478</v>
      </c>
      <c r="H1404" t="s">
        <v>25</v>
      </c>
      <c r="I1404" t="s">
        <v>1753</v>
      </c>
    </row>
    <row r="1405" spans="1:13" x14ac:dyDescent="0.3">
      <c r="A1405" t="s">
        <v>1751</v>
      </c>
      <c r="B1405" t="s">
        <v>1677</v>
      </c>
      <c r="C1405" t="s">
        <v>280</v>
      </c>
      <c r="D1405" t="s">
        <v>1754</v>
      </c>
      <c r="E1405" t="s">
        <v>488</v>
      </c>
      <c r="H1405" t="s">
        <v>25</v>
      </c>
      <c r="I1405" t="s">
        <v>1755</v>
      </c>
    </row>
    <row r="1406" spans="1:13" x14ac:dyDescent="0.3">
      <c r="A1406" t="s">
        <v>1751</v>
      </c>
      <c r="B1406" t="s">
        <v>1677</v>
      </c>
      <c r="C1406" t="s">
        <v>280</v>
      </c>
      <c r="D1406" t="s">
        <v>1756</v>
      </c>
      <c r="E1406" t="s">
        <v>399</v>
      </c>
      <c r="H1406" t="s">
        <v>25</v>
      </c>
      <c r="I1406" t="s">
        <v>1757</v>
      </c>
    </row>
    <row r="1407" spans="1:13" x14ac:dyDescent="0.3">
      <c r="A1407" t="s">
        <v>1751</v>
      </c>
      <c r="B1407" t="s">
        <v>1677</v>
      </c>
      <c r="C1407" t="s">
        <v>308</v>
      </c>
      <c r="D1407" t="s">
        <v>1758</v>
      </c>
      <c r="E1407" t="s">
        <v>1685</v>
      </c>
      <c r="H1407" t="s">
        <v>25</v>
      </c>
      <c r="I1407" t="s">
        <v>1686</v>
      </c>
      <c r="L1407" t="s">
        <v>312</v>
      </c>
      <c r="M1407" t="s">
        <v>1687</v>
      </c>
    </row>
    <row r="1408" spans="1:13" x14ac:dyDescent="0.3">
      <c r="A1408" t="s">
        <v>1751</v>
      </c>
      <c r="B1408" t="s">
        <v>1677</v>
      </c>
      <c r="C1408" t="s">
        <v>308</v>
      </c>
      <c r="D1408" t="s">
        <v>1759</v>
      </c>
      <c r="E1408" t="s">
        <v>1689</v>
      </c>
      <c r="H1408" t="s">
        <v>25</v>
      </c>
      <c r="I1408" t="s">
        <v>1690</v>
      </c>
      <c r="L1408" t="s">
        <v>312</v>
      </c>
      <c r="M1408" t="s">
        <v>1687</v>
      </c>
    </row>
    <row r="1409" spans="1:13" x14ac:dyDescent="0.3">
      <c r="A1409" t="s">
        <v>1751</v>
      </c>
      <c r="B1409" t="s">
        <v>1677</v>
      </c>
      <c r="C1409" t="s">
        <v>22</v>
      </c>
      <c r="D1409" s="1" t="s">
        <v>20</v>
      </c>
      <c r="E1409" s="1" t="s">
        <v>21</v>
      </c>
      <c r="F1409" t="s">
        <v>25</v>
      </c>
      <c r="G1409" t="s">
        <v>1760</v>
      </c>
    </row>
    <row r="1410" spans="1:13" x14ac:dyDescent="0.3">
      <c r="A1410" t="s">
        <v>1751</v>
      </c>
      <c r="B1410" s="4" t="s">
        <v>1677</v>
      </c>
      <c r="C1410" t="s">
        <v>1692</v>
      </c>
      <c r="D1410" t="s">
        <v>9</v>
      </c>
      <c r="E1410" t="s">
        <v>10</v>
      </c>
    </row>
    <row r="1411" spans="1:13" x14ac:dyDescent="0.3">
      <c r="A1411" t="s">
        <v>1751</v>
      </c>
      <c r="B1411" s="4" t="s">
        <v>1677</v>
      </c>
      <c r="C1411" t="s">
        <v>16</v>
      </c>
      <c r="D1411" t="s">
        <v>587</v>
      </c>
      <c r="E1411" t="s">
        <v>37</v>
      </c>
    </row>
    <row r="1412" spans="1:13" x14ac:dyDescent="0.3">
      <c r="A1412" t="s">
        <v>1751</v>
      </c>
      <c r="B1412" t="s">
        <v>1677</v>
      </c>
      <c r="C1412" t="s">
        <v>11</v>
      </c>
      <c r="D1412" t="s">
        <v>12</v>
      </c>
      <c r="E1412" t="s">
        <v>13</v>
      </c>
      <c r="H1412" t="s">
        <v>382</v>
      </c>
      <c r="I1412" t="s">
        <v>1761</v>
      </c>
      <c r="L1412" t="s">
        <v>14</v>
      </c>
      <c r="M1412" t="s">
        <v>1761</v>
      </c>
    </row>
    <row r="1413" spans="1:13" x14ac:dyDescent="0.3">
      <c r="A1413" t="s">
        <v>1754</v>
      </c>
      <c r="B1413" t="s">
        <v>488</v>
      </c>
      <c r="C1413" t="s">
        <v>308</v>
      </c>
      <c r="D1413" t="s">
        <v>1762</v>
      </c>
      <c r="E1413" t="s">
        <v>1695</v>
      </c>
      <c r="H1413" t="s">
        <v>25</v>
      </c>
      <c r="I1413" t="s">
        <v>1696</v>
      </c>
      <c r="L1413" t="s">
        <v>312</v>
      </c>
      <c r="M1413" t="s">
        <v>385</v>
      </c>
    </row>
    <row r="1414" spans="1:13" x14ac:dyDescent="0.3">
      <c r="A1414" t="s">
        <v>1752</v>
      </c>
      <c r="B1414" t="s">
        <v>478</v>
      </c>
      <c r="C1414" t="s">
        <v>308</v>
      </c>
      <c r="D1414" t="s">
        <v>1763</v>
      </c>
      <c r="E1414" t="s">
        <v>491</v>
      </c>
      <c r="H1414" t="s">
        <v>25</v>
      </c>
      <c r="I1414" t="s">
        <v>1698</v>
      </c>
      <c r="L1414" t="s">
        <v>312</v>
      </c>
      <c r="M1414" t="s">
        <v>343</v>
      </c>
    </row>
    <row r="1415" spans="1:13" x14ac:dyDescent="0.3">
      <c r="A1415" t="s">
        <v>1752</v>
      </c>
      <c r="B1415" t="s">
        <v>478</v>
      </c>
      <c r="C1415" t="s">
        <v>308</v>
      </c>
      <c r="D1415" t="s">
        <v>1764</v>
      </c>
      <c r="E1415" t="s">
        <v>494</v>
      </c>
      <c r="H1415" t="s">
        <v>25</v>
      </c>
      <c r="I1415" t="s">
        <v>1700</v>
      </c>
      <c r="L1415" t="s">
        <v>312</v>
      </c>
      <c r="M1415" t="s">
        <v>496</v>
      </c>
    </row>
    <row r="1416" spans="1:13" x14ac:dyDescent="0.3">
      <c r="A1416" t="s">
        <v>1762</v>
      </c>
      <c r="B1416" t="s">
        <v>1695</v>
      </c>
      <c r="C1416" t="s">
        <v>11</v>
      </c>
      <c r="D1416" t="s">
        <v>12</v>
      </c>
      <c r="E1416" t="s">
        <v>391</v>
      </c>
      <c r="H1416" t="s">
        <v>392</v>
      </c>
      <c r="I1416" t="s">
        <v>1765</v>
      </c>
      <c r="L1416" t="s">
        <v>394</v>
      </c>
      <c r="M1416" t="s">
        <v>1761</v>
      </c>
    </row>
    <row r="1417" spans="1:13" x14ac:dyDescent="0.3">
      <c r="A1417" t="s">
        <v>1758</v>
      </c>
      <c r="B1417" t="s">
        <v>1685</v>
      </c>
      <c r="C1417" t="s">
        <v>11</v>
      </c>
      <c r="D1417" t="s">
        <v>12</v>
      </c>
      <c r="E1417" t="s">
        <v>391</v>
      </c>
      <c r="H1417" t="s">
        <v>392</v>
      </c>
      <c r="I1417" t="s">
        <v>1766</v>
      </c>
      <c r="L1417" t="s">
        <v>394</v>
      </c>
      <c r="M1417" t="s">
        <v>1761</v>
      </c>
    </row>
    <row r="1418" spans="1:13" x14ac:dyDescent="0.3">
      <c r="A1418" t="s">
        <v>1763</v>
      </c>
      <c r="B1418" t="s">
        <v>491</v>
      </c>
      <c r="C1418" t="s">
        <v>11</v>
      </c>
      <c r="D1418" t="s">
        <v>12</v>
      </c>
      <c r="E1418" t="s">
        <v>391</v>
      </c>
      <c r="H1418" t="s">
        <v>392</v>
      </c>
      <c r="I1418" t="s">
        <v>1767</v>
      </c>
      <c r="L1418" t="s">
        <v>394</v>
      </c>
      <c r="M1418" t="s">
        <v>1761</v>
      </c>
    </row>
    <row r="1419" spans="1:13" x14ac:dyDescent="0.3">
      <c r="A1419" t="s">
        <v>1764</v>
      </c>
      <c r="B1419" t="s">
        <v>494</v>
      </c>
      <c r="C1419" t="s">
        <v>11</v>
      </c>
      <c r="D1419" t="s">
        <v>12</v>
      </c>
      <c r="E1419" t="s">
        <v>391</v>
      </c>
      <c r="H1419" t="s">
        <v>392</v>
      </c>
      <c r="I1419" t="s">
        <v>1768</v>
      </c>
      <c r="L1419" t="s">
        <v>394</v>
      </c>
      <c r="M1419" t="s">
        <v>1761</v>
      </c>
    </row>
    <row r="1420" spans="1:13" x14ac:dyDescent="0.3">
      <c r="A1420" t="s">
        <v>1756</v>
      </c>
      <c r="B1420" t="s">
        <v>399</v>
      </c>
      <c r="C1420" t="s">
        <v>308</v>
      </c>
      <c r="D1420" t="s">
        <v>1769</v>
      </c>
      <c r="E1420" t="s">
        <v>396</v>
      </c>
      <c r="H1420" t="s">
        <v>25</v>
      </c>
      <c r="I1420" t="s">
        <v>1706</v>
      </c>
      <c r="L1420" t="s">
        <v>312</v>
      </c>
      <c r="M1420" t="s">
        <v>413</v>
      </c>
    </row>
    <row r="1421" spans="1:13" x14ac:dyDescent="0.3">
      <c r="A1421" t="s">
        <v>1769</v>
      </c>
      <c r="B1421" t="s">
        <v>396</v>
      </c>
      <c r="C1421" t="s">
        <v>11</v>
      </c>
      <c r="D1421" t="s">
        <v>12</v>
      </c>
      <c r="E1421" t="s">
        <v>391</v>
      </c>
      <c r="H1421" t="s">
        <v>392</v>
      </c>
      <c r="I1421" t="s">
        <v>1770</v>
      </c>
      <c r="L1421" t="s">
        <v>394</v>
      </c>
      <c r="M1421" t="s">
        <v>1761</v>
      </c>
    </row>
    <row r="1422" spans="1:13" x14ac:dyDescent="0.3">
      <c r="A1422" t="s">
        <v>1759</v>
      </c>
      <c r="B1422" t="s">
        <v>1689</v>
      </c>
      <c r="C1422" t="s">
        <v>11</v>
      </c>
      <c r="D1422" t="s">
        <v>12</v>
      </c>
      <c r="E1422" t="s">
        <v>391</v>
      </c>
      <c r="H1422" t="s">
        <v>392</v>
      </c>
      <c r="I1422" t="s">
        <v>1771</v>
      </c>
      <c r="L1422" t="s">
        <v>394</v>
      </c>
      <c r="M1422" t="s">
        <v>1761</v>
      </c>
    </row>
    <row r="1423" spans="1:13" x14ac:dyDescent="0.3">
      <c r="A1423" t="s">
        <v>1772</v>
      </c>
      <c r="B1423" t="s">
        <v>1773</v>
      </c>
      <c r="C1423" t="s">
        <v>280</v>
      </c>
      <c r="D1423" t="s">
        <v>1774</v>
      </c>
      <c r="E1423" t="s">
        <v>1775</v>
      </c>
      <c r="H1423" t="s">
        <v>25</v>
      </c>
      <c r="I1423" t="s">
        <v>1776</v>
      </c>
    </row>
    <row r="1424" spans="1:13" x14ac:dyDescent="0.3">
      <c r="A1424" t="s">
        <v>1772</v>
      </c>
      <c r="B1424" t="s">
        <v>1773</v>
      </c>
      <c r="C1424" t="s">
        <v>280</v>
      </c>
      <c r="D1424" t="s">
        <v>1777</v>
      </c>
      <c r="E1424" t="s">
        <v>1778</v>
      </c>
      <c r="H1424" t="s">
        <v>25</v>
      </c>
      <c r="I1424" t="s">
        <v>1779</v>
      </c>
    </row>
    <row r="1425" spans="1:13" x14ac:dyDescent="0.3">
      <c r="A1425" t="s">
        <v>1772</v>
      </c>
      <c r="B1425" t="s">
        <v>1773</v>
      </c>
      <c r="C1425" t="s">
        <v>22</v>
      </c>
      <c r="D1425" t="s">
        <v>20</v>
      </c>
      <c r="E1425" t="s">
        <v>21</v>
      </c>
      <c r="F1425" t="s">
        <v>25</v>
      </c>
      <c r="G1425" t="s">
        <v>1780</v>
      </c>
    </row>
    <row r="1426" spans="1:13" x14ac:dyDescent="0.3">
      <c r="A1426" t="s">
        <v>1772</v>
      </c>
      <c r="B1426" t="s">
        <v>1773</v>
      </c>
      <c r="C1426" t="s">
        <v>16</v>
      </c>
      <c r="D1426" t="s">
        <v>587</v>
      </c>
      <c r="E1426" t="s">
        <v>37</v>
      </c>
    </row>
    <row r="1427" spans="1:13" x14ac:dyDescent="0.3">
      <c r="A1427" t="s">
        <v>1772</v>
      </c>
      <c r="B1427" t="s">
        <v>1773</v>
      </c>
      <c r="C1427" t="s">
        <v>11</v>
      </c>
      <c r="D1427" t="s">
        <v>12</v>
      </c>
      <c r="E1427" t="s">
        <v>13</v>
      </c>
      <c r="H1427" t="s">
        <v>382</v>
      </c>
      <c r="I1427" t="s">
        <v>1781</v>
      </c>
      <c r="L1427" t="s">
        <v>14</v>
      </c>
      <c r="M1427" t="s">
        <v>1781</v>
      </c>
    </row>
    <row r="1428" spans="1:13" x14ac:dyDescent="0.3">
      <c r="A1428" t="s">
        <v>1774</v>
      </c>
      <c r="B1428" t="s">
        <v>1775</v>
      </c>
      <c r="C1428" t="s">
        <v>280</v>
      </c>
      <c r="D1428" t="s">
        <v>1782</v>
      </c>
      <c r="E1428" t="s">
        <v>478</v>
      </c>
      <c r="H1428" t="s">
        <v>25</v>
      </c>
      <c r="I1428" t="s">
        <v>1783</v>
      </c>
    </row>
    <row r="1429" spans="1:13" x14ac:dyDescent="0.3">
      <c r="A1429" t="s">
        <v>1774</v>
      </c>
      <c r="B1429" t="s">
        <v>1775</v>
      </c>
      <c r="C1429" t="s">
        <v>308</v>
      </c>
      <c r="D1429" t="s">
        <v>1784</v>
      </c>
      <c r="E1429" t="s">
        <v>1785</v>
      </c>
      <c r="H1429" t="s">
        <v>25</v>
      </c>
      <c r="I1429" t="s">
        <v>1786</v>
      </c>
      <c r="L1429" t="s">
        <v>312</v>
      </c>
      <c r="M1429" t="s">
        <v>343</v>
      </c>
    </row>
    <row r="1430" spans="1:13" x14ac:dyDescent="0.3">
      <c r="A1430" t="s">
        <v>1774</v>
      </c>
      <c r="B1430" t="s">
        <v>1775</v>
      </c>
      <c r="C1430" t="s">
        <v>308</v>
      </c>
      <c r="D1430" t="s">
        <v>1787</v>
      </c>
      <c r="E1430" t="s">
        <v>1788</v>
      </c>
      <c r="H1430" t="s">
        <v>25</v>
      </c>
      <c r="I1430" t="s">
        <v>1789</v>
      </c>
      <c r="L1430" t="s">
        <v>312</v>
      </c>
      <c r="M1430" t="s">
        <v>353</v>
      </c>
    </row>
    <row r="1431" spans="1:13" x14ac:dyDescent="0.3">
      <c r="A1431" t="s">
        <v>1774</v>
      </c>
      <c r="B1431" t="s">
        <v>1775</v>
      </c>
      <c r="C1431" t="s">
        <v>308</v>
      </c>
      <c r="D1431" t="s">
        <v>1790</v>
      </c>
      <c r="E1431" t="s">
        <v>402</v>
      </c>
      <c r="H1431" t="s">
        <v>25</v>
      </c>
      <c r="I1431" t="s">
        <v>1791</v>
      </c>
      <c r="L1431" t="s">
        <v>312</v>
      </c>
      <c r="M1431" t="s">
        <v>343</v>
      </c>
    </row>
    <row r="1432" spans="1:13" x14ac:dyDescent="0.3">
      <c r="A1432" t="s">
        <v>1774</v>
      </c>
      <c r="B1432" t="s">
        <v>1775</v>
      </c>
      <c r="C1432" t="s">
        <v>308</v>
      </c>
      <c r="D1432" t="s">
        <v>1792</v>
      </c>
      <c r="E1432" t="s">
        <v>406</v>
      </c>
      <c r="H1432" t="s">
        <v>25</v>
      </c>
      <c r="I1432" t="s">
        <v>1793</v>
      </c>
      <c r="L1432" t="s">
        <v>312</v>
      </c>
      <c r="M1432" t="s">
        <v>343</v>
      </c>
    </row>
    <row r="1433" spans="1:13" x14ac:dyDescent="0.3">
      <c r="A1433" t="s">
        <v>1774</v>
      </c>
      <c r="B1433" t="s">
        <v>1775</v>
      </c>
      <c r="C1433" t="s">
        <v>308</v>
      </c>
      <c r="D1433" t="s">
        <v>1794</v>
      </c>
      <c r="E1433" t="s">
        <v>1785</v>
      </c>
      <c r="H1433" t="s">
        <v>25</v>
      </c>
      <c r="I1433" t="s">
        <v>1795</v>
      </c>
      <c r="L1433" t="s">
        <v>312</v>
      </c>
      <c r="M1433" t="s">
        <v>343</v>
      </c>
    </row>
    <row r="1434" spans="1:13" x14ac:dyDescent="0.3">
      <c r="A1434" t="s">
        <v>1787</v>
      </c>
      <c r="B1434" t="s">
        <v>1788</v>
      </c>
      <c r="C1434" t="s">
        <v>11</v>
      </c>
      <c r="D1434" t="s">
        <v>12</v>
      </c>
      <c r="E1434" t="s">
        <v>391</v>
      </c>
      <c r="H1434" t="s">
        <v>392</v>
      </c>
      <c r="I1434" t="s">
        <v>1796</v>
      </c>
      <c r="L1434" t="s">
        <v>394</v>
      </c>
      <c r="M1434" t="s">
        <v>1781</v>
      </c>
    </row>
    <row r="1435" spans="1:13" x14ac:dyDescent="0.3">
      <c r="A1435" t="s">
        <v>1782</v>
      </c>
      <c r="B1435" t="s">
        <v>478</v>
      </c>
      <c r="C1435" t="s">
        <v>308</v>
      </c>
      <c r="D1435" t="s">
        <v>1797</v>
      </c>
      <c r="E1435" t="s">
        <v>1798</v>
      </c>
      <c r="H1435" t="s">
        <v>25</v>
      </c>
      <c r="I1435" t="s">
        <v>1799</v>
      </c>
      <c r="L1435" t="s">
        <v>312</v>
      </c>
      <c r="M1435" t="s">
        <v>343</v>
      </c>
    </row>
    <row r="1436" spans="1:13" x14ac:dyDescent="0.3">
      <c r="A1436" t="s">
        <v>1782</v>
      </c>
      <c r="B1436" t="s">
        <v>478</v>
      </c>
      <c r="C1436" t="s">
        <v>308</v>
      </c>
      <c r="D1436" t="s">
        <v>1800</v>
      </c>
      <c r="E1436" t="s">
        <v>481</v>
      </c>
      <c r="H1436" t="s">
        <v>25</v>
      </c>
      <c r="I1436" t="s">
        <v>1801</v>
      </c>
      <c r="L1436" t="s">
        <v>312</v>
      </c>
      <c r="M1436" t="s">
        <v>343</v>
      </c>
    </row>
    <row r="1437" spans="1:13" x14ac:dyDescent="0.3">
      <c r="A1437" t="s">
        <v>1797</v>
      </c>
      <c r="B1437" t="s">
        <v>1798</v>
      </c>
      <c r="C1437" t="s">
        <v>11</v>
      </c>
      <c r="D1437" t="s">
        <v>12</v>
      </c>
      <c r="E1437" t="s">
        <v>391</v>
      </c>
      <c r="H1437" t="s">
        <v>392</v>
      </c>
      <c r="I1437" t="s">
        <v>1802</v>
      </c>
      <c r="L1437" t="s">
        <v>394</v>
      </c>
      <c r="M1437" t="s">
        <v>1781</v>
      </c>
    </row>
    <row r="1438" spans="1:13" x14ac:dyDescent="0.3">
      <c r="A1438" t="s">
        <v>1800</v>
      </c>
      <c r="B1438" t="s">
        <v>481</v>
      </c>
      <c r="C1438" t="s">
        <v>11</v>
      </c>
      <c r="D1438" t="s">
        <v>12</v>
      </c>
      <c r="E1438" t="s">
        <v>391</v>
      </c>
      <c r="H1438" t="s">
        <v>392</v>
      </c>
      <c r="I1438" t="s">
        <v>1803</v>
      </c>
      <c r="L1438" t="s">
        <v>394</v>
      </c>
      <c r="M1438" t="s">
        <v>1781</v>
      </c>
    </row>
    <row r="1439" spans="1:13" x14ac:dyDescent="0.3">
      <c r="A1439" t="s">
        <v>1784</v>
      </c>
      <c r="B1439" t="s">
        <v>1785</v>
      </c>
      <c r="C1439" t="s">
        <v>11</v>
      </c>
      <c r="D1439" t="s">
        <v>12</v>
      </c>
      <c r="E1439" t="s">
        <v>391</v>
      </c>
      <c r="H1439" t="s">
        <v>392</v>
      </c>
      <c r="I1439" t="s">
        <v>1804</v>
      </c>
      <c r="L1439" t="s">
        <v>394</v>
      </c>
      <c r="M1439" t="s">
        <v>1781</v>
      </c>
    </row>
    <row r="1440" spans="1:13" x14ac:dyDescent="0.3">
      <c r="A1440" t="s">
        <v>1792</v>
      </c>
      <c r="B1440" t="s">
        <v>406</v>
      </c>
      <c r="C1440" t="s">
        <v>11</v>
      </c>
      <c r="D1440" t="s">
        <v>12</v>
      </c>
      <c r="E1440" t="s">
        <v>391</v>
      </c>
      <c r="H1440" t="s">
        <v>392</v>
      </c>
      <c r="I1440" t="s">
        <v>1805</v>
      </c>
      <c r="L1440" t="s">
        <v>394</v>
      </c>
      <c r="M1440" t="s">
        <v>1781</v>
      </c>
    </row>
    <row r="1441" spans="1:13" x14ac:dyDescent="0.3">
      <c r="A1441" t="s">
        <v>1790</v>
      </c>
      <c r="B1441" t="s">
        <v>402</v>
      </c>
      <c r="C1441" t="s">
        <v>11</v>
      </c>
      <c r="D1441" t="s">
        <v>12</v>
      </c>
      <c r="E1441" t="s">
        <v>391</v>
      </c>
      <c r="H1441" t="s">
        <v>392</v>
      </c>
      <c r="I1441" t="s">
        <v>1806</v>
      </c>
      <c r="L1441" t="s">
        <v>394</v>
      </c>
      <c r="M1441" t="s">
        <v>1781</v>
      </c>
    </row>
    <row r="1442" spans="1:13" x14ac:dyDescent="0.3">
      <c r="A1442" t="s">
        <v>1794</v>
      </c>
      <c r="B1442" t="s">
        <v>1785</v>
      </c>
      <c r="C1442" t="s">
        <v>11</v>
      </c>
      <c r="D1442" t="s">
        <v>12</v>
      </c>
      <c r="E1442" t="s">
        <v>391</v>
      </c>
      <c r="H1442" t="s">
        <v>392</v>
      </c>
      <c r="I1442" t="s">
        <v>1807</v>
      </c>
      <c r="L1442" t="s">
        <v>394</v>
      </c>
      <c r="M1442" t="s">
        <v>1781</v>
      </c>
    </row>
    <row r="1443" spans="1:13" x14ac:dyDescent="0.3">
      <c r="A1443" t="s">
        <v>1777</v>
      </c>
      <c r="B1443" t="s">
        <v>1778</v>
      </c>
      <c r="C1443" t="s">
        <v>308</v>
      </c>
      <c r="D1443" t="s">
        <v>1808</v>
      </c>
      <c r="E1443" t="s">
        <v>1809</v>
      </c>
      <c r="H1443" t="s">
        <v>25</v>
      </c>
      <c r="I1443" t="s">
        <v>1810</v>
      </c>
      <c r="L1443" t="s">
        <v>312</v>
      </c>
      <c r="M1443" t="s">
        <v>343</v>
      </c>
    </row>
    <row r="1444" spans="1:13" x14ac:dyDescent="0.3">
      <c r="A1444" t="s">
        <v>1777</v>
      </c>
      <c r="B1444" t="s">
        <v>1778</v>
      </c>
      <c r="C1444" t="s">
        <v>308</v>
      </c>
      <c r="D1444" t="s">
        <v>1811</v>
      </c>
      <c r="E1444" t="s">
        <v>481</v>
      </c>
      <c r="H1444" t="s">
        <v>25</v>
      </c>
      <c r="I1444" t="s">
        <v>1812</v>
      </c>
      <c r="L1444" t="s">
        <v>312</v>
      </c>
      <c r="M1444" t="s">
        <v>343</v>
      </c>
    </row>
    <row r="1445" spans="1:13" x14ac:dyDescent="0.3">
      <c r="A1445" t="s">
        <v>1777</v>
      </c>
      <c r="B1445" t="s">
        <v>1778</v>
      </c>
      <c r="C1445" t="s">
        <v>308</v>
      </c>
      <c r="D1445" t="s">
        <v>1813</v>
      </c>
      <c r="E1445" t="s">
        <v>1814</v>
      </c>
      <c r="H1445" t="s">
        <v>25</v>
      </c>
      <c r="I1445" t="s">
        <v>1815</v>
      </c>
      <c r="L1445" t="s">
        <v>312</v>
      </c>
      <c r="M1445" t="s">
        <v>343</v>
      </c>
    </row>
    <row r="1446" spans="1:13" x14ac:dyDescent="0.3">
      <c r="A1446" t="s">
        <v>1777</v>
      </c>
      <c r="B1446" t="s">
        <v>1778</v>
      </c>
      <c r="C1446" t="s">
        <v>308</v>
      </c>
      <c r="D1446" t="s">
        <v>1816</v>
      </c>
      <c r="E1446" t="s">
        <v>1817</v>
      </c>
      <c r="H1446" t="s">
        <v>25</v>
      </c>
      <c r="I1446" t="s">
        <v>1818</v>
      </c>
      <c r="L1446" t="s">
        <v>312</v>
      </c>
      <c r="M1446" t="s">
        <v>343</v>
      </c>
    </row>
    <row r="1447" spans="1:13" x14ac:dyDescent="0.3">
      <c r="A1447" t="s">
        <v>1777</v>
      </c>
      <c r="B1447" t="s">
        <v>1778</v>
      </c>
      <c r="C1447" t="s">
        <v>308</v>
      </c>
      <c r="D1447" t="s">
        <v>1819</v>
      </c>
      <c r="E1447" t="s">
        <v>1785</v>
      </c>
      <c r="H1447" t="s">
        <v>25</v>
      </c>
      <c r="I1447" t="s">
        <v>1820</v>
      </c>
      <c r="L1447" t="s">
        <v>312</v>
      </c>
      <c r="M1447" t="s">
        <v>343</v>
      </c>
    </row>
    <row r="1448" spans="1:13" x14ac:dyDescent="0.3">
      <c r="A1448" t="s">
        <v>1777</v>
      </c>
      <c r="B1448" t="s">
        <v>1778</v>
      </c>
      <c r="C1448" t="s">
        <v>308</v>
      </c>
      <c r="D1448" t="s">
        <v>1821</v>
      </c>
      <c r="E1448" t="s">
        <v>1134</v>
      </c>
      <c r="H1448" t="s">
        <v>25</v>
      </c>
      <c r="I1448" t="s">
        <v>1822</v>
      </c>
      <c r="L1448" t="s">
        <v>312</v>
      </c>
      <c r="M1448" t="s">
        <v>317</v>
      </c>
    </row>
    <row r="1449" spans="1:13" x14ac:dyDescent="0.3">
      <c r="A1449" t="s">
        <v>1808</v>
      </c>
      <c r="B1449" t="s">
        <v>1809</v>
      </c>
      <c r="C1449" t="s">
        <v>11</v>
      </c>
      <c r="D1449" t="s">
        <v>12</v>
      </c>
      <c r="E1449" t="s">
        <v>391</v>
      </c>
      <c r="H1449" t="s">
        <v>392</v>
      </c>
      <c r="I1449" t="s">
        <v>1823</v>
      </c>
      <c r="L1449" t="s">
        <v>394</v>
      </c>
      <c r="M1449" t="s">
        <v>1781</v>
      </c>
    </row>
    <row r="1450" spans="1:13" x14ac:dyDescent="0.3">
      <c r="A1450" t="s">
        <v>1813</v>
      </c>
      <c r="B1450" t="s">
        <v>1814</v>
      </c>
      <c r="C1450" t="s">
        <v>11</v>
      </c>
      <c r="D1450" t="s">
        <v>12</v>
      </c>
      <c r="E1450" t="s">
        <v>391</v>
      </c>
      <c r="H1450" t="s">
        <v>392</v>
      </c>
      <c r="I1450" t="s">
        <v>1824</v>
      </c>
      <c r="L1450" t="s">
        <v>394</v>
      </c>
      <c r="M1450" t="s">
        <v>1781</v>
      </c>
    </row>
    <row r="1451" spans="1:13" x14ac:dyDescent="0.3">
      <c r="A1451" t="s">
        <v>1811</v>
      </c>
      <c r="B1451" t="s">
        <v>481</v>
      </c>
      <c r="C1451" t="s">
        <v>11</v>
      </c>
      <c r="D1451" t="s">
        <v>12</v>
      </c>
      <c r="E1451" t="s">
        <v>391</v>
      </c>
      <c r="H1451" t="s">
        <v>392</v>
      </c>
      <c r="I1451" t="s">
        <v>1825</v>
      </c>
      <c r="L1451" t="s">
        <v>394</v>
      </c>
      <c r="M1451" t="s">
        <v>1781</v>
      </c>
    </row>
    <row r="1452" spans="1:13" x14ac:dyDescent="0.3">
      <c r="A1452" t="s">
        <v>1816</v>
      </c>
      <c r="B1452" t="s">
        <v>1817</v>
      </c>
      <c r="C1452" t="s">
        <v>11</v>
      </c>
      <c r="D1452" t="s">
        <v>12</v>
      </c>
      <c r="E1452" t="s">
        <v>391</v>
      </c>
      <c r="H1452" t="s">
        <v>392</v>
      </c>
      <c r="I1452" t="s">
        <v>1826</v>
      </c>
      <c r="L1452" t="s">
        <v>394</v>
      </c>
      <c r="M1452" t="s">
        <v>1781</v>
      </c>
    </row>
    <row r="1453" spans="1:13" x14ac:dyDescent="0.3">
      <c r="A1453" t="s">
        <v>1819</v>
      </c>
      <c r="B1453" t="s">
        <v>1785</v>
      </c>
      <c r="C1453" t="s">
        <v>11</v>
      </c>
      <c r="D1453" t="s">
        <v>12</v>
      </c>
      <c r="E1453" t="s">
        <v>391</v>
      </c>
      <c r="H1453" t="s">
        <v>392</v>
      </c>
      <c r="I1453" t="s">
        <v>1827</v>
      </c>
      <c r="L1453" t="s">
        <v>394</v>
      </c>
      <c r="M1453" t="s">
        <v>1781</v>
      </c>
    </row>
    <row r="1454" spans="1:13" x14ac:dyDescent="0.3">
      <c r="A1454" t="s">
        <v>1821</v>
      </c>
      <c r="B1454" t="s">
        <v>1134</v>
      </c>
      <c r="C1454" t="s">
        <v>11</v>
      </c>
      <c r="D1454" t="s">
        <v>12</v>
      </c>
      <c r="E1454" t="s">
        <v>391</v>
      </c>
      <c r="H1454" t="s">
        <v>392</v>
      </c>
      <c r="I1454" t="s">
        <v>1828</v>
      </c>
      <c r="L1454" t="s">
        <v>394</v>
      </c>
      <c r="M1454" t="s">
        <v>1781</v>
      </c>
    </row>
    <row r="1455" spans="1:13" x14ac:dyDescent="0.3">
      <c r="A1455" t="s">
        <v>1829</v>
      </c>
      <c r="B1455" t="s">
        <v>1773</v>
      </c>
      <c r="C1455" t="s">
        <v>280</v>
      </c>
      <c r="D1455" t="s">
        <v>1830</v>
      </c>
      <c r="E1455" t="s">
        <v>1775</v>
      </c>
      <c r="H1455" t="s">
        <v>25</v>
      </c>
      <c r="I1455" t="s">
        <v>1776</v>
      </c>
    </row>
    <row r="1456" spans="1:13" x14ac:dyDescent="0.3">
      <c r="A1456" t="s">
        <v>1829</v>
      </c>
      <c r="B1456" t="s">
        <v>1773</v>
      </c>
      <c r="C1456" t="s">
        <v>280</v>
      </c>
      <c r="D1456" t="s">
        <v>1831</v>
      </c>
      <c r="E1456" t="s">
        <v>1778</v>
      </c>
      <c r="H1456" t="s">
        <v>25</v>
      </c>
      <c r="I1456" t="s">
        <v>1779</v>
      </c>
    </row>
    <row r="1457" spans="1:13" x14ac:dyDescent="0.3">
      <c r="A1457" t="s">
        <v>1829</v>
      </c>
      <c r="B1457" t="s">
        <v>1773</v>
      </c>
      <c r="C1457" t="s">
        <v>22</v>
      </c>
      <c r="D1457" t="s">
        <v>20</v>
      </c>
      <c r="E1457" t="s">
        <v>21</v>
      </c>
      <c r="F1457" t="s">
        <v>25</v>
      </c>
      <c r="G1457" t="s">
        <v>1832</v>
      </c>
    </row>
    <row r="1458" spans="1:13" x14ac:dyDescent="0.3">
      <c r="A1458" t="s">
        <v>1829</v>
      </c>
      <c r="B1458" t="s">
        <v>1773</v>
      </c>
      <c r="C1458" t="s">
        <v>16</v>
      </c>
      <c r="D1458" t="s">
        <v>587</v>
      </c>
      <c r="E1458" t="s">
        <v>37</v>
      </c>
    </row>
    <row r="1459" spans="1:13" x14ac:dyDescent="0.3">
      <c r="A1459" t="s">
        <v>1829</v>
      </c>
      <c r="B1459" t="s">
        <v>1773</v>
      </c>
      <c r="C1459" t="s">
        <v>11</v>
      </c>
      <c r="D1459" t="s">
        <v>12</v>
      </c>
      <c r="E1459" t="s">
        <v>13</v>
      </c>
      <c r="H1459" t="s">
        <v>382</v>
      </c>
      <c r="I1459" t="s">
        <v>1833</v>
      </c>
      <c r="L1459" t="s">
        <v>14</v>
      </c>
      <c r="M1459" t="s">
        <v>1833</v>
      </c>
    </row>
    <row r="1460" spans="1:13" x14ac:dyDescent="0.3">
      <c r="A1460" t="s">
        <v>1830</v>
      </c>
      <c r="B1460" t="s">
        <v>1775</v>
      </c>
      <c r="C1460" t="s">
        <v>280</v>
      </c>
      <c r="D1460" t="s">
        <v>1834</v>
      </c>
      <c r="E1460" t="s">
        <v>478</v>
      </c>
      <c r="H1460" t="s">
        <v>25</v>
      </c>
      <c r="I1460" t="s">
        <v>1783</v>
      </c>
    </row>
    <row r="1461" spans="1:13" x14ac:dyDescent="0.3">
      <c r="A1461" t="s">
        <v>1830</v>
      </c>
      <c r="B1461" t="s">
        <v>1775</v>
      </c>
      <c r="C1461" t="s">
        <v>308</v>
      </c>
      <c r="D1461" t="s">
        <v>1835</v>
      </c>
      <c r="E1461" t="s">
        <v>1785</v>
      </c>
      <c r="H1461" t="s">
        <v>25</v>
      </c>
      <c r="I1461" t="s">
        <v>1786</v>
      </c>
      <c r="L1461" t="s">
        <v>312</v>
      </c>
      <c r="M1461" t="s">
        <v>343</v>
      </c>
    </row>
    <row r="1462" spans="1:13" x14ac:dyDescent="0.3">
      <c r="A1462" t="s">
        <v>1830</v>
      </c>
      <c r="B1462" t="s">
        <v>1775</v>
      </c>
      <c r="C1462" t="s">
        <v>308</v>
      </c>
      <c r="D1462" t="s">
        <v>1836</v>
      </c>
      <c r="E1462" t="s">
        <v>1788</v>
      </c>
      <c r="H1462" t="s">
        <v>25</v>
      </c>
      <c r="I1462" t="s">
        <v>1789</v>
      </c>
      <c r="L1462" t="s">
        <v>312</v>
      </c>
      <c r="M1462" t="s">
        <v>353</v>
      </c>
    </row>
    <row r="1463" spans="1:13" x14ac:dyDescent="0.3">
      <c r="A1463" t="s">
        <v>1830</v>
      </c>
      <c r="B1463" t="s">
        <v>1775</v>
      </c>
      <c r="C1463" t="s">
        <v>308</v>
      </c>
      <c r="D1463" t="s">
        <v>1837</v>
      </c>
      <c r="E1463" t="s">
        <v>402</v>
      </c>
      <c r="H1463" t="s">
        <v>25</v>
      </c>
      <c r="I1463" t="s">
        <v>1791</v>
      </c>
      <c r="L1463" t="s">
        <v>312</v>
      </c>
      <c r="M1463" t="s">
        <v>343</v>
      </c>
    </row>
    <row r="1464" spans="1:13" x14ac:dyDescent="0.3">
      <c r="A1464" t="s">
        <v>1830</v>
      </c>
      <c r="B1464" t="s">
        <v>1775</v>
      </c>
      <c r="C1464" t="s">
        <v>308</v>
      </c>
      <c r="D1464" t="s">
        <v>1838</v>
      </c>
      <c r="E1464" t="s">
        <v>406</v>
      </c>
      <c r="H1464" t="s">
        <v>25</v>
      </c>
      <c r="I1464" t="s">
        <v>1793</v>
      </c>
      <c r="L1464" t="s">
        <v>312</v>
      </c>
      <c r="M1464" t="s">
        <v>343</v>
      </c>
    </row>
    <row r="1465" spans="1:13" x14ac:dyDescent="0.3">
      <c r="A1465" t="s">
        <v>1830</v>
      </c>
      <c r="B1465" t="s">
        <v>1775</v>
      </c>
      <c r="C1465" t="s">
        <v>308</v>
      </c>
      <c r="D1465" t="s">
        <v>1839</v>
      </c>
      <c r="E1465" t="s">
        <v>1785</v>
      </c>
      <c r="H1465" t="s">
        <v>25</v>
      </c>
      <c r="I1465" t="s">
        <v>1795</v>
      </c>
      <c r="L1465" t="s">
        <v>312</v>
      </c>
      <c r="M1465" t="s">
        <v>343</v>
      </c>
    </row>
    <row r="1466" spans="1:13" x14ac:dyDescent="0.3">
      <c r="A1466" t="s">
        <v>1836</v>
      </c>
      <c r="B1466" t="s">
        <v>1788</v>
      </c>
      <c r="C1466" t="s">
        <v>11</v>
      </c>
      <c r="D1466" t="s">
        <v>12</v>
      </c>
      <c r="E1466" t="s">
        <v>391</v>
      </c>
      <c r="H1466" t="s">
        <v>392</v>
      </c>
      <c r="I1466" t="s">
        <v>1840</v>
      </c>
      <c r="L1466" t="s">
        <v>394</v>
      </c>
      <c r="M1466" t="s">
        <v>1833</v>
      </c>
    </row>
    <row r="1467" spans="1:13" x14ac:dyDescent="0.3">
      <c r="A1467" t="s">
        <v>1834</v>
      </c>
      <c r="B1467" t="s">
        <v>478</v>
      </c>
      <c r="C1467" t="s">
        <v>308</v>
      </c>
      <c r="D1467" t="s">
        <v>1841</v>
      </c>
      <c r="E1467" t="s">
        <v>1798</v>
      </c>
      <c r="H1467" t="s">
        <v>25</v>
      </c>
      <c r="I1467" t="s">
        <v>1799</v>
      </c>
      <c r="L1467" t="s">
        <v>312</v>
      </c>
      <c r="M1467" t="s">
        <v>343</v>
      </c>
    </row>
    <row r="1468" spans="1:13" x14ac:dyDescent="0.3">
      <c r="A1468" t="s">
        <v>1834</v>
      </c>
      <c r="B1468" t="s">
        <v>478</v>
      </c>
      <c r="C1468" t="s">
        <v>308</v>
      </c>
      <c r="D1468" t="s">
        <v>1842</v>
      </c>
      <c r="E1468" t="s">
        <v>481</v>
      </c>
      <c r="H1468" t="s">
        <v>25</v>
      </c>
      <c r="I1468" t="s">
        <v>1801</v>
      </c>
      <c r="L1468" t="s">
        <v>312</v>
      </c>
      <c r="M1468" t="s">
        <v>343</v>
      </c>
    </row>
    <row r="1469" spans="1:13" x14ac:dyDescent="0.3">
      <c r="A1469" t="s">
        <v>1841</v>
      </c>
      <c r="B1469" t="s">
        <v>1798</v>
      </c>
      <c r="C1469" t="s">
        <v>11</v>
      </c>
      <c r="D1469" t="s">
        <v>12</v>
      </c>
      <c r="E1469" t="s">
        <v>391</v>
      </c>
      <c r="H1469" t="s">
        <v>392</v>
      </c>
      <c r="I1469" t="s">
        <v>1843</v>
      </c>
      <c r="L1469" t="s">
        <v>394</v>
      </c>
      <c r="M1469" t="s">
        <v>1833</v>
      </c>
    </row>
    <row r="1470" spans="1:13" x14ac:dyDescent="0.3">
      <c r="A1470" t="s">
        <v>1842</v>
      </c>
      <c r="B1470" t="s">
        <v>481</v>
      </c>
      <c r="C1470" t="s">
        <v>11</v>
      </c>
      <c r="D1470" t="s">
        <v>12</v>
      </c>
      <c r="E1470" t="s">
        <v>391</v>
      </c>
      <c r="H1470" t="s">
        <v>392</v>
      </c>
      <c r="I1470" t="s">
        <v>1844</v>
      </c>
      <c r="L1470" t="s">
        <v>394</v>
      </c>
      <c r="M1470" t="s">
        <v>1833</v>
      </c>
    </row>
    <row r="1471" spans="1:13" x14ac:dyDescent="0.3">
      <c r="A1471" t="s">
        <v>1835</v>
      </c>
      <c r="B1471" t="s">
        <v>1785</v>
      </c>
      <c r="C1471" t="s">
        <v>11</v>
      </c>
      <c r="D1471" t="s">
        <v>12</v>
      </c>
      <c r="E1471" t="s">
        <v>391</v>
      </c>
      <c r="H1471" t="s">
        <v>392</v>
      </c>
      <c r="I1471" t="s">
        <v>1845</v>
      </c>
      <c r="L1471" t="s">
        <v>394</v>
      </c>
      <c r="M1471" t="s">
        <v>1833</v>
      </c>
    </row>
    <row r="1472" spans="1:13" x14ac:dyDescent="0.3">
      <c r="A1472" t="s">
        <v>1838</v>
      </c>
      <c r="B1472" t="s">
        <v>406</v>
      </c>
      <c r="C1472" t="s">
        <v>11</v>
      </c>
      <c r="D1472" t="s">
        <v>12</v>
      </c>
      <c r="E1472" t="s">
        <v>391</v>
      </c>
      <c r="H1472" t="s">
        <v>392</v>
      </c>
      <c r="I1472" t="s">
        <v>1846</v>
      </c>
      <c r="L1472" t="s">
        <v>394</v>
      </c>
      <c r="M1472" t="s">
        <v>1833</v>
      </c>
    </row>
    <row r="1473" spans="1:13" x14ac:dyDescent="0.3">
      <c r="A1473" t="s">
        <v>1837</v>
      </c>
      <c r="B1473" t="s">
        <v>402</v>
      </c>
      <c r="C1473" t="s">
        <v>11</v>
      </c>
      <c r="D1473" t="s">
        <v>12</v>
      </c>
      <c r="E1473" t="s">
        <v>391</v>
      </c>
      <c r="H1473" t="s">
        <v>392</v>
      </c>
      <c r="I1473" t="s">
        <v>1847</v>
      </c>
      <c r="L1473" t="s">
        <v>394</v>
      </c>
      <c r="M1473" t="s">
        <v>1833</v>
      </c>
    </row>
    <row r="1474" spans="1:13" x14ac:dyDescent="0.3">
      <c r="A1474" t="s">
        <v>1839</v>
      </c>
      <c r="B1474" t="s">
        <v>1785</v>
      </c>
      <c r="C1474" t="s">
        <v>11</v>
      </c>
      <c r="D1474" t="s">
        <v>12</v>
      </c>
      <c r="E1474" t="s">
        <v>391</v>
      </c>
      <c r="H1474" t="s">
        <v>392</v>
      </c>
      <c r="I1474" t="s">
        <v>1848</v>
      </c>
      <c r="L1474" t="s">
        <v>394</v>
      </c>
      <c r="M1474" t="s">
        <v>1833</v>
      </c>
    </row>
    <row r="1475" spans="1:13" x14ac:dyDescent="0.3">
      <c r="A1475" t="s">
        <v>1831</v>
      </c>
      <c r="B1475" t="s">
        <v>1778</v>
      </c>
      <c r="C1475" t="s">
        <v>308</v>
      </c>
      <c r="D1475" t="s">
        <v>1849</v>
      </c>
      <c r="E1475" t="s">
        <v>1809</v>
      </c>
      <c r="H1475" t="s">
        <v>25</v>
      </c>
      <c r="I1475" t="s">
        <v>1810</v>
      </c>
      <c r="L1475" t="s">
        <v>312</v>
      </c>
      <c r="M1475" t="s">
        <v>343</v>
      </c>
    </row>
    <row r="1476" spans="1:13" x14ac:dyDescent="0.3">
      <c r="A1476" t="s">
        <v>1831</v>
      </c>
      <c r="B1476" t="s">
        <v>1778</v>
      </c>
      <c r="C1476" t="s">
        <v>308</v>
      </c>
      <c r="D1476" t="s">
        <v>1850</v>
      </c>
      <c r="E1476" t="s">
        <v>481</v>
      </c>
      <c r="H1476" t="s">
        <v>25</v>
      </c>
      <c r="I1476" t="s">
        <v>1812</v>
      </c>
      <c r="L1476" t="s">
        <v>312</v>
      </c>
      <c r="M1476" t="s">
        <v>343</v>
      </c>
    </row>
    <row r="1477" spans="1:13" x14ac:dyDescent="0.3">
      <c r="A1477" t="s">
        <v>1831</v>
      </c>
      <c r="B1477" t="s">
        <v>1778</v>
      </c>
      <c r="C1477" t="s">
        <v>308</v>
      </c>
      <c r="D1477" t="s">
        <v>1851</v>
      </c>
      <c r="E1477" t="s">
        <v>1814</v>
      </c>
      <c r="H1477" t="s">
        <v>25</v>
      </c>
      <c r="I1477" t="s">
        <v>1815</v>
      </c>
      <c r="L1477" t="s">
        <v>312</v>
      </c>
      <c r="M1477" t="s">
        <v>343</v>
      </c>
    </row>
    <row r="1478" spans="1:13" x14ac:dyDescent="0.3">
      <c r="A1478" t="s">
        <v>1831</v>
      </c>
      <c r="B1478" t="s">
        <v>1778</v>
      </c>
      <c r="C1478" t="s">
        <v>308</v>
      </c>
      <c r="D1478" t="s">
        <v>1852</v>
      </c>
      <c r="E1478" t="s">
        <v>1817</v>
      </c>
      <c r="H1478" t="s">
        <v>25</v>
      </c>
      <c r="I1478" t="s">
        <v>1818</v>
      </c>
      <c r="L1478" t="s">
        <v>312</v>
      </c>
      <c r="M1478" t="s">
        <v>343</v>
      </c>
    </row>
    <row r="1479" spans="1:13" x14ac:dyDescent="0.3">
      <c r="A1479" t="s">
        <v>1831</v>
      </c>
      <c r="B1479" t="s">
        <v>1778</v>
      </c>
      <c r="C1479" t="s">
        <v>308</v>
      </c>
      <c r="D1479" t="s">
        <v>1853</v>
      </c>
      <c r="E1479" t="s">
        <v>1785</v>
      </c>
      <c r="H1479" t="s">
        <v>25</v>
      </c>
      <c r="I1479" t="s">
        <v>1820</v>
      </c>
      <c r="L1479" t="s">
        <v>312</v>
      </c>
      <c r="M1479" t="s">
        <v>343</v>
      </c>
    </row>
    <row r="1480" spans="1:13" x14ac:dyDescent="0.3">
      <c r="A1480" t="s">
        <v>1831</v>
      </c>
      <c r="B1480" t="s">
        <v>1778</v>
      </c>
      <c r="C1480" t="s">
        <v>308</v>
      </c>
      <c r="D1480" t="s">
        <v>1854</v>
      </c>
      <c r="E1480" t="s">
        <v>1134</v>
      </c>
      <c r="H1480" t="s">
        <v>25</v>
      </c>
      <c r="I1480" t="s">
        <v>1822</v>
      </c>
      <c r="L1480" t="s">
        <v>312</v>
      </c>
      <c r="M1480" t="s">
        <v>317</v>
      </c>
    </row>
    <row r="1481" spans="1:13" x14ac:dyDescent="0.3">
      <c r="A1481" t="s">
        <v>1849</v>
      </c>
      <c r="B1481" t="s">
        <v>1809</v>
      </c>
      <c r="C1481" t="s">
        <v>11</v>
      </c>
      <c r="D1481" t="s">
        <v>12</v>
      </c>
      <c r="E1481" t="s">
        <v>391</v>
      </c>
      <c r="H1481" t="s">
        <v>392</v>
      </c>
      <c r="I1481" t="s">
        <v>1855</v>
      </c>
      <c r="L1481" t="s">
        <v>394</v>
      </c>
      <c r="M1481" t="s">
        <v>1833</v>
      </c>
    </row>
    <row r="1482" spans="1:13" x14ac:dyDescent="0.3">
      <c r="A1482" t="s">
        <v>1851</v>
      </c>
      <c r="B1482" t="s">
        <v>1814</v>
      </c>
      <c r="C1482" t="s">
        <v>11</v>
      </c>
      <c r="D1482" t="s">
        <v>12</v>
      </c>
      <c r="E1482" t="s">
        <v>391</v>
      </c>
      <c r="H1482" t="s">
        <v>392</v>
      </c>
      <c r="I1482" t="s">
        <v>1856</v>
      </c>
      <c r="L1482" t="s">
        <v>394</v>
      </c>
      <c r="M1482" t="s">
        <v>1833</v>
      </c>
    </row>
    <row r="1483" spans="1:13" x14ac:dyDescent="0.3">
      <c r="A1483" t="s">
        <v>1850</v>
      </c>
      <c r="B1483" t="s">
        <v>481</v>
      </c>
      <c r="C1483" t="s">
        <v>11</v>
      </c>
      <c r="D1483" t="s">
        <v>12</v>
      </c>
      <c r="E1483" t="s">
        <v>391</v>
      </c>
      <c r="H1483" t="s">
        <v>392</v>
      </c>
      <c r="I1483" t="s">
        <v>1857</v>
      </c>
      <c r="L1483" t="s">
        <v>394</v>
      </c>
      <c r="M1483" t="s">
        <v>1833</v>
      </c>
    </row>
    <row r="1484" spans="1:13" x14ac:dyDescent="0.3">
      <c r="A1484" t="s">
        <v>1852</v>
      </c>
      <c r="B1484" t="s">
        <v>1817</v>
      </c>
      <c r="C1484" t="s">
        <v>11</v>
      </c>
      <c r="D1484" t="s">
        <v>12</v>
      </c>
      <c r="E1484" t="s">
        <v>391</v>
      </c>
      <c r="H1484" t="s">
        <v>392</v>
      </c>
      <c r="I1484" t="s">
        <v>1858</v>
      </c>
      <c r="L1484" t="s">
        <v>394</v>
      </c>
      <c r="M1484" t="s">
        <v>1833</v>
      </c>
    </row>
    <row r="1485" spans="1:13" x14ac:dyDescent="0.3">
      <c r="A1485" t="s">
        <v>1853</v>
      </c>
      <c r="B1485" t="s">
        <v>1785</v>
      </c>
      <c r="C1485" t="s">
        <v>11</v>
      </c>
      <c r="D1485" t="s">
        <v>12</v>
      </c>
      <c r="E1485" t="s">
        <v>391</v>
      </c>
      <c r="H1485" t="s">
        <v>392</v>
      </c>
      <c r="I1485" t="s">
        <v>1859</v>
      </c>
      <c r="L1485" t="s">
        <v>394</v>
      </c>
      <c r="M1485" t="s">
        <v>1833</v>
      </c>
    </row>
    <row r="1486" spans="1:13" x14ac:dyDescent="0.3">
      <c r="A1486" t="s">
        <v>1854</v>
      </c>
      <c r="B1486" t="s">
        <v>1134</v>
      </c>
      <c r="C1486" t="s">
        <v>11</v>
      </c>
      <c r="D1486" t="s">
        <v>12</v>
      </c>
      <c r="E1486" t="s">
        <v>391</v>
      </c>
      <c r="H1486" t="s">
        <v>392</v>
      </c>
      <c r="I1486" t="s">
        <v>1860</v>
      </c>
      <c r="L1486" t="s">
        <v>394</v>
      </c>
      <c r="M1486" t="s">
        <v>1833</v>
      </c>
    </row>
    <row r="1487" spans="1:13" x14ac:dyDescent="0.3">
      <c r="A1487" t="s">
        <v>1861</v>
      </c>
      <c r="B1487" t="s">
        <v>1773</v>
      </c>
      <c r="C1487" t="s">
        <v>280</v>
      </c>
      <c r="D1487" t="s">
        <v>1862</v>
      </c>
      <c r="E1487" t="s">
        <v>1775</v>
      </c>
      <c r="H1487" t="s">
        <v>25</v>
      </c>
      <c r="I1487" t="s">
        <v>1776</v>
      </c>
    </row>
    <row r="1488" spans="1:13" x14ac:dyDescent="0.3">
      <c r="A1488" t="s">
        <v>1861</v>
      </c>
      <c r="B1488" t="s">
        <v>1773</v>
      </c>
      <c r="C1488" t="s">
        <v>280</v>
      </c>
      <c r="D1488" t="s">
        <v>1863</v>
      </c>
      <c r="E1488" t="s">
        <v>1778</v>
      </c>
      <c r="H1488" t="s">
        <v>25</v>
      </c>
      <c r="I1488" t="s">
        <v>1779</v>
      </c>
    </row>
    <row r="1489" spans="1:13" x14ac:dyDescent="0.3">
      <c r="A1489" t="s">
        <v>1861</v>
      </c>
      <c r="B1489" t="s">
        <v>1773</v>
      </c>
      <c r="C1489" t="s">
        <v>22</v>
      </c>
      <c r="D1489" t="s">
        <v>20</v>
      </c>
      <c r="E1489" t="s">
        <v>21</v>
      </c>
      <c r="F1489" t="s">
        <v>25</v>
      </c>
      <c r="G1489" t="s">
        <v>1864</v>
      </c>
    </row>
    <row r="1490" spans="1:13" x14ac:dyDescent="0.3">
      <c r="A1490" t="s">
        <v>1861</v>
      </c>
      <c r="B1490" t="s">
        <v>1773</v>
      </c>
      <c r="C1490" t="s">
        <v>16</v>
      </c>
      <c r="D1490" t="s">
        <v>587</v>
      </c>
      <c r="E1490" t="s">
        <v>37</v>
      </c>
    </row>
    <row r="1491" spans="1:13" x14ac:dyDescent="0.3">
      <c r="A1491" t="s">
        <v>1861</v>
      </c>
      <c r="B1491" t="s">
        <v>1773</v>
      </c>
      <c r="C1491" t="s">
        <v>11</v>
      </c>
      <c r="D1491" t="s">
        <v>12</v>
      </c>
      <c r="E1491" t="s">
        <v>13</v>
      </c>
      <c r="H1491" t="s">
        <v>382</v>
      </c>
      <c r="I1491" t="s">
        <v>1865</v>
      </c>
      <c r="L1491" t="s">
        <v>14</v>
      </c>
      <c r="M1491" t="s">
        <v>1865</v>
      </c>
    </row>
    <row r="1492" spans="1:13" x14ac:dyDescent="0.3">
      <c r="A1492" t="s">
        <v>1862</v>
      </c>
      <c r="B1492" t="s">
        <v>1775</v>
      </c>
      <c r="C1492" t="s">
        <v>280</v>
      </c>
      <c r="D1492" t="s">
        <v>1866</v>
      </c>
      <c r="E1492" t="s">
        <v>478</v>
      </c>
      <c r="H1492" t="s">
        <v>25</v>
      </c>
      <c r="I1492" t="s">
        <v>1783</v>
      </c>
    </row>
    <row r="1493" spans="1:13" x14ac:dyDescent="0.3">
      <c r="A1493" t="s">
        <v>1862</v>
      </c>
      <c r="B1493" t="s">
        <v>1775</v>
      </c>
      <c r="C1493" t="s">
        <v>308</v>
      </c>
      <c r="D1493" t="s">
        <v>1867</v>
      </c>
      <c r="E1493" t="s">
        <v>1785</v>
      </c>
      <c r="H1493" t="s">
        <v>25</v>
      </c>
      <c r="I1493" t="s">
        <v>1786</v>
      </c>
      <c r="L1493" t="s">
        <v>312</v>
      </c>
      <c r="M1493" t="s">
        <v>343</v>
      </c>
    </row>
    <row r="1494" spans="1:13" x14ac:dyDescent="0.3">
      <c r="A1494" t="s">
        <v>1862</v>
      </c>
      <c r="B1494" t="s">
        <v>1775</v>
      </c>
      <c r="C1494" t="s">
        <v>308</v>
      </c>
      <c r="D1494" t="s">
        <v>1868</v>
      </c>
      <c r="E1494" t="s">
        <v>1788</v>
      </c>
      <c r="H1494" t="s">
        <v>25</v>
      </c>
      <c r="I1494" t="s">
        <v>1789</v>
      </c>
      <c r="L1494" t="s">
        <v>312</v>
      </c>
      <c r="M1494" t="s">
        <v>353</v>
      </c>
    </row>
    <row r="1495" spans="1:13" x14ac:dyDescent="0.3">
      <c r="A1495" t="s">
        <v>1862</v>
      </c>
      <c r="B1495" t="s">
        <v>1775</v>
      </c>
      <c r="C1495" t="s">
        <v>308</v>
      </c>
      <c r="D1495" t="s">
        <v>1869</v>
      </c>
      <c r="E1495" t="s">
        <v>402</v>
      </c>
      <c r="H1495" t="s">
        <v>25</v>
      </c>
      <c r="I1495" t="s">
        <v>1791</v>
      </c>
      <c r="L1495" t="s">
        <v>312</v>
      </c>
      <c r="M1495" t="s">
        <v>343</v>
      </c>
    </row>
    <row r="1496" spans="1:13" x14ac:dyDescent="0.3">
      <c r="A1496" t="s">
        <v>1862</v>
      </c>
      <c r="B1496" t="s">
        <v>1775</v>
      </c>
      <c r="C1496" t="s">
        <v>308</v>
      </c>
      <c r="D1496" t="s">
        <v>1870</v>
      </c>
      <c r="E1496" t="s">
        <v>406</v>
      </c>
      <c r="H1496" t="s">
        <v>25</v>
      </c>
      <c r="I1496" t="s">
        <v>1793</v>
      </c>
      <c r="L1496" t="s">
        <v>312</v>
      </c>
      <c r="M1496" t="s">
        <v>343</v>
      </c>
    </row>
    <row r="1497" spans="1:13" x14ac:dyDescent="0.3">
      <c r="A1497" t="s">
        <v>1862</v>
      </c>
      <c r="B1497" t="s">
        <v>1775</v>
      </c>
      <c r="C1497" t="s">
        <v>308</v>
      </c>
      <c r="D1497" t="s">
        <v>1871</v>
      </c>
      <c r="E1497" t="s">
        <v>1785</v>
      </c>
      <c r="H1497" t="s">
        <v>25</v>
      </c>
      <c r="I1497" t="s">
        <v>1795</v>
      </c>
      <c r="L1497" t="s">
        <v>312</v>
      </c>
      <c r="M1497" t="s">
        <v>343</v>
      </c>
    </row>
    <row r="1498" spans="1:13" x14ac:dyDescent="0.3">
      <c r="A1498" t="s">
        <v>1868</v>
      </c>
      <c r="B1498" t="s">
        <v>1788</v>
      </c>
      <c r="C1498" t="s">
        <v>11</v>
      </c>
      <c r="D1498" t="s">
        <v>12</v>
      </c>
      <c r="E1498" t="s">
        <v>391</v>
      </c>
      <c r="H1498" t="s">
        <v>392</v>
      </c>
      <c r="I1498" t="s">
        <v>1872</v>
      </c>
      <c r="L1498" t="s">
        <v>394</v>
      </c>
      <c r="M1498" t="s">
        <v>1865</v>
      </c>
    </row>
    <row r="1499" spans="1:13" x14ac:dyDescent="0.3">
      <c r="A1499" t="s">
        <v>1866</v>
      </c>
      <c r="B1499" t="s">
        <v>478</v>
      </c>
      <c r="C1499" t="s">
        <v>308</v>
      </c>
      <c r="D1499" t="s">
        <v>1873</v>
      </c>
      <c r="E1499" t="s">
        <v>1798</v>
      </c>
      <c r="H1499" t="s">
        <v>25</v>
      </c>
      <c r="I1499" t="s">
        <v>1799</v>
      </c>
      <c r="L1499" t="s">
        <v>312</v>
      </c>
      <c r="M1499" t="s">
        <v>343</v>
      </c>
    </row>
    <row r="1500" spans="1:13" x14ac:dyDescent="0.3">
      <c r="A1500" t="s">
        <v>1866</v>
      </c>
      <c r="B1500" t="s">
        <v>478</v>
      </c>
      <c r="C1500" t="s">
        <v>308</v>
      </c>
      <c r="D1500" t="s">
        <v>1874</v>
      </c>
      <c r="E1500" t="s">
        <v>481</v>
      </c>
      <c r="H1500" t="s">
        <v>25</v>
      </c>
      <c r="I1500" t="s">
        <v>1801</v>
      </c>
      <c r="L1500" t="s">
        <v>312</v>
      </c>
      <c r="M1500" t="s">
        <v>343</v>
      </c>
    </row>
    <row r="1501" spans="1:13" x14ac:dyDescent="0.3">
      <c r="A1501" t="s">
        <v>1873</v>
      </c>
      <c r="B1501" t="s">
        <v>1798</v>
      </c>
      <c r="C1501" t="s">
        <v>11</v>
      </c>
      <c r="D1501" t="s">
        <v>12</v>
      </c>
      <c r="E1501" t="s">
        <v>391</v>
      </c>
      <c r="H1501" t="s">
        <v>392</v>
      </c>
      <c r="I1501" t="s">
        <v>1875</v>
      </c>
      <c r="L1501" t="s">
        <v>394</v>
      </c>
      <c r="M1501" t="s">
        <v>1865</v>
      </c>
    </row>
    <row r="1502" spans="1:13" x14ac:dyDescent="0.3">
      <c r="A1502" t="s">
        <v>1874</v>
      </c>
      <c r="B1502" t="s">
        <v>481</v>
      </c>
      <c r="C1502" t="s">
        <v>11</v>
      </c>
      <c r="D1502" t="s">
        <v>12</v>
      </c>
      <c r="E1502" t="s">
        <v>391</v>
      </c>
      <c r="H1502" t="s">
        <v>392</v>
      </c>
      <c r="I1502" t="s">
        <v>1876</v>
      </c>
      <c r="L1502" t="s">
        <v>394</v>
      </c>
      <c r="M1502" t="s">
        <v>1865</v>
      </c>
    </row>
    <row r="1503" spans="1:13" x14ac:dyDescent="0.3">
      <c r="A1503" t="s">
        <v>1867</v>
      </c>
      <c r="B1503" t="s">
        <v>1785</v>
      </c>
      <c r="C1503" t="s">
        <v>11</v>
      </c>
      <c r="D1503" t="s">
        <v>12</v>
      </c>
      <c r="E1503" t="s">
        <v>391</v>
      </c>
      <c r="H1503" t="s">
        <v>392</v>
      </c>
      <c r="I1503" t="s">
        <v>1877</v>
      </c>
      <c r="L1503" t="s">
        <v>394</v>
      </c>
      <c r="M1503" t="s">
        <v>1865</v>
      </c>
    </row>
    <row r="1504" spans="1:13" x14ac:dyDescent="0.3">
      <c r="A1504" t="s">
        <v>1870</v>
      </c>
      <c r="B1504" t="s">
        <v>406</v>
      </c>
      <c r="C1504" t="s">
        <v>11</v>
      </c>
      <c r="D1504" t="s">
        <v>12</v>
      </c>
      <c r="E1504" t="s">
        <v>391</v>
      </c>
      <c r="H1504" t="s">
        <v>392</v>
      </c>
      <c r="I1504" t="s">
        <v>1878</v>
      </c>
      <c r="L1504" t="s">
        <v>394</v>
      </c>
      <c r="M1504" t="s">
        <v>1865</v>
      </c>
    </row>
    <row r="1505" spans="1:13" x14ac:dyDescent="0.3">
      <c r="A1505" t="s">
        <v>1869</v>
      </c>
      <c r="B1505" t="s">
        <v>402</v>
      </c>
      <c r="C1505" t="s">
        <v>11</v>
      </c>
      <c r="D1505" t="s">
        <v>12</v>
      </c>
      <c r="E1505" t="s">
        <v>391</v>
      </c>
      <c r="H1505" t="s">
        <v>392</v>
      </c>
      <c r="I1505" t="s">
        <v>1879</v>
      </c>
      <c r="L1505" t="s">
        <v>394</v>
      </c>
      <c r="M1505" t="s">
        <v>1865</v>
      </c>
    </row>
    <row r="1506" spans="1:13" x14ac:dyDescent="0.3">
      <c r="A1506" t="s">
        <v>1871</v>
      </c>
      <c r="B1506" t="s">
        <v>1785</v>
      </c>
      <c r="C1506" t="s">
        <v>11</v>
      </c>
      <c r="D1506" t="s">
        <v>12</v>
      </c>
      <c r="E1506" t="s">
        <v>391</v>
      </c>
      <c r="H1506" t="s">
        <v>392</v>
      </c>
      <c r="I1506" t="s">
        <v>1880</v>
      </c>
      <c r="L1506" t="s">
        <v>394</v>
      </c>
      <c r="M1506" t="s">
        <v>1865</v>
      </c>
    </row>
    <row r="1507" spans="1:13" x14ac:dyDescent="0.3">
      <c r="A1507" t="s">
        <v>1863</v>
      </c>
      <c r="B1507" t="s">
        <v>1778</v>
      </c>
      <c r="C1507" t="s">
        <v>308</v>
      </c>
      <c r="D1507" t="s">
        <v>1881</v>
      </c>
      <c r="E1507" t="s">
        <v>1809</v>
      </c>
      <c r="H1507" t="s">
        <v>25</v>
      </c>
      <c r="I1507" t="s">
        <v>1810</v>
      </c>
      <c r="L1507" t="s">
        <v>312</v>
      </c>
      <c r="M1507" t="s">
        <v>343</v>
      </c>
    </row>
    <row r="1508" spans="1:13" x14ac:dyDescent="0.3">
      <c r="A1508" t="s">
        <v>1863</v>
      </c>
      <c r="B1508" t="s">
        <v>1778</v>
      </c>
      <c r="C1508" t="s">
        <v>308</v>
      </c>
      <c r="D1508" t="s">
        <v>1882</v>
      </c>
      <c r="E1508" t="s">
        <v>481</v>
      </c>
      <c r="H1508" t="s">
        <v>25</v>
      </c>
      <c r="I1508" t="s">
        <v>1812</v>
      </c>
      <c r="L1508" t="s">
        <v>312</v>
      </c>
      <c r="M1508" t="s">
        <v>343</v>
      </c>
    </row>
    <row r="1509" spans="1:13" x14ac:dyDescent="0.3">
      <c r="A1509" t="s">
        <v>1863</v>
      </c>
      <c r="B1509" t="s">
        <v>1778</v>
      </c>
      <c r="C1509" t="s">
        <v>308</v>
      </c>
      <c r="D1509" t="s">
        <v>1883</v>
      </c>
      <c r="E1509" t="s">
        <v>1814</v>
      </c>
      <c r="H1509" t="s">
        <v>25</v>
      </c>
      <c r="I1509" t="s">
        <v>1815</v>
      </c>
      <c r="L1509" t="s">
        <v>312</v>
      </c>
      <c r="M1509" t="s">
        <v>343</v>
      </c>
    </row>
    <row r="1510" spans="1:13" x14ac:dyDescent="0.3">
      <c r="A1510" t="s">
        <v>1863</v>
      </c>
      <c r="B1510" t="s">
        <v>1778</v>
      </c>
      <c r="C1510" t="s">
        <v>308</v>
      </c>
      <c r="D1510" t="s">
        <v>1884</v>
      </c>
      <c r="E1510" t="s">
        <v>1817</v>
      </c>
      <c r="H1510" t="s">
        <v>25</v>
      </c>
      <c r="I1510" t="s">
        <v>1818</v>
      </c>
      <c r="L1510" t="s">
        <v>312</v>
      </c>
      <c r="M1510" t="s">
        <v>343</v>
      </c>
    </row>
    <row r="1511" spans="1:13" x14ac:dyDescent="0.3">
      <c r="A1511" t="s">
        <v>1863</v>
      </c>
      <c r="B1511" t="s">
        <v>1778</v>
      </c>
      <c r="C1511" t="s">
        <v>308</v>
      </c>
      <c r="D1511" t="s">
        <v>1885</v>
      </c>
      <c r="E1511" t="s">
        <v>1785</v>
      </c>
      <c r="H1511" t="s">
        <v>25</v>
      </c>
      <c r="I1511" t="s">
        <v>1820</v>
      </c>
      <c r="L1511" t="s">
        <v>312</v>
      </c>
      <c r="M1511" t="s">
        <v>343</v>
      </c>
    </row>
    <row r="1512" spans="1:13" x14ac:dyDescent="0.3">
      <c r="A1512" t="s">
        <v>1863</v>
      </c>
      <c r="B1512" t="s">
        <v>1778</v>
      </c>
      <c r="C1512" t="s">
        <v>308</v>
      </c>
      <c r="D1512" t="s">
        <v>1886</v>
      </c>
      <c r="E1512" t="s">
        <v>1134</v>
      </c>
      <c r="H1512" t="s">
        <v>25</v>
      </c>
      <c r="I1512" t="s">
        <v>1822</v>
      </c>
      <c r="L1512" t="s">
        <v>312</v>
      </c>
      <c r="M1512" t="s">
        <v>317</v>
      </c>
    </row>
    <row r="1513" spans="1:13" x14ac:dyDescent="0.3">
      <c r="A1513" t="s">
        <v>1881</v>
      </c>
      <c r="B1513" t="s">
        <v>1809</v>
      </c>
      <c r="C1513" t="s">
        <v>11</v>
      </c>
      <c r="D1513" t="s">
        <v>12</v>
      </c>
      <c r="E1513" t="s">
        <v>391</v>
      </c>
      <c r="H1513" t="s">
        <v>392</v>
      </c>
      <c r="I1513" t="s">
        <v>1887</v>
      </c>
      <c r="L1513" t="s">
        <v>394</v>
      </c>
      <c r="M1513" t="s">
        <v>1865</v>
      </c>
    </row>
    <row r="1514" spans="1:13" x14ac:dyDescent="0.3">
      <c r="A1514" t="s">
        <v>1883</v>
      </c>
      <c r="B1514" t="s">
        <v>1814</v>
      </c>
      <c r="C1514" t="s">
        <v>11</v>
      </c>
      <c r="D1514" t="s">
        <v>12</v>
      </c>
      <c r="E1514" t="s">
        <v>391</v>
      </c>
      <c r="H1514" t="s">
        <v>392</v>
      </c>
      <c r="I1514" t="s">
        <v>1888</v>
      </c>
      <c r="L1514" t="s">
        <v>394</v>
      </c>
      <c r="M1514" t="s">
        <v>1865</v>
      </c>
    </row>
    <row r="1515" spans="1:13" x14ac:dyDescent="0.3">
      <c r="A1515" t="s">
        <v>1882</v>
      </c>
      <c r="B1515" t="s">
        <v>481</v>
      </c>
      <c r="C1515" t="s">
        <v>11</v>
      </c>
      <c r="D1515" t="s">
        <v>12</v>
      </c>
      <c r="E1515" t="s">
        <v>391</v>
      </c>
      <c r="H1515" t="s">
        <v>392</v>
      </c>
      <c r="I1515" t="s">
        <v>1889</v>
      </c>
      <c r="L1515" t="s">
        <v>394</v>
      </c>
      <c r="M1515" t="s">
        <v>1865</v>
      </c>
    </row>
    <row r="1516" spans="1:13" x14ac:dyDescent="0.3">
      <c r="A1516" t="s">
        <v>1884</v>
      </c>
      <c r="B1516" t="s">
        <v>1817</v>
      </c>
      <c r="C1516" t="s">
        <v>11</v>
      </c>
      <c r="D1516" t="s">
        <v>12</v>
      </c>
      <c r="E1516" t="s">
        <v>391</v>
      </c>
      <c r="H1516" t="s">
        <v>392</v>
      </c>
      <c r="I1516" t="s">
        <v>1890</v>
      </c>
      <c r="L1516" t="s">
        <v>394</v>
      </c>
      <c r="M1516" t="s">
        <v>1865</v>
      </c>
    </row>
    <row r="1517" spans="1:13" x14ac:dyDescent="0.3">
      <c r="A1517" t="s">
        <v>1885</v>
      </c>
      <c r="B1517" t="s">
        <v>1785</v>
      </c>
      <c r="C1517" t="s">
        <v>11</v>
      </c>
      <c r="D1517" t="s">
        <v>12</v>
      </c>
      <c r="E1517" t="s">
        <v>391</v>
      </c>
      <c r="H1517" t="s">
        <v>392</v>
      </c>
      <c r="I1517" t="s">
        <v>1891</v>
      </c>
      <c r="L1517" t="s">
        <v>394</v>
      </c>
      <c r="M1517" t="s">
        <v>1865</v>
      </c>
    </row>
    <row r="1518" spans="1:13" x14ac:dyDescent="0.3">
      <c r="A1518" t="s">
        <v>1886</v>
      </c>
      <c r="B1518" t="s">
        <v>1134</v>
      </c>
      <c r="C1518" t="s">
        <v>11</v>
      </c>
      <c r="D1518" t="s">
        <v>12</v>
      </c>
      <c r="E1518" t="s">
        <v>391</v>
      </c>
      <c r="H1518" t="s">
        <v>392</v>
      </c>
      <c r="I1518" t="s">
        <v>1892</v>
      </c>
      <c r="L1518" t="s">
        <v>394</v>
      </c>
      <c r="M1518" t="s">
        <v>1865</v>
      </c>
    </row>
    <row r="1519" spans="1:13" x14ac:dyDescent="0.3">
      <c r="A1519" t="s">
        <v>1893</v>
      </c>
      <c r="B1519" t="s">
        <v>1773</v>
      </c>
      <c r="C1519" t="s">
        <v>280</v>
      </c>
      <c r="D1519" t="s">
        <v>1894</v>
      </c>
      <c r="E1519" t="s">
        <v>1775</v>
      </c>
      <c r="H1519" t="s">
        <v>25</v>
      </c>
      <c r="I1519" t="s">
        <v>1776</v>
      </c>
    </row>
    <row r="1520" spans="1:13" x14ac:dyDescent="0.3">
      <c r="A1520" t="s">
        <v>1893</v>
      </c>
      <c r="B1520" t="s">
        <v>1773</v>
      </c>
      <c r="C1520" t="s">
        <v>280</v>
      </c>
      <c r="D1520" t="s">
        <v>1895</v>
      </c>
      <c r="E1520" t="s">
        <v>1778</v>
      </c>
      <c r="H1520" t="s">
        <v>25</v>
      </c>
      <c r="I1520" t="s">
        <v>1779</v>
      </c>
    </row>
    <row r="1521" spans="1:13" x14ac:dyDescent="0.3">
      <c r="A1521" t="s">
        <v>1893</v>
      </c>
      <c r="B1521" t="s">
        <v>1773</v>
      </c>
      <c r="C1521" t="s">
        <v>22</v>
      </c>
      <c r="D1521" t="s">
        <v>20</v>
      </c>
      <c r="E1521" t="s">
        <v>21</v>
      </c>
      <c r="F1521" t="s">
        <v>25</v>
      </c>
      <c r="G1521" t="s">
        <v>1896</v>
      </c>
    </row>
    <row r="1522" spans="1:13" x14ac:dyDescent="0.3">
      <c r="A1522" t="s">
        <v>1893</v>
      </c>
      <c r="B1522" t="s">
        <v>1773</v>
      </c>
      <c r="C1522" t="s">
        <v>16</v>
      </c>
      <c r="D1522" t="s">
        <v>587</v>
      </c>
      <c r="E1522" t="s">
        <v>37</v>
      </c>
    </row>
    <row r="1523" spans="1:13" x14ac:dyDescent="0.3">
      <c r="A1523" t="s">
        <v>1893</v>
      </c>
      <c r="B1523" t="s">
        <v>1773</v>
      </c>
      <c r="C1523" t="s">
        <v>11</v>
      </c>
      <c r="D1523" t="s">
        <v>12</v>
      </c>
      <c r="E1523" t="s">
        <v>13</v>
      </c>
      <c r="H1523" t="s">
        <v>382</v>
      </c>
      <c r="I1523" t="s">
        <v>1897</v>
      </c>
      <c r="L1523" t="s">
        <v>14</v>
      </c>
      <c r="M1523" t="s">
        <v>1897</v>
      </c>
    </row>
    <row r="1524" spans="1:13" x14ac:dyDescent="0.3">
      <c r="A1524" t="s">
        <v>1894</v>
      </c>
      <c r="B1524" t="s">
        <v>1775</v>
      </c>
      <c r="C1524" t="s">
        <v>280</v>
      </c>
      <c r="D1524" t="s">
        <v>1898</v>
      </c>
      <c r="E1524" t="s">
        <v>478</v>
      </c>
      <c r="H1524" t="s">
        <v>25</v>
      </c>
      <c r="I1524" t="s">
        <v>1783</v>
      </c>
    </row>
    <row r="1525" spans="1:13" x14ac:dyDescent="0.3">
      <c r="A1525" t="s">
        <v>1894</v>
      </c>
      <c r="B1525" t="s">
        <v>1775</v>
      </c>
      <c r="C1525" t="s">
        <v>308</v>
      </c>
      <c r="D1525" t="s">
        <v>1899</v>
      </c>
      <c r="E1525" t="s">
        <v>1785</v>
      </c>
      <c r="H1525" t="s">
        <v>25</v>
      </c>
      <c r="I1525" t="s">
        <v>1786</v>
      </c>
      <c r="L1525" t="s">
        <v>312</v>
      </c>
      <c r="M1525" t="s">
        <v>343</v>
      </c>
    </row>
    <row r="1526" spans="1:13" x14ac:dyDescent="0.3">
      <c r="A1526" t="s">
        <v>1894</v>
      </c>
      <c r="B1526" t="s">
        <v>1775</v>
      </c>
      <c r="C1526" t="s">
        <v>308</v>
      </c>
      <c r="D1526" t="s">
        <v>1900</v>
      </c>
      <c r="E1526" t="s">
        <v>1788</v>
      </c>
      <c r="H1526" t="s">
        <v>25</v>
      </c>
      <c r="I1526" t="s">
        <v>1789</v>
      </c>
      <c r="L1526" t="s">
        <v>312</v>
      </c>
      <c r="M1526" t="s">
        <v>353</v>
      </c>
    </row>
    <row r="1527" spans="1:13" x14ac:dyDescent="0.3">
      <c r="A1527" t="s">
        <v>1894</v>
      </c>
      <c r="B1527" t="s">
        <v>1775</v>
      </c>
      <c r="C1527" t="s">
        <v>308</v>
      </c>
      <c r="D1527" t="s">
        <v>1901</v>
      </c>
      <c r="E1527" t="s">
        <v>402</v>
      </c>
      <c r="H1527" t="s">
        <v>25</v>
      </c>
      <c r="I1527" t="s">
        <v>1791</v>
      </c>
      <c r="L1527" t="s">
        <v>312</v>
      </c>
      <c r="M1527" t="s">
        <v>343</v>
      </c>
    </row>
    <row r="1528" spans="1:13" x14ac:dyDescent="0.3">
      <c r="A1528" t="s">
        <v>1894</v>
      </c>
      <c r="B1528" t="s">
        <v>1775</v>
      </c>
      <c r="C1528" t="s">
        <v>308</v>
      </c>
      <c r="D1528" t="s">
        <v>1902</v>
      </c>
      <c r="E1528" t="s">
        <v>406</v>
      </c>
      <c r="H1528" t="s">
        <v>25</v>
      </c>
      <c r="I1528" t="s">
        <v>1793</v>
      </c>
      <c r="L1528" t="s">
        <v>312</v>
      </c>
      <c r="M1528" t="s">
        <v>343</v>
      </c>
    </row>
    <row r="1529" spans="1:13" x14ac:dyDescent="0.3">
      <c r="A1529" t="s">
        <v>1894</v>
      </c>
      <c r="B1529" t="s">
        <v>1775</v>
      </c>
      <c r="C1529" t="s">
        <v>308</v>
      </c>
      <c r="D1529" t="s">
        <v>1903</v>
      </c>
      <c r="E1529" t="s">
        <v>1785</v>
      </c>
      <c r="H1529" t="s">
        <v>25</v>
      </c>
      <c r="I1529" t="s">
        <v>1795</v>
      </c>
      <c r="L1529" t="s">
        <v>312</v>
      </c>
      <c r="M1529" t="s">
        <v>343</v>
      </c>
    </row>
    <row r="1530" spans="1:13" x14ac:dyDescent="0.3">
      <c r="A1530" t="s">
        <v>1900</v>
      </c>
      <c r="B1530" t="s">
        <v>1788</v>
      </c>
      <c r="C1530" t="s">
        <v>11</v>
      </c>
      <c r="D1530" t="s">
        <v>12</v>
      </c>
      <c r="E1530" t="s">
        <v>391</v>
      </c>
      <c r="H1530" t="s">
        <v>392</v>
      </c>
      <c r="I1530" t="s">
        <v>1904</v>
      </c>
      <c r="L1530" t="s">
        <v>394</v>
      </c>
      <c r="M1530" t="s">
        <v>1897</v>
      </c>
    </row>
    <row r="1531" spans="1:13" x14ac:dyDescent="0.3">
      <c r="A1531" t="s">
        <v>1898</v>
      </c>
      <c r="B1531" t="s">
        <v>478</v>
      </c>
      <c r="C1531" t="s">
        <v>308</v>
      </c>
      <c r="D1531" t="s">
        <v>1905</v>
      </c>
      <c r="E1531" t="s">
        <v>1798</v>
      </c>
      <c r="H1531" t="s">
        <v>25</v>
      </c>
      <c r="I1531" t="s">
        <v>1799</v>
      </c>
      <c r="L1531" t="s">
        <v>312</v>
      </c>
      <c r="M1531" t="s">
        <v>343</v>
      </c>
    </row>
    <row r="1532" spans="1:13" x14ac:dyDescent="0.3">
      <c r="A1532" t="s">
        <v>1898</v>
      </c>
      <c r="B1532" t="s">
        <v>478</v>
      </c>
      <c r="C1532" t="s">
        <v>308</v>
      </c>
      <c r="D1532" t="s">
        <v>1906</v>
      </c>
      <c r="E1532" t="s">
        <v>481</v>
      </c>
      <c r="H1532" t="s">
        <v>25</v>
      </c>
      <c r="I1532" t="s">
        <v>1801</v>
      </c>
      <c r="L1532" t="s">
        <v>312</v>
      </c>
      <c r="M1532" t="s">
        <v>343</v>
      </c>
    </row>
    <row r="1533" spans="1:13" x14ac:dyDescent="0.3">
      <c r="A1533" t="s">
        <v>1905</v>
      </c>
      <c r="B1533" t="s">
        <v>1798</v>
      </c>
      <c r="C1533" t="s">
        <v>11</v>
      </c>
      <c r="D1533" t="s">
        <v>12</v>
      </c>
      <c r="E1533" t="s">
        <v>391</v>
      </c>
      <c r="H1533" t="s">
        <v>392</v>
      </c>
      <c r="I1533" t="s">
        <v>1907</v>
      </c>
      <c r="L1533" t="s">
        <v>394</v>
      </c>
      <c r="M1533" t="s">
        <v>1897</v>
      </c>
    </row>
    <row r="1534" spans="1:13" x14ac:dyDescent="0.3">
      <c r="A1534" t="s">
        <v>1906</v>
      </c>
      <c r="B1534" t="s">
        <v>481</v>
      </c>
      <c r="C1534" t="s">
        <v>11</v>
      </c>
      <c r="D1534" t="s">
        <v>12</v>
      </c>
      <c r="E1534" t="s">
        <v>391</v>
      </c>
      <c r="H1534" t="s">
        <v>392</v>
      </c>
      <c r="I1534" t="s">
        <v>1908</v>
      </c>
      <c r="L1534" t="s">
        <v>394</v>
      </c>
      <c r="M1534" t="s">
        <v>1897</v>
      </c>
    </row>
    <row r="1535" spans="1:13" x14ac:dyDescent="0.3">
      <c r="A1535" t="s">
        <v>1899</v>
      </c>
      <c r="B1535" t="s">
        <v>1785</v>
      </c>
      <c r="C1535" t="s">
        <v>11</v>
      </c>
      <c r="D1535" t="s">
        <v>12</v>
      </c>
      <c r="E1535" t="s">
        <v>391</v>
      </c>
      <c r="H1535" t="s">
        <v>392</v>
      </c>
      <c r="I1535" t="s">
        <v>1909</v>
      </c>
      <c r="L1535" t="s">
        <v>394</v>
      </c>
      <c r="M1535" t="s">
        <v>1897</v>
      </c>
    </row>
    <row r="1536" spans="1:13" x14ac:dyDescent="0.3">
      <c r="A1536" t="s">
        <v>1902</v>
      </c>
      <c r="B1536" t="s">
        <v>406</v>
      </c>
      <c r="C1536" t="s">
        <v>11</v>
      </c>
      <c r="D1536" t="s">
        <v>12</v>
      </c>
      <c r="E1536" t="s">
        <v>391</v>
      </c>
      <c r="H1536" t="s">
        <v>392</v>
      </c>
      <c r="I1536" t="s">
        <v>1910</v>
      </c>
      <c r="L1536" t="s">
        <v>394</v>
      </c>
      <c r="M1536" t="s">
        <v>1897</v>
      </c>
    </row>
    <row r="1537" spans="1:13" x14ac:dyDescent="0.3">
      <c r="A1537" t="s">
        <v>1901</v>
      </c>
      <c r="B1537" t="s">
        <v>402</v>
      </c>
      <c r="C1537" t="s">
        <v>11</v>
      </c>
      <c r="D1537" t="s">
        <v>12</v>
      </c>
      <c r="E1537" t="s">
        <v>391</v>
      </c>
      <c r="H1537" t="s">
        <v>392</v>
      </c>
      <c r="I1537" t="s">
        <v>1911</v>
      </c>
      <c r="L1537" t="s">
        <v>394</v>
      </c>
      <c r="M1537" t="s">
        <v>1897</v>
      </c>
    </row>
    <row r="1538" spans="1:13" x14ac:dyDescent="0.3">
      <c r="A1538" t="s">
        <v>1903</v>
      </c>
      <c r="B1538" t="s">
        <v>1785</v>
      </c>
      <c r="C1538" t="s">
        <v>11</v>
      </c>
      <c r="D1538" t="s">
        <v>12</v>
      </c>
      <c r="E1538" t="s">
        <v>391</v>
      </c>
      <c r="H1538" t="s">
        <v>392</v>
      </c>
      <c r="I1538" t="s">
        <v>1912</v>
      </c>
      <c r="L1538" t="s">
        <v>394</v>
      </c>
      <c r="M1538" t="s">
        <v>1897</v>
      </c>
    </row>
    <row r="1539" spans="1:13" x14ac:dyDescent="0.3">
      <c r="A1539" t="s">
        <v>1895</v>
      </c>
      <c r="B1539" t="s">
        <v>1778</v>
      </c>
      <c r="C1539" t="s">
        <v>308</v>
      </c>
      <c r="D1539" t="s">
        <v>1913</v>
      </c>
      <c r="E1539" t="s">
        <v>1809</v>
      </c>
      <c r="H1539" t="s">
        <v>25</v>
      </c>
      <c r="I1539" t="s">
        <v>1810</v>
      </c>
      <c r="L1539" t="s">
        <v>312</v>
      </c>
      <c r="M1539" t="s">
        <v>343</v>
      </c>
    </row>
    <row r="1540" spans="1:13" x14ac:dyDescent="0.3">
      <c r="A1540" t="s">
        <v>1895</v>
      </c>
      <c r="B1540" t="s">
        <v>1778</v>
      </c>
      <c r="C1540" t="s">
        <v>308</v>
      </c>
      <c r="D1540" t="s">
        <v>1914</v>
      </c>
      <c r="E1540" t="s">
        <v>481</v>
      </c>
      <c r="H1540" t="s">
        <v>25</v>
      </c>
      <c r="I1540" t="s">
        <v>1812</v>
      </c>
      <c r="L1540" t="s">
        <v>312</v>
      </c>
      <c r="M1540" t="s">
        <v>343</v>
      </c>
    </row>
    <row r="1541" spans="1:13" x14ac:dyDescent="0.3">
      <c r="A1541" t="s">
        <v>1895</v>
      </c>
      <c r="B1541" t="s">
        <v>1778</v>
      </c>
      <c r="C1541" t="s">
        <v>308</v>
      </c>
      <c r="D1541" t="s">
        <v>1915</v>
      </c>
      <c r="E1541" t="s">
        <v>1814</v>
      </c>
      <c r="H1541" t="s">
        <v>25</v>
      </c>
      <c r="I1541" t="s">
        <v>1815</v>
      </c>
      <c r="L1541" t="s">
        <v>312</v>
      </c>
      <c r="M1541" t="s">
        <v>343</v>
      </c>
    </row>
    <row r="1542" spans="1:13" x14ac:dyDescent="0.3">
      <c r="A1542" t="s">
        <v>1895</v>
      </c>
      <c r="B1542" t="s">
        <v>1778</v>
      </c>
      <c r="C1542" t="s">
        <v>308</v>
      </c>
      <c r="D1542" t="s">
        <v>1916</v>
      </c>
      <c r="E1542" t="s">
        <v>1817</v>
      </c>
      <c r="H1542" t="s">
        <v>25</v>
      </c>
      <c r="I1542" t="s">
        <v>1818</v>
      </c>
      <c r="L1542" t="s">
        <v>312</v>
      </c>
      <c r="M1542" t="s">
        <v>343</v>
      </c>
    </row>
    <row r="1543" spans="1:13" x14ac:dyDescent="0.3">
      <c r="A1543" t="s">
        <v>1895</v>
      </c>
      <c r="B1543" t="s">
        <v>1778</v>
      </c>
      <c r="C1543" t="s">
        <v>308</v>
      </c>
      <c r="D1543" t="s">
        <v>1917</v>
      </c>
      <c r="E1543" t="s">
        <v>1785</v>
      </c>
      <c r="H1543" t="s">
        <v>25</v>
      </c>
      <c r="I1543" t="s">
        <v>1820</v>
      </c>
      <c r="L1543" t="s">
        <v>312</v>
      </c>
      <c r="M1543" t="s">
        <v>343</v>
      </c>
    </row>
    <row r="1544" spans="1:13" x14ac:dyDescent="0.3">
      <c r="A1544" t="s">
        <v>1895</v>
      </c>
      <c r="B1544" t="s">
        <v>1778</v>
      </c>
      <c r="C1544" t="s">
        <v>308</v>
      </c>
      <c r="D1544" t="s">
        <v>1918</v>
      </c>
      <c r="E1544" t="s">
        <v>1134</v>
      </c>
      <c r="H1544" t="s">
        <v>25</v>
      </c>
      <c r="I1544" t="s">
        <v>1822</v>
      </c>
      <c r="L1544" t="s">
        <v>312</v>
      </c>
      <c r="M1544" t="s">
        <v>317</v>
      </c>
    </row>
    <row r="1545" spans="1:13" x14ac:dyDescent="0.3">
      <c r="A1545" t="s">
        <v>1913</v>
      </c>
      <c r="B1545" t="s">
        <v>1809</v>
      </c>
      <c r="C1545" t="s">
        <v>11</v>
      </c>
      <c r="D1545" t="s">
        <v>12</v>
      </c>
      <c r="E1545" t="s">
        <v>391</v>
      </c>
      <c r="H1545" t="s">
        <v>392</v>
      </c>
      <c r="I1545" t="s">
        <v>1919</v>
      </c>
      <c r="L1545" t="s">
        <v>394</v>
      </c>
      <c r="M1545" t="s">
        <v>1897</v>
      </c>
    </row>
    <row r="1546" spans="1:13" x14ac:dyDescent="0.3">
      <c r="A1546" t="s">
        <v>1915</v>
      </c>
      <c r="B1546" t="s">
        <v>1814</v>
      </c>
      <c r="C1546" t="s">
        <v>11</v>
      </c>
      <c r="D1546" t="s">
        <v>12</v>
      </c>
      <c r="E1546" t="s">
        <v>391</v>
      </c>
      <c r="H1546" t="s">
        <v>392</v>
      </c>
      <c r="I1546" t="s">
        <v>1920</v>
      </c>
      <c r="L1546" t="s">
        <v>394</v>
      </c>
      <c r="M1546" t="s">
        <v>1897</v>
      </c>
    </row>
    <row r="1547" spans="1:13" x14ac:dyDescent="0.3">
      <c r="A1547" t="s">
        <v>1914</v>
      </c>
      <c r="B1547" t="s">
        <v>481</v>
      </c>
      <c r="C1547" t="s">
        <v>11</v>
      </c>
      <c r="D1547" t="s">
        <v>12</v>
      </c>
      <c r="E1547" t="s">
        <v>391</v>
      </c>
      <c r="H1547" t="s">
        <v>392</v>
      </c>
      <c r="I1547" t="s">
        <v>1921</v>
      </c>
      <c r="L1547" t="s">
        <v>394</v>
      </c>
      <c r="M1547" t="s">
        <v>1897</v>
      </c>
    </row>
    <row r="1548" spans="1:13" x14ac:dyDescent="0.3">
      <c r="A1548" t="s">
        <v>1916</v>
      </c>
      <c r="B1548" t="s">
        <v>1817</v>
      </c>
      <c r="C1548" t="s">
        <v>11</v>
      </c>
      <c r="D1548" t="s">
        <v>12</v>
      </c>
      <c r="E1548" t="s">
        <v>391</v>
      </c>
      <c r="H1548" t="s">
        <v>392</v>
      </c>
      <c r="I1548" t="s">
        <v>1922</v>
      </c>
      <c r="L1548" t="s">
        <v>394</v>
      </c>
      <c r="M1548" t="s">
        <v>1897</v>
      </c>
    </row>
    <row r="1549" spans="1:13" x14ac:dyDescent="0.3">
      <c r="A1549" t="s">
        <v>1917</v>
      </c>
      <c r="B1549" t="s">
        <v>1785</v>
      </c>
      <c r="C1549" t="s">
        <v>11</v>
      </c>
      <c r="D1549" t="s">
        <v>12</v>
      </c>
      <c r="E1549" t="s">
        <v>391</v>
      </c>
      <c r="H1549" t="s">
        <v>392</v>
      </c>
      <c r="I1549" t="s">
        <v>1923</v>
      </c>
      <c r="L1549" t="s">
        <v>394</v>
      </c>
      <c r="M1549" t="s">
        <v>1897</v>
      </c>
    </row>
    <row r="1550" spans="1:13" x14ac:dyDescent="0.3">
      <c r="A1550" t="s">
        <v>1918</v>
      </c>
      <c r="B1550" t="s">
        <v>1134</v>
      </c>
      <c r="C1550" t="s">
        <v>11</v>
      </c>
      <c r="D1550" t="s">
        <v>12</v>
      </c>
      <c r="E1550" t="s">
        <v>391</v>
      </c>
      <c r="H1550" t="s">
        <v>392</v>
      </c>
      <c r="I1550" t="s">
        <v>1924</v>
      </c>
      <c r="L1550" t="s">
        <v>394</v>
      </c>
      <c r="M1550" t="s">
        <v>1897</v>
      </c>
    </row>
    <row r="1551" spans="1:13" x14ac:dyDescent="0.3">
      <c r="A1551" t="s">
        <v>1925</v>
      </c>
      <c r="B1551" t="s">
        <v>1773</v>
      </c>
      <c r="C1551" t="s">
        <v>280</v>
      </c>
      <c r="D1551" t="s">
        <v>1926</v>
      </c>
      <c r="E1551" t="s">
        <v>1775</v>
      </c>
      <c r="H1551" t="s">
        <v>25</v>
      </c>
      <c r="I1551" t="s">
        <v>1776</v>
      </c>
    </row>
    <row r="1552" spans="1:13" x14ac:dyDescent="0.3">
      <c r="A1552" t="s">
        <v>1925</v>
      </c>
      <c r="B1552" t="s">
        <v>1773</v>
      </c>
      <c r="C1552" t="s">
        <v>280</v>
      </c>
      <c r="D1552" t="s">
        <v>1927</v>
      </c>
      <c r="E1552" t="s">
        <v>1778</v>
      </c>
      <c r="H1552" t="s">
        <v>25</v>
      </c>
      <c r="I1552" t="s">
        <v>1779</v>
      </c>
    </row>
    <row r="1553" spans="1:13" x14ac:dyDescent="0.3">
      <c r="A1553" t="s">
        <v>1925</v>
      </c>
      <c r="B1553" t="s">
        <v>1773</v>
      </c>
      <c r="C1553" t="s">
        <v>22</v>
      </c>
      <c r="D1553" t="s">
        <v>20</v>
      </c>
      <c r="E1553" t="s">
        <v>21</v>
      </c>
      <c r="F1553" t="s">
        <v>25</v>
      </c>
      <c r="G1553" t="s">
        <v>1928</v>
      </c>
    </row>
    <row r="1554" spans="1:13" x14ac:dyDescent="0.3">
      <c r="A1554" t="s">
        <v>1925</v>
      </c>
      <c r="B1554" t="s">
        <v>1773</v>
      </c>
      <c r="C1554" t="s">
        <v>16</v>
      </c>
      <c r="D1554" t="s">
        <v>587</v>
      </c>
      <c r="E1554" t="s">
        <v>37</v>
      </c>
    </row>
    <row r="1555" spans="1:13" x14ac:dyDescent="0.3">
      <c r="A1555" t="s">
        <v>1925</v>
      </c>
      <c r="B1555" t="s">
        <v>1773</v>
      </c>
      <c r="C1555" t="s">
        <v>11</v>
      </c>
      <c r="D1555" t="s">
        <v>12</v>
      </c>
      <c r="E1555" t="s">
        <v>13</v>
      </c>
      <c r="H1555" t="s">
        <v>382</v>
      </c>
      <c r="I1555" t="s">
        <v>1929</v>
      </c>
      <c r="L1555" t="s">
        <v>14</v>
      </c>
      <c r="M1555" t="s">
        <v>1929</v>
      </c>
    </row>
    <row r="1556" spans="1:13" x14ac:dyDescent="0.3">
      <c r="A1556" t="s">
        <v>1926</v>
      </c>
      <c r="B1556" t="s">
        <v>1775</v>
      </c>
      <c r="C1556" t="s">
        <v>280</v>
      </c>
      <c r="D1556" t="s">
        <v>1930</v>
      </c>
      <c r="E1556" t="s">
        <v>478</v>
      </c>
      <c r="H1556" t="s">
        <v>25</v>
      </c>
      <c r="I1556" t="s">
        <v>1783</v>
      </c>
    </row>
    <row r="1557" spans="1:13" x14ac:dyDescent="0.3">
      <c r="A1557" t="s">
        <v>1926</v>
      </c>
      <c r="B1557" t="s">
        <v>1775</v>
      </c>
      <c r="C1557" t="s">
        <v>308</v>
      </c>
      <c r="D1557" t="s">
        <v>1931</v>
      </c>
      <c r="E1557" t="s">
        <v>1785</v>
      </c>
      <c r="H1557" t="s">
        <v>25</v>
      </c>
      <c r="I1557" t="s">
        <v>1786</v>
      </c>
      <c r="L1557" t="s">
        <v>312</v>
      </c>
      <c r="M1557" t="s">
        <v>343</v>
      </c>
    </row>
    <row r="1558" spans="1:13" x14ac:dyDescent="0.3">
      <c r="A1558" t="s">
        <v>1926</v>
      </c>
      <c r="B1558" t="s">
        <v>1775</v>
      </c>
      <c r="C1558" t="s">
        <v>308</v>
      </c>
      <c r="D1558" t="s">
        <v>1932</v>
      </c>
      <c r="E1558" t="s">
        <v>1788</v>
      </c>
      <c r="H1558" t="s">
        <v>25</v>
      </c>
      <c r="I1558" t="s">
        <v>1789</v>
      </c>
      <c r="L1558" t="s">
        <v>312</v>
      </c>
      <c r="M1558" t="s">
        <v>353</v>
      </c>
    </row>
    <row r="1559" spans="1:13" x14ac:dyDescent="0.3">
      <c r="A1559" t="s">
        <v>1926</v>
      </c>
      <c r="B1559" t="s">
        <v>1775</v>
      </c>
      <c r="C1559" t="s">
        <v>308</v>
      </c>
      <c r="D1559" t="s">
        <v>1933</v>
      </c>
      <c r="E1559" t="s">
        <v>402</v>
      </c>
      <c r="H1559" t="s">
        <v>25</v>
      </c>
      <c r="I1559" t="s">
        <v>1791</v>
      </c>
      <c r="L1559" t="s">
        <v>312</v>
      </c>
      <c r="M1559" t="s">
        <v>343</v>
      </c>
    </row>
    <row r="1560" spans="1:13" x14ac:dyDescent="0.3">
      <c r="A1560" t="s">
        <v>1926</v>
      </c>
      <c r="B1560" t="s">
        <v>1775</v>
      </c>
      <c r="C1560" t="s">
        <v>308</v>
      </c>
      <c r="D1560" t="s">
        <v>1934</v>
      </c>
      <c r="E1560" t="s">
        <v>406</v>
      </c>
      <c r="H1560" t="s">
        <v>25</v>
      </c>
      <c r="I1560" t="s">
        <v>1793</v>
      </c>
      <c r="L1560" t="s">
        <v>312</v>
      </c>
      <c r="M1560" t="s">
        <v>343</v>
      </c>
    </row>
    <row r="1561" spans="1:13" x14ac:dyDescent="0.3">
      <c r="A1561" t="s">
        <v>1926</v>
      </c>
      <c r="B1561" t="s">
        <v>1775</v>
      </c>
      <c r="C1561" t="s">
        <v>308</v>
      </c>
      <c r="D1561" t="s">
        <v>1935</v>
      </c>
      <c r="E1561" t="s">
        <v>1785</v>
      </c>
      <c r="H1561" t="s">
        <v>25</v>
      </c>
      <c r="I1561" t="s">
        <v>1795</v>
      </c>
      <c r="L1561" t="s">
        <v>312</v>
      </c>
      <c r="M1561" t="s">
        <v>343</v>
      </c>
    </row>
    <row r="1562" spans="1:13" x14ac:dyDescent="0.3">
      <c r="A1562" t="s">
        <v>1932</v>
      </c>
      <c r="B1562" t="s">
        <v>1788</v>
      </c>
      <c r="C1562" t="s">
        <v>11</v>
      </c>
      <c r="D1562" t="s">
        <v>12</v>
      </c>
      <c r="E1562" t="s">
        <v>391</v>
      </c>
      <c r="H1562" t="s">
        <v>392</v>
      </c>
      <c r="I1562" t="s">
        <v>1936</v>
      </c>
      <c r="L1562" t="s">
        <v>394</v>
      </c>
      <c r="M1562" t="s">
        <v>1929</v>
      </c>
    </row>
    <row r="1563" spans="1:13" x14ac:dyDescent="0.3">
      <c r="A1563" t="s">
        <v>1930</v>
      </c>
      <c r="B1563" t="s">
        <v>478</v>
      </c>
      <c r="C1563" t="s">
        <v>308</v>
      </c>
      <c r="D1563" t="s">
        <v>1937</v>
      </c>
      <c r="E1563" t="s">
        <v>1798</v>
      </c>
      <c r="H1563" t="s">
        <v>25</v>
      </c>
      <c r="I1563" t="s">
        <v>1799</v>
      </c>
      <c r="L1563" t="s">
        <v>312</v>
      </c>
      <c r="M1563" t="s">
        <v>343</v>
      </c>
    </row>
    <row r="1564" spans="1:13" x14ac:dyDescent="0.3">
      <c r="A1564" t="s">
        <v>1930</v>
      </c>
      <c r="B1564" t="s">
        <v>478</v>
      </c>
      <c r="C1564" t="s">
        <v>308</v>
      </c>
      <c r="D1564" t="s">
        <v>1938</v>
      </c>
      <c r="E1564" t="s">
        <v>481</v>
      </c>
      <c r="H1564" t="s">
        <v>25</v>
      </c>
      <c r="I1564" t="s">
        <v>1801</v>
      </c>
      <c r="L1564" t="s">
        <v>312</v>
      </c>
      <c r="M1564" t="s">
        <v>343</v>
      </c>
    </row>
    <row r="1565" spans="1:13" x14ac:dyDescent="0.3">
      <c r="A1565" t="s">
        <v>1937</v>
      </c>
      <c r="B1565" t="s">
        <v>1798</v>
      </c>
      <c r="C1565" t="s">
        <v>11</v>
      </c>
      <c r="D1565" t="s">
        <v>12</v>
      </c>
      <c r="E1565" t="s">
        <v>391</v>
      </c>
      <c r="H1565" t="s">
        <v>392</v>
      </c>
      <c r="I1565" t="s">
        <v>1939</v>
      </c>
      <c r="L1565" t="s">
        <v>394</v>
      </c>
      <c r="M1565" t="s">
        <v>1929</v>
      </c>
    </row>
    <row r="1566" spans="1:13" x14ac:dyDescent="0.3">
      <c r="A1566" t="s">
        <v>1938</v>
      </c>
      <c r="B1566" t="s">
        <v>481</v>
      </c>
      <c r="C1566" t="s">
        <v>11</v>
      </c>
      <c r="D1566" t="s">
        <v>12</v>
      </c>
      <c r="E1566" t="s">
        <v>391</v>
      </c>
      <c r="H1566" t="s">
        <v>392</v>
      </c>
      <c r="I1566" t="s">
        <v>1940</v>
      </c>
      <c r="L1566" t="s">
        <v>394</v>
      </c>
      <c r="M1566" t="s">
        <v>1929</v>
      </c>
    </row>
    <row r="1567" spans="1:13" x14ac:dyDescent="0.3">
      <c r="A1567" t="s">
        <v>1931</v>
      </c>
      <c r="B1567" t="s">
        <v>1785</v>
      </c>
      <c r="C1567" t="s">
        <v>11</v>
      </c>
      <c r="D1567" t="s">
        <v>12</v>
      </c>
      <c r="E1567" t="s">
        <v>391</v>
      </c>
      <c r="H1567" t="s">
        <v>392</v>
      </c>
      <c r="I1567" t="s">
        <v>1941</v>
      </c>
      <c r="L1567" t="s">
        <v>394</v>
      </c>
      <c r="M1567" t="s">
        <v>1929</v>
      </c>
    </row>
    <row r="1568" spans="1:13" x14ac:dyDescent="0.3">
      <c r="A1568" t="s">
        <v>1934</v>
      </c>
      <c r="B1568" t="s">
        <v>406</v>
      </c>
      <c r="C1568" t="s">
        <v>11</v>
      </c>
      <c r="D1568" t="s">
        <v>12</v>
      </c>
      <c r="E1568" t="s">
        <v>391</v>
      </c>
      <c r="H1568" t="s">
        <v>392</v>
      </c>
      <c r="I1568" t="s">
        <v>1942</v>
      </c>
      <c r="L1568" t="s">
        <v>394</v>
      </c>
      <c r="M1568" t="s">
        <v>1929</v>
      </c>
    </row>
    <row r="1569" spans="1:13" x14ac:dyDescent="0.3">
      <c r="A1569" t="s">
        <v>1933</v>
      </c>
      <c r="B1569" t="s">
        <v>402</v>
      </c>
      <c r="C1569" t="s">
        <v>11</v>
      </c>
      <c r="D1569" t="s">
        <v>12</v>
      </c>
      <c r="E1569" t="s">
        <v>391</v>
      </c>
      <c r="H1569" t="s">
        <v>392</v>
      </c>
      <c r="I1569" t="s">
        <v>1943</v>
      </c>
      <c r="L1569" t="s">
        <v>394</v>
      </c>
      <c r="M1569" t="s">
        <v>1929</v>
      </c>
    </row>
    <row r="1570" spans="1:13" x14ac:dyDescent="0.3">
      <c r="A1570" t="s">
        <v>1935</v>
      </c>
      <c r="B1570" t="s">
        <v>1785</v>
      </c>
      <c r="C1570" t="s">
        <v>11</v>
      </c>
      <c r="D1570" t="s">
        <v>12</v>
      </c>
      <c r="E1570" t="s">
        <v>391</v>
      </c>
      <c r="H1570" t="s">
        <v>392</v>
      </c>
      <c r="I1570" t="s">
        <v>1944</v>
      </c>
      <c r="L1570" t="s">
        <v>394</v>
      </c>
      <c r="M1570" t="s">
        <v>1929</v>
      </c>
    </row>
    <row r="1571" spans="1:13" x14ac:dyDescent="0.3">
      <c r="A1571" t="s">
        <v>1927</v>
      </c>
      <c r="B1571" t="s">
        <v>1778</v>
      </c>
      <c r="C1571" t="s">
        <v>308</v>
      </c>
      <c r="D1571" t="s">
        <v>1945</v>
      </c>
      <c r="E1571" t="s">
        <v>1134</v>
      </c>
      <c r="H1571" t="s">
        <v>25</v>
      </c>
      <c r="I1571" t="s">
        <v>1822</v>
      </c>
      <c r="L1571" t="s">
        <v>312</v>
      </c>
      <c r="M1571" t="s">
        <v>317</v>
      </c>
    </row>
    <row r="1572" spans="1:13" x14ac:dyDescent="0.3">
      <c r="A1572" t="s">
        <v>1945</v>
      </c>
      <c r="B1572" t="s">
        <v>1134</v>
      </c>
      <c r="C1572" t="s">
        <v>11</v>
      </c>
      <c r="D1572" t="s">
        <v>12</v>
      </c>
      <c r="E1572" t="s">
        <v>391</v>
      </c>
      <c r="H1572" t="s">
        <v>392</v>
      </c>
      <c r="I1572" t="s">
        <v>1946</v>
      </c>
      <c r="L1572" t="s">
        <v>394</v>
      </c>
      <c r="M1572" t="s">
        <v>1929</v>
      </c>
    </row>
    <row r="1573" spans="1:13" x14ac:dyDescent="0.3">
      <c r="A1573" t="s">
        <v>1947</v>
      </c>
      <c r="B1573" t="s">
        <v>1948</v>
      </c>
      <c r="C1573" t="s">
        <v>308</v>
      </c>
      <c r="D1573" t="s">
        <v>1949</v>
      </c>
      <c r="E1573" t="s">
        <v>1134</v>
      </c>
      <c r="H1573" t="s">
        <v>25</v>
      </c>
      <c r="I1573" t="s">
        <v>1950</v>
      </c>
      <c r="L1573" t="s">
        <v>312</v>
      </c>
      <c r="M1573" t="s">
        <v>317</v>
      </c>
    </row>
    <row r="1574" spans="1:13" x14ac:dyDescent="0.3">
      <c r="A1574" t="s">
        <v>1947</v>
      </c>
      <c r="B1574" t="s">
        <v>1948</v>
      </c>
      <c r="C1574" t="s">
        <v>308</v>
      </c>
      <c r="D1574" t="s">
        <v>1951</v>
      </c>
      <c r="E1574" t="s">
        <v>484</v>
      </c>
      <c r="H1574" t="s">
        <v>25</v>
      </c>
      <c r="I1574" t="s">
        <v>1952</v>
      </c>
      <c r="L1574" t="s">
        <v>312</v>
      </c>
      <c r="M1574" t="s">
        <v>343</v>
      </c>
    </row>
    <row r="1575" spans="1:13" x14ac:dyDescent="0.3">
      <c r="A1575" t="s">
        <v>1947</v>
      </c>
      <c r="B1575" t="s">
        <v>1948</v>
      </c>
      <c r="C1575" t="s">
        <v>308</v>
      </c>
      <c r="D1575" t="s">
        <v>1953</v>
      </c>
      <c r="E1575" t="s">
        <v>1167</v>
      </c>
      <c r="H1575" t="s">
        <v>25</v>
      </c>
      <c r="I1575" t="s">
        <v>1954</v>
      </c>
      <c r="L1575" t="s">
        <v>312</v>
      </c>
      <c r="M1575" t="s">
        <v>343</v>
      </c>
    </row>
    <row r="1576" spans="1:13" x14ac:dyDescent="0.3">
      <c r="A1576" t="s">
        <v>1947</v>
      </c>
      <c r="B1576" t="s">
        <v>1948</v>
      </c>
      <c r="C1576" t="s">
        <v>22</v>
      </c>
      <c r="D1576" t="s">
        <v>23</v>
      </c>
      <c r="E1576" t="s">
        <v>28</v>
      </c>
      <c r="F1576" t="s">
        <v>25</v>
      </c>
      <c r="G1576" t="s">
        <v>1955</v>
      </c>
      <c r="J1576" t="s">
        <v>373</v>
      </c>
      <c r="K1576" t="s">
        <v>1956</v>
      </c>
    </row>
    <row r="1577" spans="1:13" x14ac:dyDescent="0.3">
      <c r="A1577" t="s">
        <v>1947</v>
      </c>
      <c r="B1577" t="s">
        <v>1948</v>
      </c>
      <c r="C1577" t="s">
        <v>16</v>
      </c>
      <c r="D1577" t="s">
        <v>1058</v>
      </c>
      <c r="E1577" t="s">
        <v>37</v>
      </c>
    </row>
    <row r="1578" spans="1:13" x14ac:dyDescent="0.3">
      <c r="A1578" t="s">
        <v>1947</v>
      </c>
      <c r="B1578" t="s">
        <v>1948</v>
      </c>
      <c r="C1578" t="s">
        <v>11</v>
      </c>
      <c r="D1578" t="s">
        <v>12</v>
      </c>
      <c r="E1578" t="s">
        <v>13</v>
      </c>
      <c r="H1578" t="s">
        <v>382</v>
      </c>
      <c r="I1578" t="s">
        <v>1957</v>
      </c>
      <c r="L1578" t="s">
        <v>14</v>
      </c>
      <c r="M1578" t="s">
        <v>1957</v>
      </c>
    </row>
    <row r="1579" spans="1:13" x14ac:dyDescent="0.3">
      <c r="A1579" t="s">
        <v>1951</v>
      </c>
      <c r="B1579" t="s">
        <v>484</v>
      </c>
      <c r="C1579" t="s">
        <v>11</v>
      </c>
      <c r="D1579" t="s">
        <v>12</v>
      </c>
      <c r="E1579" t="s">
        <v>391</v>
      </c>
      <c r="H1579" t="s">
        <v>392</v>
      </c>
      <c r="I1579" t="s">
        <v>1958</v>
      </c>
      <c r="L1579" t="s">
        <v>394</v>
      </c>
      <c r="M1579" t="s">
        <v>1957</v>
      </c>
    </row>
    <row r="1580" spans="1:13" x14ac:dyDescent="0.3">
      <c r="A1580" t="s">
        <v>1953</v>
      </c>
      <c r="B1580" t="s">
        <v>1167</v>
      </c>
      <c r="C1580" t="s">
        <v>11</v>
      </c>
      <c r="D1580" t="s">
        <v>12</v>
      </c>
      <c r="E1580" t="s">
        <v>391</v>
      </c>
      <c r="H1580" t="s">
        <v>392</v>
      </c>
      <c r="I1580" t="s">
        <v>1959</v>
      </c>
      <c r="L1580" t="s">
        <v>394</v>
      </c>
      <c r="M1580" t="s">
        <v>1957</v>
      </c>
    </row>
    <row r="1581" spans="1:13" x14ac:dyDescent="0.3">
      <c r="A1581" t="s">
        <v>1949</v>
      </c>
      <c r="B1581" t="s">
        <v>1134</v>
      </c>
      <c r="C1581" t="s">
        <v>11</v>
      </c>
      <c r="D1581" t="s">
        <v>12</v>
      </c>
      <c r="E1581" t="s">
        <v>391</v>
      </c>
      <c r="H1581" t="s">
        <v>392</v>
      </c>
      <c r="I1581" t="s">
        <v>1960</v>
      </c>
      <c r="L1581" t="s">
        <v>394</v>
      </c>
      <c r="M1581" t="s">
        <v>1957</v>
      </c>
    </row>
    <row r="1582" spans="1:13" x14ac:dyDescent="0.3">
      <c r="A1582" t="s">
        <v>1961</v>
      </c>
      <c r="B1582" t="s">
        <v>1948</v>
      </c>
      <c r="C1582" t="s">
        <v>308</v>
      </c>
      <c r="D1582" t="s">
        <v>1962</v>
      </c>
      <c r="E1582" t="s">
        <v>1134</v>
      </c>
      <c r="H1582" t="s">
        <v>25</v>
      </c>
      <c r="I1582" t="s">
        <v>1950</v>
      </c>
      <c r="L1582" t="s">
        <v>312</v>
      </c>
      <c r="M1582" t="s">
        <v>317</v>
      </c>
    </row>
    <row r="1583" spans="1:13" x14ac:dyDescent="0.3">
      <c r="A1583" t="s">
        <v>1961</v>
      </c>
      <c r="B1583" t="s">
        <v>1948</v>
      </c>
      <c r="C1583" t="s">
        <v>308</v>
      </c>
      <c r="D1583" t="s">
        <v>1963</v>
      </c>
      <c r="E1583" t="s">
        <v>484</v>
      </c>
      <c r="H1583" t="s">
        <v>25</v>
      </c>
      <c r="I1583" t="s">
        <v>1952</v>
      </c>
      <c r="L1583" t="s">
        <v>312</v>
      </c>
      <c r="M1583" t="s">
        <v>343</v>
      </c>
    </row>
    <row r="1584" spans="1:13" x14ac:dyDescent="0.3">
      <c r="A1584" t="s">
        <v>1961</v>
      </c>
      <c r="B1584" t="s">
        <v>1948</v>
      </c>
      <c r="C1584" t="s">
        <v>308</v>
      </c>
      <c r="D1584" t="s">
        <v>1964</v>
      </c>
      <c r="E1584" t="s">
        <v>1167</v>
      </c>
      <c r="H1584" t="s">
        <v>25</v>
      </c>
      <c r="I1584" t="s">
        <v>1954</v>
      </c>
      <c r="L1584" t="s">
        <v>312</v>
      </c>
      <c r="M1584" t="s">
        <v>343</v>
      </c>
    </row>
    <row r="1585" spans="1:13" x14ac:dyDescent="0.3">
      <c r="A1585" t="s">
        <v>1961</v>
      </c>
      <c r="B1585" t="s">
        <v>1948</v>
      </c>
      <c r="C1585" t="s">
        <v>22</v>
      </c>
      <c r="D1585" t="s">
        <v>23</v>
      </c>
      <c r="E1585" t="s">
        <v>28</v>
      </c>
      <c r="F1585" t="s">
        <v>25</v>
      </c>
      <c r="G1585" t="s">
        <v>1965</v>
      </c>
      <c r="J1585" t="s">
        <v>373</v>
      </c>
      <c r="K1585" t="s">
        <v>1956</v>
      </c>
    </row>
    <row r="1586" spans="1:13" x14ac:dyDescent="0.3">
      <c r="A1586" t="s">
        <v>1961</v>
      </c>
      <c r="B1586" t="s">
        <v>1948</v>
      </c>
      <c r="C1586" t="s">
        <v>16</v>
      </c>
      <c r="D1586" t="s">
        <v>1058</v>
      </c>
      <c r="E1586" t="s">
        <v>37</v>
      </c>
    </row>
    <row r="1587" spans="1:13" x14ac:dyDescent="0.3">
      <c r="A1587" t="s">
        <v>1961</v>
      </c>
      <c r="B1587" t="s">
        <v>1948</v>
      </c>
      <c r="C1587" t="s">
        <v>11</v>
      </c>
      <c r="D1587" t="s">
        <v>12</v>
      </c>
      <c r="E1587" t="s">
        <v>13</v>
      </c>
      <c r="H1587" t="s">
        <v>382</v>
      </c>
      <c r="I1587" t="s">
        <v>1966</v>
      </c>
      <c r="L1587" t="s">
        <v>14</v>
      </c>
      <c r="M1587" t="s">
        <v>1966</v>
      </c>
    </row>
    <row r="1588" spans="1:13" x14ac:dyDescent="0.3">
      <c r="A1588" t="s">
        <v>1963</v>
      </c>
      <c r="B1588" t="s">
        <v>484</v>
      </c>
      <c r="C1588" t="s">
        <v>11</v>
      </c>
      <c r="D1588" t="s">
        <v>12</v>
      </c>
      <c r="E1588" t="s">
        <v>391</v>
      </c>
      <c r="H1588" t="s">
        <v>392</v>
      </c>
      <c r="I1588" t="s">
        <v>1967</v>
      </c>
      <c r="L1588" t="s">
        <v>394</v>
      </c>
      <c r="M1588" t="s">
        <v>1966</v>
      </c>
    </row>
    <row r="1589" spans="1:13" x14ac:dyDescent="0.3">
      <c r="A1589" t="s">
        <v>1964</v>
      </c>
      <c r="B1589" t="s">
        <v>1167</v>
      </c>
      <c r="C1589" t="s">
        <v>11</v>
      </c>
      <c r="D1589" t="s">
        <v>12</v>
      </c>
      <c r="E1589" t="s">
        <v>391</v>
      </c>
      <c r="H1589" t="s">
        <v>392</v>
      </c>
      <c r="I1589" t="s">
        <v>1968</v>
      </c>
      <c r="L1589" t="s">
        <v>394</v>
      </c>
      <c r="M1589" t="s">
        <v>1966</v>
      </c>
    </row>
    <row r="1590" spans="1:13" x14ac:dyDescent="0.3">
      <c r="A1590" t="s">
        <v>1962</v>
      </c>
      <c r="B1590" t="s">
        <v>1134</v>
      </c>
      <c r="C1590" t="s">
        <v>11</v>
      </c>
      <c r="D1590" t="s">
        <v>12</v>
      </c>
      <c r="E1590" t="s">
        <v>391</v>
      </c>
      <c r="H1590" t="s">
        <v>392</v>
      </c>
      <c r="I1590" t="s">
        <v>1969</v>
      </c>
      <c r="L1590" t="s">
        <v>394</v>
      </c>
      <c r="M1590" t="s">
        <v>1966</v>
      </c>
    </row>
    <row r="1591" spans="1:13" x14ac:dyDescent="0.3">
      <c r="A1591" t="s">
        <v>1970</v>
      </c>
      <c r="B1591" t="s">
        <v>1948</v>
      </c>
      <c r="C1591" t="s">
        <v>308</v>
      </c>
      <c r="D1591" t="s">
        <v>1971</v>
      </c>
      <c r="E1591" t="s">
        <v>1134</v>
      </c>
      <c r="H1591" t="s">
        <v>25</v>
      </c>
      <c r="I1591" t="s">
        <v>1950</v>
      </c>
      <c r="L1591" t="s">
        <v>312</v>
      </c>
      <c r="M1591" t="s">
        <v>317</v>
      </c>
    </row>
    <row r="1592" spans="1:13" x14ac:dyDescent="0.3">
      <c r="A1592" t="s">
        <v>1970</v>
      </c>
      <c r="B1592" t="s">
        <v>1948</v>
      </c>
      <c r="C1592" t="s">
        <v>308</v>
      </c>
      <c r="D1592" t="s">
        <v>1972</v>
      </c>
      <c r="E1592" t="s">
        <v>484</v>
      </c>
      <c r="H1592" t="s">
        <v>25</v>
      </c>
      <c r="I1592" t="s">
        <v>1952</v>
      </c>
      <c r="L1592" t="s">
        <v>312</v>
      </c>
      <c r="M1592" t="s">
        <v>343</v>
      </c>
    </row>
    <row r="1593" spans="1:13" x14ac:dyDescent="0.3">
      <c r="A1593" t="s">
        <v>1970</v>
      </c>
      <c r="B1593" t="s">
        <v>1948</v>
      </c>
      <c r="C1593" t="s">
        <v>308</v>
      </c>
      <c r="D1593" t="s">
        <v>1973</v>
      </c>
      <c r="E1593" t="s">
        <v>1167</v>
      </c>
      <c r="H1593" t="s">
        <v>25</v>
      </c>
      <c r="I1593" t="s">
        <v>1954</v>
      </c>
      <c r="L1593" t="s">
        <v>312</v>
      </c>
      <c r="M1593" t="s">
        <v>343</v>
      </c>
    </row>
    <row r="1594" spans="1:13" x14ac:dyDescent="0.3">
      <c r="A1594" t="s">
        <v>1970</v>
      </c>
      <c r="B1594" t="s">
        <v>1948</v>
      </c>
      <c r="C1594" t="s">
        <v>22</v>
      </c>
      <c r="D1594" t="s">
        <v>23</v>
      </c>
      <c r="E1594" t="s">
        <v>28</v>
      </c>
      <c r="F1594" t="s">
        <v>25</v>
      </c>
      <c r="G1594" t="s">
        <v>1974</v>
      </c>
      <c r="J1594" t="s">
        <v>373</v>
      </c>
      <c r="K1594" t="s">
        <v>1956</v>
      </c>
    </row>
    <row r="1595" spans="1:13" x14ac:dyDescent="0.3">
      <c r="A1595" t="s">
        <v>1970</v>
      </c>
      <c r="B1595" t="s">
        <v>1948</v>
      </c>
      <c r="C1595" t="s">
        <v>16</v>
      </c>
      <c r="D1595" t="s">
        <v>1058</v>
      </c>
      <c r="E1595" t="s">
        <v>37</v>
      </c>
    </row>
    <row r="1596" spans="1:13" x14ac:dyDescent="0.3">
      <c r="A1596" t="s">
        <v>1970</v>
      </c>
      <c r="B1596" t="s">
        <v>1948</v>
      </c>
      <c r="C1596" t="s">
        <v>11</v>
      </c>
      <c r="D1596" t="s">
        <v>12</v>
      </c>
      <c r="E1596" t="s">
        <v>13</v>
      </c>
      <c r="H1596" t="s">
        <v>382</v>
      </c>
      <c r="I1596" t="s">
        <v>1975</v>
      </c>
      <c r="L1596" t="s">
        <v>14</v>
      </c>
      <c r="M1596" t="s">
        <v>1975</v>
      </c>
    </row>
    <row r="1597" spans="1:13" x14ac:dyDescent="0.3">
      <c r="A1597" t="s">
        <v>1972</v>
      </c>
      <c r="B1597" t="s">
        <v>484</v>
      </c>
      <c r="C1597" t="s">
        <v>11</v>
      </c>
      <c r="D1597" t="s">
        <v>12</v>
      </c>
      <c r="E1597" t="s">
        <v>391</v>
      </c>
      <c r="H1597" t="s">
        <v>392</v>
      </c>
      <c r="I1597" t="s">
        <v>1976</v>
      </c>
      <c r="L1597" t="s">
        <v>394</v>
      </c>
      <c r="M1597" t="s">
        <v>1975</v>
      </c>
    </row>
    <row r="1598" spans="1:13" x14ac:dyDescent="0.3">
      <c r="A1598" t="s">
        <v>1973</v>
      </c>
      <c r="B1598" t="s">
        <v>1167</v>
      </c>
      <c r="C1598" t="s">
        <v>11</v>
      </c>
      <c r="D1598" t="s">
        <v>12</v>
      </c>
      <c r="E1598" t="s">
        <v>391</v>
      </c>
      <c r="H1598" t="s">
        <v>392</v>
      </c>
      <c r="I1598" t="s">
        <v>1977</v>
      </c>
      <c r="L1598" t="s">
        <v>394</v>
      </c>
      <c r="M1598" t="s">
        <v>1975</v>
      </c>
    </row>
    <row r="1599" spans="1:13" x14ac:dyDescent="0.3">
      <c r="A1599" t="s">
        <v>1971</v>
      </c>
      <c r="B1599" t="s">
        <v>1134</v>
      </c>
      <c r="C1599" t="s">
        <v>11</v>
      </c>
      <c r="D1599" t="s">
        <v>12</v>
      </c>
      <c r="E1599" t="s">
        <v>391</v>
      </c>
      <c r="H1599" t="s">
        <v>392</v>
      </c>
      <c r="I1599" t="s">
        <v>1978</v>
      </c>
      <c r="L1599" t="s">
        <v>394</v>
      </c>
      <c r="M1599" t="s">
        <v>1975</v>
      </c>
    </row>
    <row r="1600" spans="1:13" x14ac:dyDescent="0.3">
      <c r="A1600" t="s">
        <v>1979</v>
      </c>
      <c r="B1600" t="s">
        <v>1948</v>
      </c>
      <c r="C1600" t="s">
        <v>308</v>
      </c>
      <c r="D1600" t="s">
        <v>1980</v>
      </c>
      <c r="E1600" t="s">
        <v>1134</v>
      </c>
      <c r="H1600" t="s">
        <v>25</v>
      </c>
      <c r="I1600" t="s">
        <v>1950</v>
      </c>
      <c r="L1600" t="s">
        <v>312</v>
      </c>
      <c r="M1600" t="s">
        <v>317</v>
      </c>
    </row>
    <row r="1601" spans="1:13" x14ac:dyDescent="0.3">
      <c r="A1601" t="s">
        <v>1979</v>
      </c>
      <c r="B1601" t="s">
        <v>1948</v>
      </c>
      <c r="C1601" t="s">
        <v>308</v>
      </c>
      <c r="D1601" t="s">
        <v>1981</v>
      </c>
      <c r="E1601" t="s">
        <v>484</v>
      </c>
      <c r="H1601" t="s">
        <v>25</v>
      </c>
      <c r="I1601" t="s">
        <v>1952</v>
      </c>
      <c r="L1601" t="s">
        <v>312</v>
      </c>
      <c r="M1601" t="s">
        <v>343</v>
      </c>
    </row>
    <row r="1602" spans="1:13" x14ac:dyDescent="0.3">
      <c r="A1602" t="s">
        <v>1979</v>
      </c>
      <c r="B1602" t="s">
        <v>1948</v>
      </c>
      <c r="C1602" t="s">
        <v>308</v>
      </c>
      <c r="D1602" t="s">
        <v>1982</v>
      </c>
      <c r="E1602" t="s">
        <v>1167</v>
      </c>
      <c r="H1602" t="s">
        <v>25</v>
      </c>
      <c r="I1602" t="s">
        <v>1954</v>
      </c>
      <c r="L1602" t="s">
        <v>312</v>
      </c>
      <c r="M1602" t="s">
        <v>343</v>
      </c>
    </row>
    <row r="1603" spans="1:13" x14ac:dyDescent="0.3">
      <c r="A1603" t="s">
        <v>1979</v>
      </c>
      <c r="B1603" t="s">
        <v>1948</v>
      </c>
      <c r="C1603" t="s">
        <v>22</v>
      </c>
      <c r="D1603" t="s">
        <v>23</v>
      </c>
      <c r="E1603" t="s">
        <v>28</v>
      </c>
      <c r="F1603" t="s">
        <v>25</v>
      </c>
      <c r="G1603" t="s">
        <v>1983</v>
      </c>
      <c r="J1603" t="s">
        <v>373</v>
      </c>
      <c r="K1603" t="s">
        <v>1956</v>
      </c>
    </row>
    <row r="1604" spans="1:13" x14ac:dyDescent="0.3">
      <c r="A1604" t="s">
        <v>1979</v>
      </c>
      <c r="B1604" t="s">
        <v>1948</v>
      </c>
      <c r="C1604" t="s">
        <v>16</v>
      </c>
      <c r="D1604" t="s">
        <v>1058</v>
      </c>
      <c r="E1604" t="s">
        <v>37</v>
      </c>
    </row>
    <row r="1605" spans="1:13" x14ac:dyDescent="0.3">
      <c r="A1605" t="s">
        <v>1979</v>
      </c>
      <c r="B1605" t="s">
        <v>1948</v>
      </c>
      <c r="C1605" t="s">
        <v>11</v>
      </c>
      <c r="D1605" t="s">
        <v>12</v>
      </c>
      <c r="E1605" t="s">
        <v>13</v>
      </c>
      <c r="H1605" t="s">
        <v>382</v>
      </c>
      <c r="I1605" t="s">
        <v>1984</v>
      </c>
      <c r="L1605" t="s">
        <v>14</v>
      </c>
      <c r="M1605" t="s">
        <v>1984</v>
      </c>
    </row>
    <row r="1606" spans="1:13" x14ac:dyDescent="0.3">
      <c r="A1606" t="s">
        <v>1981</v>
      </c>
      <c r="B1606" t="s">
        <v>484</v>
      </c>
      <c r="C1606" t="s">
        <v>11</v>
      </c>
      <c r="D1606" t="s">
        <v>12</v>
      </c>
      <c r="E1606" t="s">
        <v>391</v>
      </c>
      <c r="H1606" t="s">
        <v>392</v>
      </c>
      <c r="I1606" t="s">
        <v>1985</v>
      </c>
      <c r="L1606" t="s">
        <v>394</v>
      </c>
      <c r="M1606" t="s">
        <v>1984</v>
      </c>
    </row>
    <row r="1607" spans="1:13" x14ac:dyDescent="0.3">
      <c r="A1607" t="s">
        <v>1982</v>
      </c>
      <c r="B1607" t="s">
        <v>1167</v>
      </c>
      <c r="C1607" t="s">
        <v>11</v>
      </c>
      <c r="D1607" t="s">
        <v>12</v>
      </c>
      <c r="E1607" t="s">
        <v>391</v>
      </c>
      <c r="H1607" t="s">
        <v>392</v>
      </c>
      <c r="I1607" t="s">
        <v>1986</v>
      </c>
      <c r="L1607" t="s">
        <v>394</v>
      </c>
      <c r="M1607" t="s">
        <v>1984</v>
      </c>
    </row>
    <row r="1608" spans="1:13" x14ac:dyDescent="0.3">
      <c r="A1608" t="s">
        <v>1980</v>
      </c>
      <c r="B1608" t="s">
        <v>1134</v>
      </c>
      <c r="C1608" t="s">
        <v>11</v>
      </c>
      <c r="D1608" t="s">
        <v>12</v>
      </c>
      <c r="E1608" t="s">
        <v>391</v>
      </c>
      <c r="H1608" t="s">
        <v>392</v>
      </c>
      <c r="I1608" t="s">
        <v>1987</v>
      </c>
      <c r="L1608" t="s">
        <v>394</v>
      </c>
      <c r="M1608" t="s">
        <v>1984</v>
      </c>
    </row>
    <row r="1609" spans="1:13" x14ac:dyDescent="0.3">
      <c r="A1609" t="s">
        <v>1988</v>
      </c>
      <c r="B1609" t="s">
        <v>1948</v>
      </c>
      <c r="C1609" t="s">
        <v>308</v>
      </c>
      <c r="D1609" t="s">
        <v>1989</v>
      </c>
      <c r="E1609" t="s">
        <v>1134</v>
      </c>
      <c r="H1609" t="s">
        <v>25</v>
      </c>
      <c r="I1609" t="s">
        <v>1950</v>
      </c>
      <c r="L1609" t="s">
        <v>312</v>
      </c>
      <c r="M1609" t="s">
        <v>317</v>
      </c>
    </row>
    <row r="1610" spans="1:13" x14ac:dyDescent="0.3">
      <c r="A1610" t="s">
        <v>1988</v>
      </c>
      <c r="B1610" t="s">
        <v>1948</v>
      </c>
      <c r="C1610" t="s">
        <v>308</v>
      </c>
      <c r="D1610" t="s">
        <v>1990</v>
      </c>
      <c r="E1610" t="s">
        <v>484</v>
      </c>
      <c r="H1610" t="s">
        <v>25</v>
      </c>
      <c r="I1610" t="s">
        <v>1952</v>
      </c>
      <c r="L1610" t="s">
        <v>312</v>
      </c>
      <c r="M1610" t="s">
        <v>343</v>
      </c>
    </row>
    <row r="1611" spans="1:13" x14ac:dyDescent="0.3">
      <c r="A1611" t="s">
        <v>1988</v>
      </c>
      <c r="B1611" t="s">
        <v>1948</v>
      </c>
      <c r="C1611" t="s">
        <v>308</v>
      </c>
      <c r="D1611" t="s">
        <v>1991</v>
      </c>
      <c r="E1611" t="s">
        <v>1167</v>
      </c>
      <c r="H1611" t="s">
        <v>25</v>
      </c>
      <c r="I1611" t="s">
        <v>1954</v>
      </c>
      <c r="L1611" t="s">
        <v>312</v>
      </c>
      <c r="M1611" t="s">
        <v>343</v>
      </c>
    </row>
    <row r="1612" spans="1:13" x14ac:dyDescent="0.3">
      <c r="A1612" t="s">
        <v>1988</v>
      </c>
      <c r="B1612" t="s">
        <v>1948</v>
      </c>
      <c r="C1612" t="s">
        <v>22</v>
      </c>
      <c r="D1612" t="s">
        <v>23</v>
      </c>
      <c r="E1612" t="s">
        <v>28</v>
      </c>
      <c r="F1612" t="s">
        <v>25</v>
      </c>
      <c r="G1612" t="s">
        <v>1992</v>
      </c>
      <c r="J1612" t="s">
        <v>373</v>
      </c>
      <c r="K1612" t="s">
        <v>1956</v>
      </c>
    </row>
    <row r="1613" spans="1:13" x14ac:dyDescent="0.3">
      <c r="A1613" t="s">
        <v>1988</v>
      </c>
      <c r="B1613" t="s">
        <v>1948</v>
      </c>
      <c r="C1613" t="s">
        <v>16</v>
      </c>
      <c r="D1613" t="s">
        <v>1056</v>
      </c>
      <c r="E1613" t="s">
        <v>37</v>
      </c>
    </row>
    <row r="1614" spans="1:13" x14ac:dyDescent="0.3">
      <c r="A1614" t="s">
        <v>1988</v>
      </c>
      <c r="B1614" t="s">
        <v>1948</v>
      </c>
      <c r="C1614" t="s">
        <v>11</v>
      </c>
      <c r="D1614" t="s">
        <v>12</v>
      </c>
      <c r="E1614" t="s">
        <v>13</v>
      </c>
      <c r="H1614" t="s">
        <v>382</v>
      </c>
      <c r="I1614" t="s">
        <v>1993</v>
      </c>
      <c r="L1614" t="s">
        <v>14</v>
      </c>
      <c r="M1614" t="s">
        <v>1993</v>
      </c>
    </row>
    <row r="1615" spans="1:13" x14ac:dyDescent="0.3">
      <c r="A1615" t="s">
        <v>1990</v>
      </c>
      <c r="B1615" t="s">
        <v>484</v>
      </c>
      <c r="C1615" t="s">
        <v>11</v>
      </c>
      <c r="D1615" t="s">
        <v>12</v>
      </c>
      <c r="E1615" t="s">
        <v>391</v>
      </c>
      <c r="H1615" t="s">
        <v>392</v>
      </c>
      <c r="I1615" t="s">
        <v>1994</v>
      </c>
      <c r="L1615" t="s">
        <v>394</v>
      </c>
      <c r="M1615" t="s">
        <v>1993</v>
      </c>
    </row>
    <row r="1616" spans="1:13" x14ac:dyDescent="0.3">
      <c r="A1616" t="s">
        <v>1991</v>
      </c>
      <c r="B1616" t="s">
        <v>1167</v>
      </c>
      <c r="C1616" t="s">
        <v>11</v>
      </c>
      <c r="D1616" t="s">
        <v>12</v>
      </c>
      <c r="E1616" t="s">
        <v>391</v>
      </c>
      <c r="H1616" t="s">
        <v>392</v>
      </c>
      <c r="I1616" t="s">
        <v>1995</v>
      </c>
      <c r="L1616" t="s">
        <v>394</v>
      </c>
      <c r="M1616" t="s">
        <v>1993</v>
      </c>
    </row>
    <row r="1617" spans="1:13" x14ac:dyDescent="0.3">
      <c r="A1617" t="s">
        <v>1989</v>
      </c>
      <c r="B1617" t="s">
        <v>1134</v>
      </c>
      <c r="C1617" t="s">
        <v>11</v>
      </c>
      <c r="D1617" t="s">
        <v>12</v>
      </c>
      <c r="E1617" t="s">
        <v>391</v>
      </c>
      <c r="H1617" t="s">
        <v>392</v>
      </c>
      <c r="I1617" t="s">
        <v>1996</v>
      </c>
      <c r="L1617" t="s">
        <v>394</v>
      </c>
      <c r="M1617" t="s">
        <v>1993</v>
      </c>
    </row>
    <row r="1618" spans="1:13" x14ac:dyDescent="0.3">
      <c r="A1618" t="s">
        <v>1997</v>
      </c>
      <c r="B1618" t="s">
        <v>1948</v>
      </c>
      <c r="C1618" t="s">
        <v>308</v>
      </c>
      <c r="D1618" t="s">
        <v>1998</v>
      </c>
      <c r="E1618" t="s">
        <v>1134</v>
      </c>
      <c r="H1618" t="s">
        <v>25</v>
      </c>
      <c r="I1618" t="s">
        <v>1950</v>
      </c>
      <c r="L1618" t="s">
        <v>312</v>
      </c>
      <c r="M1618" t="s">
        <v>317</v>
      </c>
    </row>
    <row r="1619" spans="1:13" x14ac:dyDescent="0.3">
      <c r="A1619" t="s">
        <v>1997</v>
      </c>
      <c r="B1619" t="s">
        <v>1948</v>
      </c>
      <c r="C1619" t="s">
        <v>308</v>
      </c>
      <c r="D1619" t="s">
        <v>1999</v>
      </c>
      <c r="E1619" t="s">
        <v>484</v>
      </c>
      <c r="H1619" t="s">
        <v>25</v>
      </c>
      <c r="I1619" t="s">
        <v>1952</v>
      </c>
      <c r="L1619" t="s">
        <v>312</v>
      </c>
      <c r="M1619" t="s">
        <v>343</v>
      </c>
    </row>
    <row r="1620" spans="1:13" x14ac:dyDescent="0.3">
      <c r="A1620" t="s">
        <v>1997</v>
      </c>
      <c r="B1620" t="s">
        <v>1948</v>
      </c>
      <c r="C1620" t="s">
        <v>308</v>
      </c>
      <c r="D1620" t="s">
        <v>2000</v>
      </c>
      <c r="E1620" t="s">
        <v>1167</v>
      </c>
      <c r="H1620" t="s">
        <v>25</v>
      </c>
      <c r="I1620" t="s">
        <v>1954</v>
      </c>
      <c r="L1620" t="s">
        <v>312</v>
      </c>
      <c r="M1620" t="s">
        <v>343</v>
      </c>
    </row>
    <row r="1621" spans="1:13" x14ac:dyDescent="0.3">
      <c r="A1621" t="s">
        <v>1997</v>
      </c>
      <c r="B1621" t="s">
        <v>1948</v>
      </c>
      <c r="C1621" t="s">
        <v>22</v>
      </c>
      <c r="D1621" t="s">
        <v>23</v>
      </c>
      <c r="E1621" t="s">
        <v>28</v>
      </c>
      <c r="F1621" t="s">
        <v>25</v>
      </c>
      <c r="G1621" t="s">
        <v>2001</v>
      </c>
      <c r="J1621" t="s">
        <v>373</v>
      </c>
      <c r="K1621" t="s">
        <v>1956</v>
      </c>
    </row>
    <row r="1622" spans="1:13" x14ac:dyDescent="0.3">
      <c r="A1622" t="s">
        <v>1997</v>
      </c>
      <c r="B1622" t="s">
        <v>1948</v>
      </c>
      <c r="C1622" t="s">
        <v>16</v>
      </c>
      <c r="D1622" t="s">
        <v>1056</v>
      </c>
      <c r="E1622" t="s">
        <v>37</v>
      </c>
    </row>
    <row r="1623" spans="1:13" x14ac:dyDescent="0.3">
      <c r="A1623" t="s">
        <v>1997</v>
      </c>
      <c r="B1623" t="s">
        <v>1948</v>
      </c>
      <c r="C1623" t="s">
        <v>11</v>
      </c>
      <c r="D1623" t="s">
        <v>12</v>
      </c>
      <c r="E1623" t="s">
        <v>13</v>
      </c>
      <c r="H1623" t="s">
        <v>382</v>
      </c>
      <c r="I1623" t="s">
        <v>2002</v>
      </c>
      <c r="L1623" t="s">
        <v>14</v>
      </c>
      <c r="M1623" t="s">
        <v>2002</v>
      </c>
    </row>
    <row r="1624" spans="1:13" x14ac:dyDescent="0.3">
      <c r="A1624" t="s">
        <v>1999</v>
      </c>
      <c r="B1624" t="s">
        <v>484</v>
      </c>
      <c r="C1624" t="s">
        <v>11</v>
      </c>
      <c r="D1624" t="s">
        <v>12</v>
      </c>
      <c r="E1624" t="s">
        <v>391</v>
      </c>
      <c r="H1624" t="s">
        <v>392</v>
      </c>
      <c r="I1624" t="s">
        <v>2003</v>
      </c>
      <c r="L1624" t="s">
        <v>394</v>
      </c>
      <c r="M1624" t="s">
        <v>2002</v>
      </c>
    </row>
    <row r="1625" spans="1:13" x14ac:dyDescent="0.3">
      <c r="A1625" t="s">
        <v>2000</v>
      </c>
      <c r="B1625" t="s">
        <v>1167</v>
      </c>
      <c r="C1625" t="s">
        <v>11</v>
      </c>
      <c r="D1625" t="s">
        <v>12</v>
      </c>
      <c r="E1625" t="s">
        <v>391</v>
      </c>
      <c r="H1625" t="s">
        <v>392</v>
      </c>
      <c r="I1625" t="s">
        <v>2004</v>
      </c>
      <c r="L1625" t="s">
        <v>394</v>
      </c>
      <c r="M1625" t="s">
        <v>2002</v>
      </c>
    </row>
    <row r="1626" spans="1:13" x14ac:dyDescent="0.3">
      <c r="A1626" t="s">
        <v>1998</v>
      </c>
      <c r="B1626" t="s">
        <v>1134</v>
      </c>
      <c r="C1626" t="s">
        <v>11</v>
      </c>
      <c r="D1626" t="s">
        <v>12</v>
      </c>
      <c r="E1626" t="s">
        <v>391</v>
      </c>
      <c r="H1626" t="s">
        <v>392</v>
      </c>
      <c r="I1626" t="s">
        <v>2005</v>
      </c>
      <c r="L1626" t="s">
        <v>394</v>
      </c>
      <c r="M1626" t="s">
        <v>2002</v>
      </c>
    </row>
    <row r="1627" spans="1:13" x14ac:dyDescent="0.3">
      <c r="A1627" t="s">
        <v>2006</v>
      </c>
      <c r="B1627" t="s">
        <v>1948</v>
      </c>
      <c r="C1627" t="s">
        <v>308</v>
      </c>
      <c r="D1627" t="s">
        <v>2007</v>
      </c>
      <c r="E1627" t="s">
        <v>1132</v>
      </c>
      <c r="H1627" t="s">
        <v>25</v>
      </c>
      <c r="I1627" t="s">
        <v>2008</v>
      </c>
      <c r="L1627" t="s">
        <v>312</v>
      </c>
      <c r="M1627" t="s">
        <v>313</v>
      </c>
    </row>
    <row r="1628" spans="1:13" x14ac:dyDescent="0.3">
      <c r="A1628" t="s">
        <v>2006</v>
      </c>
      <c r="B1628" t="s">
        <v>1948</v>
      </c>
      <c r="C1628" t="s">
        <v>308</v>
      </c>
      <c r="D1628" t="s">
        <v>2009</v>
      </c>
      <c r="E1628" t="s">
        <v>1134</v>
      </c>
      <c r="H1628" t="s">
        <v>25</v>
      </c>
      <c r="I1628" t="s">
        <v>1950</v>
      </c>
      <c r="L1628" t="s">
        <v>312</v>
      </c>
      <c r="M1628" t="s">
        <v>317</v>
      </c>
    </row>
    <row r="1629" spans="1:13" x14ac:dyDescent="0.3">
      <c r="A1629" t="s">
        <v>2006</v>
      </c>
      <c r="B1629" t="s">
        <v>1948</v>
      </c>
      <c r="C1629" t="s">
        <v>308</v>
      </c>
      <c r="D1629" t="s">
        <v>2010</v>
      </c>
      <c r="E1629" t="s">
        <v>484</v>
      </c>
      <c r="H1629" t="s">
        <v>25</v>
      </c>
      <c r="I1629" t="s">
        <v>1952</v>
      </c>
      <c r="L1629" t="s">
        <v>312</v>
      </c>
      <c r="M1629" t="s">
        <v>343</v>
      </c>
    </row>
    <row r="1630" spans="1:13" x14ac:dyDescent="0.3">
      <c r="A1630" t="s">
        <v>2006</v>
      </c>
      <c r="B1630" t="s">
        <v>1948</v>
      </c>
      <c r="C1630" t="s">
        <v>308</v>
      </c>
      <c r="D1630" t="s">
        <v>2011</v>
      </c>
      <c r="E1630" t="s">
        <v>1167</v>
      </c>
      <c r="H1630" t="s">
        <v>25</v>
      </c>
      <c r="I1630" t="s">
        <v>1954</v>
      </c>
      <c r="L1630" t="s">
        <v>312</v>
      </c>
      <c r="M1630" t="s">
        <v>343</v>
      </c>
    </row>
    <row r="1631" spans="1:13" x14ac:dyDescent="0.3">
      <c r="A1631" t="s">
        <v>2006</v>
      </c>
      <c r="B1631" t="s">
        <v>1948</v>
      </c>
      <c r="C1631" t="s">
        <v>22</v>
      </c>
      <c r="D1631" t="s">
        <v>23</v>
      </c>
      <c r="E1631" t="s">
        <v>28</v>
      </c>
      <c r="F1631" t="s">
        <v>25</v>
      </c>
      <c r="G1631" t="s">
        <v>2012</v>
      </c>
      <c r="J1631" t="s">
        <v>373</v>
      </c>
      <c r="K1631" t="s">
        <v>1956</v>
      </c>
    </row>
    <row r="1632" spans="1:13" x14ac:dyDescent="0.3">
      <c r="A1632" t="s">
        <v>2006</v>
      </c>
      <c r="B1632" t="s">
        <v>1948</v>
      </c>
      <c r="C1632" t="s">
        <v>16</v>
      </c>
      <c r="D1632" t="s">
        <v>1083</v>
      </c>
      <c r="E1632" t="s">
        <v>37</v>
      </c>
    </row>
    <row r="1633" spans="1:13" x14ac:dyDescent="0.3">
      <c r="A1633" t="s">
        <v>2006</v>
      </c>
      <c r="B1633" t="s">
        <v>1948</v>
      </c>
      <c r="C1633" t="s">
        <v>11</v>
      </c>
      <c r="D1633" t="s">
        <v>12</v>
      </c>
      <c r="E1633" t="s">
        <v>13</v>
      </c>
      <c r="H1633" t="s">
        <v>382</v>
      </c>
      <c r="I1633" t="s">
        <v>2013</v>
      </c>
      <c r="L1633" t="s">
        <v>14</v>
      </c>
      <c r="M1633" t="s">
        <v>2013</v>
      </c>
    </row>
    <row r="1634" spans="1:13" x14ac:dyDescent="0.3">
      <c r="A1634" t="s">
        <v>2010</v>
      </c>
      <c r="B1634" t="s">
        <v>484</v>
      </c>
      <c r="C1634" t="s">
        <v>11</v>
      </c>
      <c r="D1634" t="s">
        <v>12</v>
      </c>
      <c r="E1634" t="s">
        <v>391</v>
      </c>
      <c r="H1634" t="s">
        <v>392</v>
      </c>
      <c r="I1634" t="s">
        <v>2014</v>
      </c>
      <c r="L1634" t="s">
        <v>394</v>
      </c>
      <c r="M1634" t="s">
        <v>2013</v>
      </c>
    </row>
    <row r="1635" spans="1:13" x14ac:dyDescent="0.3">
      <c r="A1635" t="s">
        <v>2007</v>
      </c>
      <c r="B1635" t="s">
        <v>1132</v>
      </c>
      <c r="C1635" t="s">
        <v>11</v>
      </c>
      <c r="D1635" t="s">
        <v>12</v>
      </c>
      <c r="E1635" t="s">
        <v>391</v>
      </c>
      <c r="H1635" t="s">
        <v>392</v>
      </c>
      <c r="I1635" t="s">
        <v>2015</v>
      </c>
      <c r="L1635" t="s">
        <v>394</v>
      </c>
      <c r="M1635" t="s">
        <v>2013</v>
      </c>
    </row>
    <row r="1636" spans="1:13" x14ac:dyDescent="0.3">
      <c r="A1636" t="s">
        <v>2011</v>
      </c>
      <c r="B1636" t="s">
        <v>1167</v>
      </c>
      <c r="C1636" t="s">
        <v>11</v>
      </c>
      <c r="D1636" t="s">
        <v>12</v>
      </c>
      <c r="E1636" t="s">
        <v>391</v>
      </c>
      <c r="H1636" t="s">
        <v>392</v>
      </c>
      <c r="I1636" t="s">
        <v>2016</v>
      </c>
      <c r="L1636" t="s">
        <v>394</v>
      </c>
      <c r="M1636" t="s">
        <v>2013</v>
      </c>
    </row>
    <row r="1637" spans="1:13" x14ac:dyDescent="0.3">
      <c r="A1637" t="s">
        <v>2009</v>
      </c>
      <c r="B1637" t="s">
        <v>1134</v>
      </c>
      <c r="C1637" t="s">
        <v>11</v>
      </c>
      <c r="D1637" t="s">
        <v>12</v>
      </c>
      <c r="E1637" t="s">
        <v>391</v>
      </c>
      <c r="H1637" t="s">
        <v>392</v>
      </c>
      <c r="I1637" t="s">
        <v>2017</v>
      </c>
      <c r="L1637" t="s">
        <v>394</v>
      </c>
      <c r="M1637" t="s">
        <v>2013</v>
      </c>
    </row>
    <row r="1638" spans="1:13" x14ac:dyDescent="0.3">
      <c r="A1638" t="s">
        <v>2018</v>
      </c>
      <c r="B1638" t="s">
        <v>1948</v>
      </c>
      <c r="C1638" t="s">
        <v>308</v>
      </c>
      <c r="D1638" t="s">
        <v>2019</v>
      </c>
      <c r="E1638" t="s">
        <v>1132</v>
      </c>
      <c r="H1638" t="s">
        <v>25</v>
      </c>
      <c r="I1638" t="s">
        <v>2008</v>
      </c>
      <c r="L1638" t="s">
        <v>312</v>
      </c>
      <c r="M1638" t="s">
        <v>313</v>
      </c>
    </row>
    <row r="1639" spans="1:13" x14ac:dyDescent="0.3">
      <c r="A1639" t="s">
        <v>2018</v>
      </c>
      <c r="B1639" t="s">
        <v>1948</v>
      </c>
      <c r="C1639" t="s">
        <v>308</v>
      </c>
      <c r="D1639" t="s">
        <v>2020</v>
      </c>
      <c r="E1639" t="s">
        <v>1134</v>
      </c>
      <c r="H1639" t="s">
        <v>25</v>
      </c>
      <c r="I1639" t="s">
        <v>1950</v>
      </c>
      <c r="L1639" t="s">
        <v>312</v>
      </c>
      <c r="M1639" t="s">
        <v>317</v>
      </c>
    </row>
    <row r="1640" spans="1:13" x14ac:dyDescent="0.3">
      <c r="A1640" t="s">
        <v>2018</v>
      </c>
      <c r="B1640" t="s">
        <v>1948</v>
      </c>
      <c r="C1640" t="s">
        <v>308</v>
      </c>
      <c r="D1640" t="s">
        <v>2021</v>
      </c>
      <c r="E1640" t="s">
        <v>484</v>
      </c>
      <c r="H1640" t="s">
        <v>25</v>
      </c>
      <c r="I1640" t="s">
        <v>1952</v>
      </c>
      <c r="L1640" t="s">
        <v>312</v>
      </c>
      <c r="M1640" t="s">
        <v>343</v>
      </c>
    </row>
    <row r="1641" spans="1:13" x14ac:dyDescent="0.3">
      <c r="A1641" t="s">
        <v>2018</v>
      </c>
      <c r="B1641" t="s">
        <v>1948</v>
      </c>
      <c r="C1641" t="s">
        <v>308</v>
      </c>
      <c r="D1641" t="s">
        <v>2022</v>
      </c>
      <c r="E1641" t="s">
        <v>1167</v>
      </c>
      <c r="H1641" t="s">
        <v>25</v>
      </c>
      <c r="I1641" t="s">
        <v>1954</v>
      </c>
      <c r="L1641" t="s">
        <v>312</v>
      </c>
      <c r="M1641" t="s">
        <v>343</v>
      </c>
    </row>
    <row r="1642" spans="1:13" x14ac:dyDescent="0.3">
      <c r="A1642" t="s">
        <v>2018</v>
      </c>
      <c r="B1642" t="s">
        <v>1948</v>
      </c>
      <c r="C1642" t="s">
        <v>22</v>
      </c>
      <c r="D1642" t="s">
        <v>23</v>
      </c>
      <c r="E1642" t="s">
        <v>28</v>
      </c>
      <c r="F1642" t="s">
        <v>25</v>
      </c>
      <c r="G1642" t="s">
        <v>2023</v>
      </c>
      <c r="J1642" t="s">
        <v>373</v>
      </c>
      <c r="K1642" t="s">
        <v>1956</v>
      </c>
    </row>
    <row r="1643" spans="1:13" x14ac:dyDescent="0.3">
      <c r="A1643" t="s">
        <v>2018</v>
      </c>
      <c r="B1643" t="s">
        <v>1948</v>
      </c>
      <c r="C1643" t="s">
        <v>16</v>
      </c>
      <c r="D1643" t="s">
        <v>1083</v>
      </c>
      <c r="E1643" t="s">
        <v>37</v>
      </c>
    </row>
    <row r="1644" spans="1:13" x14ac:dyDescent="0.3">
      <c r="A1644" t="s">
        <v>2018</v>
      </c>
      <c r="B1644" t="s">
        <v>1948</v>
      </c>
      <c r="C1644" t="s">
        <v>11</v>
      </c>
      <c r="D1644" t="s">
        <v>12</v>
      </c>
      <c r="E1644" t="s">
        <v>13</v>
      </c>
      <c r="H1644" t="s">
        <v>382</v>
      </c>
      <c r="I1644" t="s">
        <v>2024</v>
      </c>
      <c r="L1644" t="s">
        <v>14</v>
      </c>
      <c r="M1644" t="s">
        <v>2024</v>
      </c>
    </row>
    <row r="1645" spans="1:13" x14ac:dyDescent="0.3">
      <c r="A1645" t="s">
        <v>2021</v>
      </c>
      <c r="B1645" t="s">
        <v>484</v>
      </c>
      <c r="C1645" t="s">
        <v>11</v>
      </c>
      <c r="D1645" t="s">
        <v>12</v>
      </c>
      <c r="E1645" t="s">
        <v>391</v>
      </c>
      <c r="H1645" t="s">
        <v>392</v>
      </c>
      <c r="I1645" t="s">
        <v>2025</v>
      </c>
      <c r="L1645" t="s">
        <v>394</v>
      </c>
      <c r="M1645" t="s">
        <v>2024</v>
      </c>
    </row>
    <row r="1646" spans="1:13" x14ac:dyDescent="0.3">
      <c r="A1646" t="s">
        <v>2019</v>
      </c>
      <c r="B1646" t="s">
        <v>1132</v>
      </c>
      <c r="C1646" t="s">
        <v>11</v>
      </c>
      <c r="D1646" t="s">
        <v>12</v>
      </c>
      <c r="E1646" t="s">
        <v>391</v>
      </c>
      <c r="H1646" t="s">
        <v>392</v>
      </c>
      <c r="I1646" t="s">
        <v>2026</v>
      </c>
      <c r="L1646" t="s">
        <v>394</v>
      </c>
      <c r="M1646" t="s">
        <v>2024</v>
      </c>
    </row>
    <row r="1647" spans="1:13" x14ac:dyDescent="0.3">
      <c r="A1647" t="s">
        <v>2022</v>
      </c>
      <c r="B1647" t="s">
        <v>1167</v>
      </c>
      <c r="C1647" t="s">
        <v>11</v>
      </c>
      <c r="D1647" t="s">
        <v>12</v>
      </c>
      <c r="E1647" t="s">
        <v>391</v>
      </c>
      <c r="H1647" t="s">
        <v>392</v>
      </c>
      <c r="I1647" t="s">
        <v>2027</v>
      </c>
      <c r="L1647" t="s">
        <v>394</v>
      </c>
      <c r="M1647" t="s">
        <v>2024</v>
      </c>
    </row>
    <row r="1648" spans="1:13" x14ac:dyDescent="0.3">
      <c r="A1648" t="s">
        <v>2020</v>
      </c>
      <c r="B1648" t="s">
        <v>1134</v>
      </c>
      <c r="C1648" t="s">
        <v>11</v>
      </c>
      <c r="D1648" t="s">
        <v>12</v>
      </c>
      <c r="E1648" t="s">
        <v>391</v>
      </c>
      <c r="H1648" t="s">
        <v>392</v>
      </c>
      <c r="I1648" t="s">
        <v>2028</v>
      </c>
      <c r="L1648" t="s">
        <v>394</v>
      </c>
      <c r="M1648" t="s">
        <v>2024</v>
      </c>
    </row>
    <row r="1649" spans="1:13" x14ac:dyDescent="0.3">
      <c r="A1649" t="s">
        <v>2029</v>
      </c>
      <c r="B1649" t="s">
        <v>1948</v>
      </c>
      <c r="C1649" t="s">
        <v>308</v>
      </c>
      <c r="D1649" t="s">
        <v>2030</v>
      </c>
      <c r="E1649" t="s">
        <v>1132</v>
      </c>
      <c r="H1649" t="s">
        <v>25</v>
      </c>
      <c r="I1649" t="s">
        <v>2008</v>
      </c>
      <c r="L1649" t="s">
        <v>312</v>
      </c>
      <c r="M1649" t="s">
        <v>313</v>
      </c>
    </row>
    <row r="1650" spans="1:13" x14ac:dyDescent="0.3">
      <c r="A1650" t="s">
        <v>2029</v>
      </c>
      <c r="B1650" t="s">
        <v>1948</v>
      </c>
      <c r="C1650" t="s">
        <v>308</v>
      </c>
      <c r="D1650" t="s">
        <v>2031</v>
      </c>
      <c r="E1650" t="s">
        <v>1134</v>
      </c>
      <c r="H1650" t="s">
        <v>25</v>
      </c>
      <c r="I1650" t="s">
        <v>1950</v>
      </c>
      <c r="L1650" t="s">
        <v>312</v>
      </c>
      <c r="M1650" t="s">
        <v>317</v>
      </c>
    </row>
    <row r="1651" spans="1:13" x14ac:dyDescent="0.3">
      <c r="A1651" t="s">
        <v>2029</v>
      </c>
      <c r="B1651" t="s">
        <v>1948</v>
      </c>
      <c r="C1651" t="s">
        <v>308</v>
      </c>
      <c r="D1651" t="s">
        <v>2032</v>
      </c>
      <c r="E1651" t="s">
        <v>484</v>
      </c>
      <c r="H1651" t="s">
        <v>25</v>
      </c>
      <c r="I1651" t="s">
        <v>1952</v>
      </c>
      <c r="L1651" t="s">
        <v>312</v>
      </c>
      <c r="M1651" t="s">
        <v>343</v>
      </c>
    </row>
    <row r="1652" spans="1:13" x14ac:dyDescent="0.3">
      <c r="A1652" t="s">
        <v>2029</v>
      </c>
      <c r="B1652" t="s">
        <v>1948</v>
      </c>
      <c r="C1652" t="s">
        <v>308</v>
      </c>
      <c r="D1652" t="s">
        <v>2033</v>
      </c>
      <c r="E1652" t="s">
        <v>1167</v>
      </c>
      <c r="H1652" t="s">
        <v>25</v>
      </c>
      <c r="I1652" t="s">
        <v>1954</v>
      </c>
      <c r="L1652" t="s">
        <v>312</v>
      </c>
      <c r="M1652" t="s">
        <v>343</v>
      </c>
    </row>
    <row r="1653" spans="1:13" x14ac:dyDescent="0.3">
      <c r="A1653" t="s">
        <v>2029</v>
      </c>
      <c r="B1653" t="s">
        <v>1948</v>
      </c>
      <c r="C1653" t="s">
        <v>22</v>
      </c>
      <c r="D1653" t="s">
        <v>23</v>
      </c>
      <c r="E1653" t="s">
        <v>28</v>
      </c>
      <c r="F1653" t="s">
        <v>25</v>
      </c>
      <c r="G1653" t="s">
        <v>2034</v>
      </c>
      <c r="J1653" t="s">
        <v>373</v>
      </c>
      <c r="K1653" t="s">
        <v>1956</v>
      </c>
    </row>
    <row r="1654" spans="1:13" x14ac:dyDescent="0.3">
      <c r="A1654" t="s">
        <v>2029</v>
      </c>
      <c r="B1654" t="s">
        <v>1948</v>
      </c>
      <c r="C1654" t="s">
        <v>16</v>
      </c>
      <c r="D1654" t="s">
        <v>1085</v>
      </c>
      <c r="E1654" t="s">
        <v>37</v>
      </c>
    </row>
    <row r="1655" spans="1:13" x14ac:dyDescent="0.3">
      <c r="A1655" t="s">
        <v>2029</v>
      </c>
      <c r="B1655" t="s">
        <v>1948</v>
      </c>
      <c r="C1655" t="s">
        <v>11</v>
      </c>
      <c r="D1655" t="s">
        <v>12</v>
      </c>
      <c r="E1655" t="s">
        <v>13</v>
      </c>
      <c r="H1655" t="s">
        <v>382</v>
      </c>
      <c r="I1655" t="s">
        <v>2035</v>
      </c>
      <c r="L1655" t="s">
        <v>14</v>
      </c>
      <c r="M1655" t="s">
        <v>2035</v>
      </c>
    </row>
    <row r="1656" spans="1:13" x14ac:dyDescent="0.3">
      <c r="A1656" t="s">
        <v>2032</v>
      </c>
      <c r="B1656" t="s">
        <v>484</v>
      </c>
      <c r="C1656" t="s">
        <v>11</v>
      </c>
      <c r="D1656" t="s">
        <v>12</v>
      </c>
      <c r="E1656" t="s">
        <v>391</v>
      </c>
      <c r="H1656" t="s">
        <v>392</v>
      </c>
      <c r="I1656" t="s">
        <v>2036</v>
      </c>
      <c r="L1656" t="s">
        <v>394</v>
      </c>
      <c r="M1656" t="s">
        <v>2035</v>
      </c>
    </row>
    <row r="1657" spans="1:13" x14ac:dyDescent="0.3">
      <c r="A1657" t="s">
        <v>2030</v>
      </c>
      <c r="B1657" t="s">
        <v>1132</v>
      </c>
      <c r="C1657" t="s">
        <v>11</v>
      </c>
      <c r="D1657" t="s">
        <v>12</v>
      </c>
      <c r="E1657" t="s">
        <v>391</v>
      </c>
      <c r="H1657" t="s">
        <v>392</v>
      </c>
      <c r="I1657" t="s">
        <v>2037</v>
      </c>
      <c r="L1657" t="s">
        <v>394</v>
      </c>
      <c r="M1657" t="s">
        <v>2035</v>
      </c>
    </row>
    <row r="1658" spans="1:13" x14ac:dyDescent="0.3">
      <c r="A1658" t="s">
        <v>2033</v>
      </c>
      <c r="B1658" t="s">
        <v>1167</v>
      </c>
      <c r="C1658" t="s">
        <v>11</v>
      </c>
      <c r="D1658" t="s">
        <v>12</v>
      </c>
      <c r="E1658" t="s">
        <v>391</v>
      </c>
      <c r="H1658" t="s">
        <v>392</v>
      </c>
      <c r="I1658" t="s">
        <v>2038</v>
      </c>
      <c r="L1658" t="s">
        <v>394</v>
      </c>
      <c r="M1658" t="s">
        <v>2035</v>
      </c>
    </row>
    <row r="1659" spans="1:13" x14ac:dyDescent="0.3">
      <c r="A1659" t="s">
        <v>2031</v>
      </c>
      <c r="B1659" t="s">
        <v>1134</v>
      </c>
      <c r="C1659" t="s">
        <v>11</v>
      </c>
      <c r="D1659" t="s">
        <v>12</v>
      </c>
      <c r="E1659" t="s">
        <v>391</v>
      </c>
      <c r="H1659" t="s">
        <v>392</v>
      </c>
      <c r="I1659" t="s">
        <v>2039</v>
      </c>
      <c r="L1659" t="s">
        <v>394</v>
      </c>
      <c r="M1659" t="s">
        <v>2035</v>
      </c>
    </row>
    <row r="1660" spans="1:13" x14ac:dyDescent="0.3">
      <c r="A1660" t="s">
        <v>2040</v>
      </c>
      <c r="B1660" t="s">
        <v>1948</v>
      </c>
      <c r="C1660" t="s">
        <v>308</v>
      </c>
      <c r="D1660" t="s">
        <v>2041</v>
      </c>
      <c r="E1660" t="s">
        <v>1132</v>
      </c>
      <c r="H1660" t="s">
        <v>25</v>
      </c>
      <c r="I1660" t="s">
        <v>2008</v>
      </c>
      <c r="L1660" t="s">
        <v>312</v>
      </c>
      <c r="M1660" t="s">
        <v>313</v>
      </c>
    </row>
    <row r="1661" spans="1:13" x14ac:dyDescent="0.3">
      <c r="A1661" t="s">
        <v>2040</v>
      </c>
      <c r="B1661" t="s">
        <v>1948</v>
      </c>
      <c r="C1661" t="s">
        <v>308</v>
      </c>
      <c r="D1661" t="s">
        <v>2042</v>
      </c>
      <c r="E1661" t="s">
        <v>1134</v>
      </c>
      <c r="H1661" t="s">
        <v>25</v>
      </c>
      <c r="I1661" t="s">
        <v>1950</v>
      </c>
      <c r="L1661" t="s">
        <v>312</v>
      </c>
      <c r="M1661" t="s">
        <v>317</v>
      </c>
    </row>
    <row r="1662" spans="1:13" x14ac:dyDescent="0.3">
      <c r="A1662" t="s">
        <v>2040</v>
      </c>
      <c r="B1662" t="s">
        <v>1948</v>
      </c>
      <c r="C1662" t="s">
        <v>308</v>
      </c>
      <c r="D1662" t="s">
        <v>2043</v>
      </c>
      <c r="E1662" t="s">
        <v>484</v>
      </c>
      <c r="H1662" t="s">
        <v>25</v>
      </c>
      <c r="I1662" t="s">
        <v>1952</v>
      </c>
      <c r="L1662" t="s">
        <v>312</v>
      </c>
      <c r="M1662" t="s">
        <v>343</v>
      </c>
    </row>
    <row r="1663" spans="1:13" x14ac:dyDescent="0.3">
      <c r="A1663" t="s">
        <v>2040</v>
      </c>
      <c r="B1663" t="s">
        <v>1948</v>
      </c>
      <c r="C1663" t="s">
        <v>308</v>
      </c>
      <c r="D1663" t="s">
        <v>2044</v>
      </c>
      <c r="E1663" t="s">
        <v>1167</v>
      </c>
      <c r="H1663" t="s">
        <v>25</v>
      </c>
      <c r="I1663" t="s">
        <v>1954</v>
      </c>
      <c r="L1663" t="s">
        <v>312</v>
      </c>
      <c r="M1663" t="s">
        <v>343</v>
      </c>
    </row>
    <row r="1664" spans="1:13" x14ac:dyDescent="0.3">
      <c r="A1664" t="s">
        <v>2040</v>
      </c>
      <c r="B1664" t="s">
        <v>1948</v>
      </c>
      <c r="C1664" t="s">
        <v>22</v>
      </c>
      <c r="D1664" t="s">
        <v>23</v>
      </c>
      <c r="E1664" t="s">
        <v>28</v>
      </c>
      <c r="F1664" t="s">
        <v>25</v>
      </c>
      <c r="G1664" t="s">
        <v>2045</v>
      </c>
      <c r="J1664" t="s">
        <v>373</v>
      </c>
      <c r="K1664" t="s">
        <v>1956</v>
      </c>
    </row>
    <row r="1665" spans="1:13" x14ac:dyDescent="0.3">
      <c r="A1665" t="s">
        <v>2040</v>
      </c>
      <c r="B1665" t="s">
        <v>1948</v>
      </c>
      <c r="C1665" t="s">
        <v>16</v>
      </c>
      <c r="D1665" t="s">
        <v>1087</v>
      </c>
      <c r="E1665" t="s">
        <v>37</v>
      </c>
    </row>
    <row r="1666" spans="1:13" x14ac:dyDescent="0.3">
      <c r="A1666" t="s">
        <v>2040</v>
      </c>
      <c r="B1666" t="s">
        <v>1948</v>
      </c>
      <c r="C1666" t="s">
        <v>11</v>
      </c>
      <c r="D1666" t="s">
        <v>12</v>
      </c>
      <c r="E1666" t="s">
        <v>13</v>
      </c>
      <c r="H1666" t="s">
        <v>382</v>
      </c>
      <c r="I1666" t="s">
        <v>2046</v>
      </c>
      <c r="L1666" t="s">
        <v>14</v>
      </c>
      <c r="M1666" t="s">
        <v>2046</v>
      </c>
    </row>
    <row r="1667" spans="1:13" x14ac:dyDescent="0.3">
      <c r="A1667" t="s">
        <v>2043</v>
      </c>
      <c r="B1667" t="s">
        <v>484</v>
      </c>
      <c r="C1667" t="s">
        <v>11</v>
      </c>
      <c r="D1667" t="s">
        <v>12</v>
      </c>
      <c r="E1667" t="s">
        <v>391</v>
      </c>
      <c r="H1667" t="s">
        <v>392</v>
      </c>
      <c r="I1667" t="s">
        <v>2047</v>
      </c>
      <c r="L1667" t="s">
        <v>394</v>
      </c>
      <c r="M1667" t="s">
        <v>2046</v>
      </c>
    </row>
    <row r="1668" spans="1:13" x14ac:dyDescent="0.3">
      <c r="A1668" t="s">
        <v>2041</v>
      </c>
      <c r="B1668" t="s">
        <v>1132</v>
      </c>
      <c r="C1668" t="s">
        <v>11</v>
      </c>
      <c r="D1668" t="s">
        <v>12</v>
      </c>
      <c r="E1668" t="s">
        <v>391</v>
      </c>
      <c r="H1668" t="s">
        <v>392</v>
      </c>
      <c r="I1668" t="s">
        <v>2048</v>
      </c>
      <c r="L1668" t="s">
        <v>394</v>
      </c>
      <c r="M1668" t="s">
        <v>2046</v>
      </c>
    </row>
    <row r="1669" spans="1:13" x14ac:dyDescent="0.3">
      <c r="A1669" t="s">
        <v>2044</v>
      </c>
      <c r="B1669" t="s">
        <v>1167</v>
      </c>
      <c r="C1669" t="s">
        <v>11</v>
      </c>
      <c r="D1669" t="s">
        <v>12</v>
      </c>
      <c r="E1669" t="s">
        <v>391</v>
      </c>
      <c r="H1669" t="s">
        <v>392</v>
      </c>
      <c r="I1669" t="s">
        <v>2049</v>
      </c>
      <c r="L1669" t="s">
        <v>394</v>
      </c>
      <c r="M1669" t="s">
        <v>2046</v>
      </c>
    </row>
    <row r="1670" spans="1:13" x14ac:dyDescent="0.3">
      <c r="A1670" t="s">
        <v>2042</v>
      </c>
      <c r="B1670" t="s">
        <v>1134</v>
      </c>
      <c r="C1670" t="s">
        <v>11</v>
      </c>
      <c r="D1670" t="s">
        <v>12</v>
      </c>
      <c r="E1670" t="s">
        <v>391</v>
      </c>
      <c r="H1670" t="s">
        <v>392</v>
      </c>
      <c r="I1670" t="s">
        <v>2050</v>
      </c>
      <c r="L1670" t="s">
        <v>394</v>
      </c>
      <c r="M1670" t="s">
        <v>2046</v>
      </c>
    </row>
    <row r="1671" spans="1:13" x14ac:dyDescent="0.3">
      <c r="A1671" t="s">
        <v>1947</v>
      </c>
      <c r="B1671" t="s">
        <v>1948</v>
      </c>
      <c r="C1671" s="4" t="s">
        <v>1692</v>
      </c>
      <c r="D1671" t="s">
        <v>1058</v>
      </c>
      <c r="E1671" t="s">
        <v>37</v>
      </c>
    </row>
    <row r="1672" spans="1:13" x14ac:dyDescent="0.3">
      <c r="A1672" t="s">
        <v>1961</v>
      </c>
      <c r="B1672" t="s">
        <v>1948</v>
      </c>
      <c r="C1672" s="4" t="s">
        <v>1692</v>
      </c>
      <c r="D1672" t="s">
        <v>1058</v>
      </c>
      <c r="E1672" t="s">
        <v>37</v>
      </c>
    </row>
    <row r="1673" spans="1:13" x14ac:dyDescent="0.3">
      <c r="A1673" t="s">
        <v>1970</v>
      </c>
      <c r="B1673" t="s">
        <v>1948</v>
      </c>
      <c r="C1673" s="4" t="s">
        <v>1692</v>
      </c>
      <c r="D1673" t="s">
        <v>1058</v>
      </c>
      <c r="E1673" t="s">
        <v>37</v>
      </c>
    </row>
    <row r="1674" spans="1:13" x14ac:dyDescent="0.3">
      <c r="A1674" t="s">
        <v>1979</v>
      </c>
      <c r="B1674" t="s">
        <v>1948</v>
      </c>
      <c r="C1674" s="4" t="s">
        <v>1692</v>
      </c>
      <c r="D1674" t="s">
        <v>1058</v>
      </c>
      <c r="E1674" t="s">
        <v>37</v>
      </c>
    </row>
    <row r="1675" spans="1:13" x14ac:dyDescent="0.3">
      <c r="A1675" t="s">
        <v>1988</v>
      </c>
      <c r="B1675" t="s">
        <v>1948</v>
      </c>
      <c r="C1675" s="4" t="s">
        <v>1692</v>
      </c>
      <c r="D1675" t="s">
        <v>1056</v>
      </c>
      <c r="E1675" t="s">
        <v>37</v>
      </c>
    </row>
    <row r="1676" spans="1:13" x14ac:dyDescent="0.3">
      <c r="A1676" t="s">
        <v>1997</v>
      </c>
      <c r="B1676" t="s">
        <v>1948</v>
      </c>
      <c r="C1676" s="4" t="s">
        <v>1692</v>
      </c>
      <c r="D1676" t="s">
        <v>1056</v>
      </c>
      <c r="E1676" t="s">
        <v>37</v>
      </c>
    </row>
    <row r="1677" spans="1:13" x14ac:dyDescent="0.3">
      <c r="A1677" t="s">
        <v>2006</v>
      </c>
      <c r="B1677" t="s">
        <v>1948</v>
      </c>
      <c r="C1677" s="4" t="s">
        <v>1692</v>
      </c>
      <c r="D1677" t="s">
        <v>1083</v>
      </c>
      <c r="E1677" t="s">
        <v>37</v>
      </c>
    </row>
    <row r="1678" spans="1:13" x14ac:dyDescent="0.3">
      <c r="A1678" t="s">
        <v>2018</v>
      </c>
      <c r="B1678" t="s">
        <v>1948</v>
      </c>
      <c r="C1678" s="4" t="s">
        <v>1692</v>
      </c>
      <c r="D1678" t="s">
        <v>1083</v>
      </c>
      <c r="E1678" t="s">
        <v>37</v>
      </c>
    </row>
    <row r="1679" spans="1:13" x14ac:dyDescent="0.3">
      <c r="A1679" t="s">
        <v>2029</v>
      </c>
      <c r="B1679" t="s">
        <v>1948</v>
      </c>
      <c r="C1679" s="4" t="s">
        <v>1692</v>
      </c>
      <c r="D1679" t="s">
        <v>1085</v>
      </c>
      <c r="E1679" t="s">
        <v>37</v>
      </c>
    </row>
    <row r="1680" spans="1:13" x14ac:dyDescent="0.3">
      <c r="A1680" t="s">
        <v>2040</v>
      </c>
      <c r="B1680" t="s">
        <v>1948</v>
      </c>
      <c r="C1680" s="4" t="s">
        <v>1692</v>
      </c>
      <c r="D1680" t="s">
        <v>1087</v>
      </c>
      <c r="E1680" t="s">
        <v>37</v>
      </c>
    </row>
    <row r="1681" spans="1:17" x14ac:dyDescent="0.3">
      <c r="A1681" t="s">
        <v>2051</v>
      </c>
      <c r="B1681" t="s">
        <v>2052</v>
      </c>
      <c r="C1681" t="s">
        <v>280</v>
      </c>
      <c r="D1681" t="s">
        <v>2053</v>
      </c>
      <c r="E1681" t="s">
        <v>282</v>
      </c>
      <c r="H1681" t="s">
        <v>25</v>
      </c>
      <c r="I1681" t="s">
        <v>283</v>
      </c>
    </row>
    <row r="1682" spans="1:17" x14ac:dyDescent="0.3">
      <c r="A1682" t="s">
        <v>2051</v>
      </c>
      <c r="B1682" t="s">
        <v>2052</v>
      </c>
      <c r="C1682" t="s">
        <v>280</v>
      </c>
      <c r="D1682" t="s">
        <v>2054</v>
      </c>
      <c r="E1682" t="s">
        <v>399</v>
      </c>
      <c r="H1682" t="s">
        <v>25</v>
      </c>
      <c r="I1682" t="s">
        <v>2055</v>
      </c>
    </row>
    <row r="1683" spans="1:17" x14ac:dyDescent="0.3">
      <c r="A1683" t="s">
        <v>2051</v>
      </c>
      <c r="B1683" t="s">
        <v>2052</v>
      </c>
      <c r="C1683" t="s">
        <v>280</v>
      </c>
      <c r="D1683" t="s">
        <v>2056</v>
      </c>
      <c r="E1683" t="s">
        <v>488</v>
      </c>
      <c r="H1683" t="s">
        <v>25</v>
      </c>
      <c r="I1683" t="s">
        <v>2057</v>
      </c>
    </row>
    <row r="1684" spans="1:17" x14ac:dyDescent="0.3">
      <c r="A1684" t="s">
        <v>2051</v>
      </c>
      <c r="B1684" t="s">
        <v>2052</v>
      </c>
      <c r="C1684" t="s">
        <v>280</v>
      </c>
      <c r="D1684" t="s">
        <v>2058</v>
      </c>
      <c r="E1684" t="s">
        <v>303</v>
      </c>
      <c r="H1684" t="s">
        <v>25</v>
      </c>
      <c r="I1684" t="s">
        <v>304</v>
      </c>
    </row>
    <row r="1685" spans="1:17" x14ac:dyDescent="0.3">
      <c r="A1685" t="s">
        <v>2051</v>
      </c>
      <c r="B1685" t="s">
        <v>2052</v>
      </c>
      <c r="C1685" t="s">
        <v>308</v>
      </c>
      <c r="D1685" t="s">
        <v>2059</v>
      </c>
      <c r="E1685" t="s">
        <v>2060</v>
      </c>
      <c r="H1685" t="s">
        <v>25</v>
      </c>
      <c r="I1685" t="s">
        <v>2061</v>
      </c>
      <c r="L1685" t="s">
        <v>312</v>
      </c>
      <c r="M1685" t="s">
        <v>1687</v>
      </c>
    </row>
    <row r="1686" spans="1:17" x14ac:dyDescent="0.3">
      <c r="A1686" t="s">
        <v>2051</v>
      </c>
      <c r="B1686" t="s">
        <v>2052</v>
      </c>
      <c r="C1686" t="s">
        <v>308</v>
      </c>
      <c r="D1686" t="s">
        <v>2062</v>
      </c>
      <c r="E1686" t="s">
        <v>2060</v>
      </c>
      <c r="H1686" t="s">
        <v>25</v>
      </c>
      <c r="I1686" t="s">
        <v>2063</v>
      </c>
      <c r="L1686" t="s">
        <v>312</v>
      </c>
      <c r="M1686" t="s">
        <v>1687</v>
      </c>
    </row>
    <row r="1687" spans="1:17" x14ac:dyDescent="0.3">
      <c r="A1687" t="s">
        <v>2051</v>
      </c>
      <c r="B1687" t="s">
        <v>2052</v>
      </c>
      <c r="C1687" t="s">
        <v>308</v>
      </c>
      <c r="D1687" t="s">
        <v>2064</v>
      </c>
      <c r="E1687" t="s">
        <v>1138</v>
      </c>
      <c r="H1687" t="s">
        <v>25</v>
      </c>
      <c r="I1687" t="s">
        <v>2065</v>
      </c>
      <c r="L1687" t="s">
        <v>312</v>
      </c>
      <c r="M1687" t="s">
        <v>317</v>
      </c>
    </row>
    <row r="1688" spans="1:17" x14ac:dyDescent="0.3">
      <c r="A1688" t="s">
        <v>2051</v>
      </c>
      <c r="B1688" t="s">
        <v>2052</v>
      </c>
      <c r="C1688" t="s">
        <v>308</v>
      </c>
      <c r="D1688" t="s">
        <v>2066</v>
      </c>
      <c r="E1688" t="s">
        <v>348</v>
      </c>
      <c r="H1688" t="s">
        <v>25</v>
      </c>
      <c r="I1688" t="s">
        <v>349</v>
      </c>
      <c r="L1688" t="s">
        <v>312</v>
      </c>
      <c r="M1688" t="s">
        <v>317</v>
      </c>
    </row>
    <row r="1689" spans="1:17" x14ac:dyDescent="0.3">
      <c r="A1689" t="s">
        <v>2051</v>
      </c>
      <c r="B1689" t="s">
        <v>2052</v>
      </c>
      <c r="C1689" t="s">
        <v>308</v>
      </c>
      <c r="D1689" t="s">
        <v>2067</v>
      </c>
      <c r="E1689" t="s">
        <v>2068</v>
      </c>
      <c r="H1689" t="s">
        <v>25</v>
      </c>
      <c r="I1689" t="s">
        <v>2069</v>
      </c>
      <c r="L1689" t="s">
        <v>312</v>
      </c>
      <c r="M1689" t="s">
        <v>317</v>
      </c>
    </row>
    <row r="1690" spans="1:17" x14ac:dyDescent="0.3">
      <c r="A1690" t="s">
        <v>2051</v>
      </c>
      <c r="B1690" t="s">
        <v>2052</v>
      </c>
      <c r="C1690" t="s">
        <v>308</v>
      </c>
      <c r="D1690" t="s">
        <v>2070</v>
      </c>
      <c r="E1690" t="s">
        <v>2071</v>
      </c>
      <c r="H1690" t="s">
        <v>25</v>
      </c>
      <c r="I1690" t="s">
        <v>2072</v>
      </c>
      <c r="L1690" t="s">
        <v>312</v>
      </c>
      <c r="M1690" t="s">
        <v>1687</v>
      </c>
    </row>
    <row r="1691" spans="1:17" x14ac:dyDescent="0.3">
      <c r="A1691" t="s">
        <v>2051</v>
      </c>
      <c r="B1691" t="s">
        <v>2052</v>
      </c>
      <c r="C1691" t="s">
        <v>308</v>
      </c>
      <c r="D1691" t="s">
        <v>2073</v>
      </c>
      <c r="E1691" t="s">
        <v>2074</v>
      </c>
      <c r="H1691" t="s">
        <v>25</v>
      </c>
      <c r="I1691" t="s">
        <v>2075</v>
      </c>
      <c r="L1691" t="s">
        <v>312</v>
      </c>
      <c r="M1691" t="s">
        <v>1687</v>
      </c>
    </row>
    <row r="1692" spans="1:17" x14ac:dyDescent="0.3">
      <c r="A1692" t="s">
        <v>2051</v>
      </c>
      <c r="B1692" t="s">
        <v>2052</v>
      </c>
      <c r="C1692" t="s">
        <v>308</v>
      </c>
      <c r="D1692" t="s">
        <v>2076</v>
      </c>
      <c r="E1692" t="s">
        <v>2077</v>
      </c>
      <c r="H1692" t="s">
        <v>25</v>
      </c>
      <c r="I1692" t="s">
        <v>2078</v>
      </c>
      <c r="L1692" t="s">
        <v>312</v>
      </c>
      <c r="M1692" t="s">
        <v>1687</v>
      </c>
    </row>
    <row r="1693" spans="1:17" x14ac:dyDescent="0.3">
      <c r="A1693" t="s">
        <v>2051</v>
      </c>
      <c r="B1693" t="s">
        <v>2052</v>
      </c>
      <c r="C1693" t="s">
        <v>308</v>
      </c>
      <c r="D1693" t="s">
        <v>2079</v>
      </c>
      <c r="E1693" t="s">
        <v>2080</v>
      </c>
      <c r="H1693" t="s">
        <v>25</v>
      </c>
      <c r="I1693" t="s">
        <v>2081</v>
      </c>
      <c r="L1693" t="s">
        <v>312</v>
      </c>
      <c r="M1693" t="s">
        <v>2082</v>
      </c>
      <c r="P1693" t="s">
        <v>2083</v>
      </c>
      <c r="Q1693" t="s">
        <v>2084</v>
      </c>
    </row>
    <row r="1694" spans="1:17" x14ac:dyDescent="0.3">
      <c r="A1694" t="s">
        <v>2051</v>
      </c>
      <c r="B1694" t="s">
        <v>2052</v>
      </c>
      <c r="C1694" t="s">
        <v>308</v>
      </c>
      <c r="D1694" t="s">
        <v>2085</v>
      </c>
      <c r="E1694" t="s">
        <v>2086</v>
      </c>
      <c r="H1694" t="s">
        <v>25</v>
      </c>
      <c r="I1694" t="s">
        <v>2087</v>
      </c>
      <c r="L1694" t="s">
        <v>312</v>
      </c>
      <c r="M1694" t="s">
        <v>2082</v>
      </c>
      <c r="P1694" t="s">
        <v>2083</v>
      </c>
      <c r="Q1694" t="s">
        <v>2084</v>
      </c>
    </row>
    <row r="1695" spans="1:17" x14ac:dyDescent="0.3">
      <c r="A1695" t="s">
        <v>2051</v>
      </c>
      <c r="B1695" t="s">
        <v>2052</v>
      </c>
      <c r="C1695" t="s">
        <v>22</v>
      </c>
      <c r="D1695" t="s">
        <v>23</v>
      </c>
      <c r="E1695" t="s">
        <v>28</v>
      </c>
      <c r="F1695" t="s">
        <v>25</v>
      </c>
      <c r="G1695" t="s">
        <v>2088</v>
      </c>
      <c r="H1695" t="s">
        <v>2089</v>
      </c>
      <c r="I1695" t="s">
        <v>2090</v>
      </c>
    </row>
    <row r="1696" spans="1:17" x14ac:dyDescent="0.3">
      <c r="A1696" t="s">
        <v>2051</v>
      </c>
      <c r="B1696" t="s">
        <v>2052</v>
      </c>
      <c r="C1696" t="s">
        <v>1692</v>
      </c>
      <c r="D1696" t="s">
        <v>1077</v>
      </c>
      <c r="E1696" t="s">
        <v>37</v>
      </c>
    </row>
    <row r="1697" spans="1:13" x14ac:dyDescent="0.3">
      <c r="A1697" t="s">
        <v>2051</v>
      </c>
      <c r="B1697" t="s">
        <v>2052</v>
      </c>
      <c r="C1697" t="s">
        <v>380</v>
      </c>
      <c r="D1697" t="s">
        <v>9</v>
      </c>
      <c r="E1697" t="s">
        <v>10</v>
      </c>
    </row>
    <row r="1698" spans="1:13" x14ac:dyDescent="0.3">
      <c r="A1698" t="s">
        <v>2051</v>
      </c>
      <c r="B1698" t="s">
        <v>2052</v>
      </c>
      <c r="C1698" t="s">
        <v>16</v>
      </c>
      <c r="D1698" t="s">
        <v>1077</v>
      </c>
      <c r="E1698" t="s">
        <v>37</v>
      </c>
    </row>
    <row r="1699" spans="1:13" x14ac:dyDescent="0.3">
      <c r="A1699" t="s">
        <v>2051</v>
      </c>
      <c r="B1699" t="s">
        <v>2052</v>
      </c>
      <c r="C1699" t="s">
        <v>11</v>
      </c>
      <c r="D1699" t="s">
        <v>12</v>
      </c>
      <c r="E1699" t="s">
        <v>13</v>
      </c>
      <c r="H1699" t="s">
        <v>382</v>
      </c>
      <c r="I1699" t="s">
        <v>2091</v>
      </c>
      <c r="L1699" t="s">
        <v>14</v>
      </c>
      <c r="M1699" t="s">
        <v>2091</v>
      </c>
    </row>
    <row r="1700" spans="1:13" x14ac:dyDescent="0.3">
      <c r="A1700" t="s">
        <v>2051</v>
      </c>
      <c r="B1700" t="s">
        <v>2052</v>
      </c>
      <c r="C1700" t="s">
        <v>308</v>
      </c>
      <c r="D1700" t="s">
        <v>2092</v>
      </c>
      <c r="E1700" t="s">
        <v>341</v>
      </c>
      <c r="H1700" t="s">
        <v>25</v>
      </c>
      <c r="I1700" t="s">
        <v>2093</v>
      </c>
      <c r="L1700" t="s">
        <v>312</v>
      </c>
      <c r="M1700" t="s">
        <v>343</v>
      </c>
    </row>
    <row r="1701" spans="1:13" x14ac:dyDescent="0.3">
      <c r="A1701" t="s">
        <v>2051</v>
      </c>
      <c r="B1701" t="s">
        <v>2052</v>
      </c>
      <c r="C1701" t="s">
        <v>308</v>
      </c>
      <c r="D1701" t="s">
        <v>2094</v>
      </c>
      <c r="E1701" t="s">
        <v>2095</v>
      </c>
      <c r="H1701" t="s">
        <v>25</v>
      </c>
      <c r="I1701" t="s">
        <v>2096</v>
      </c>
      <c r="L1701" t="s">
        <v>312</v>
      </c>
      <c r="M1701" t="s">
        <v>343</v>
      </c>
    </row>
    <row r="1702" spans="1:13" x14ac:dyDescent="0.3">
      <c r="A1702" t="s">
        <v>2053</v>
      </c>
      <c r="B1702" t="s">
        <v>282</v>
      </c>
      <c r="C1702" t="s">
        <v>384</v>
      </c>
      <c r="D1702" t="s">
        <v>12</v>
      </c>
      <c r="E1702" t="s">
        <v>12</v>
      </c>
      <c r="H1702" t="s">
        <v>376</v>
      </c>
      <c r="I1702">
        <v>11.51</v>
      </c>
      <c r="L1702" t="s">
        <v>312</v>
      </c>
      <c r="M1702" t="s">
        <v>385</v>
      </c>
    </row>
    <row r="1703" spans="1:13" x14ac:dyDescent="0.3">
      <c r="A1703" t="s">
        <v>2053</v>
      </c>
      <c r="B1703" t="s">
        <v>282</v>
      </c>
      <c r="C1703" t="s">
        <v>280</v>
      </c>
      <c r="D1703" t="s">
        <v>2097</v>
      </c>
      <c r="E1703" t="s">
        <v>387</v>
      </c>
      <c r="H1703" t="s">
        <v>25</v>
      </c>
      <c r="I1703" t="s">
        <v>388</v>
      </c>
    </row>
    <row r="1704" spans="1:13" x14ac:dyDescent="0.3">
      <c r="A1704" t="s">
        <v>2098</v>
      </c>
      <c r="B1704" t="s">
        <v>390</v>
      </c>
      <c r="C1704" t="s">
        <v>11</v>
      </c>
      <c r="D1704" t="s">
        <v>12</v>
      </c>
      <c r="E1704" t="s">
        <v>391</v>
      </c>
      <c r="H1704" t="s">
        <v>392</v>
      </c>
      <c r="I1704" t="s">
        <v>393</v>
      </c>
      <c r="L1704" t="s">
        <v>394</v>
      </c>
      <c r="M1704" t="s">
        <v>2091</v>
      </c>
    </row>
    <row r="1705" spans="1:13" x14ac:dyDescent="0.3">
      <c r="A1705" t="s">
        <v>2099</v>
      </c>
      <c r="B1705" t="s">
        <v>396</v>
      </c>
      <c r="C1705" t="s">
        <v>11</v>
      </c>
      <c r="D1705" t="s">
        <v>12</v>
      </c>
      <c r="E1705" t="s">
        <v>391</v>
      </c>
      <c r="H1705" t="s">
        <v>392</v>
      </c>
      <c r="I1705" t="s">
        <v>397</v>
      </c>
      <c r="L1705" t="s">
        <v>394</v>
      </c>
      <c r="M1705" t="s">
        <v>2091</v>
      </c>
    </row>
    <row r="1706" spans="1:13" x14ac:dyDescent="0.3">
      <c r="A1706" t="s">
        <v>2070</v>
      </c>
      <c r="B1706" t="s">
        <v>2071</v>
      </c>
      <c r="C1706" t="s">
        <v>11</v>
      </c>
      <c r="D1706" t="s">
        <v>12</v>
      </c>
      <c r="E1706" t="s">
        <v>391</v>
      </c>
      <c r="H1706" t="s">
        <v>392</v>
      </c>
      <c r="I1706" t="s">
        <v>2100</v>
      </c>
      <c r="L1706" t="s">
        <v>394</v>
      </c>
      <c r="M1706" t="s">
        <v>2091</v>
      </c>
    </row>
    <row r="1707" spans="1:13" x14ac:dyDescent="0.3">
      <c r="A1707" t="s">
        <v>2054</v>
      </c>
      <c r="B1707" t="s">
        <v>399</v>
      </c>
      <c r="C1707" t="s">
        <v>308</v>
      </c>
      <c r="D1707" t="s">
        <v>2098</v>
      </c>
      <c r="E1707" t="s">
        <v>390</v>
      </c>
      <c r="H1707" t="s">
        <v>25</v>
      </c>
      <c r="I1707" t="s">
        <v>2101</v>
      </c>
      <c r="L1707" t="s">
        <v>312</v>
      </c>
      <c r="M1707" t="s">
        <v>411</v>
      </c>
    </row>
    <row r="1708" spans="1:13" x14ac:dyDescent="0.3">
      <c r="A1708" t="s">
        <v>2054</v>
      </c>
      <c r="B1708" t="s">
        <v>399</v>
      </c>
      <c r="C1708" t="s">
        <v>308</v>
      </c>
      <c r="D1708" t="s">
        <v>2099</v>
      </c>
      <c r="E1708" t="s">
        <v>396</v>
      </c>
      <c r="H1708" t="s">
        <v>25</v>
      </c>
      <c r="I1708" t="s">
        <v>2102</v>
      </c>
      <c r="L1708" t="s">
        <v>312</v>
      </c>
      <c r="M1708" t="s">
        <v>413</v>
      </c>
    </row>
    <row r="1709" spans="1:13" x14ac:dyDescent="0.3">
      <c r="A1709" t="s">
        <v>2103</v>
      </c>
      <c r="B1709" t="s">
        <v>501</v>
      </c>
      <c r="C1709" t="s">
        <v>11</v>
      </c>
      <c r="D1709" t="s">
        <v>12</v>
      </c>
      <c r="E1709" t="s">
        <v>391</v>
      </c>
      <c r="H1709" t="s">
        <v>392</v>
      </c>
      <c r="I1709" t="s">
        <v>2104</v>
      </c>
      <c r="L1709" t="s">
        <v>394</v>
      </c>
      <c r="M1709" t="s">
        <v>2091</v>
      </c>
    </row>
    <row r="1710" spans="1:13" x14ac:dyDescent="0.3">
      <c r="A1710" t="s">
        <v>2105</v>
      </c>
      <c r="B1710" t="s">
        <v>498</v>
      </c>
      <c r="C1710" t="s">
        <v>11</v>
      </c>
      <c r="D1710" t="s">
        <v>12</v>
      </c>
      <c r="E1710" t="s">
        <v>391</v>
      </c>
      <c r="H1710" t="s">
        <v>392</v>
      </c>
      <c r="I1710" t="s">
        <v>2106</v>
      </c>
      <c r="L1710" t="s">
        <v>394</v>
      </c>
      <c r="M1710" t="s">
        <v>2091</v>
      </c>
    </row>
    <row r="1711" spans="1:13" x14ac:dyDescent="0.3">
      <c r="A1711" t="s">
        <v>2056</v>
      </c>
      <c r="B1711" t="s">
        <v>488</v>
      </c>
      <c r="C1711" t="s">
        <v>308</v>
      </c>
      <c r="D1711" t="s">
        <v>2103</v>
      </c>
      <c r="E1711" t="s">
        <v>501</v>
      </c>
      <c r="H1711" t="s">
        <v>25</v>
      </c>
      <c r="I1711" t="s">
        <v>2107</v>
      </c>
      <c r="L1711" t="s">
        <v>312</v>
      </c>
      <c r="M1711" t="s">
        <v>2108</v>
      </c>
    </row>
    <row r="1712" spans="1:13" x14ac:dyDescent="0.3">
      <c r="A1712" t="s">
        <v>2056</v>
      </c>
      <c r="B1712" t="s">
        <v>488</v>
      </c>
      <c r="C1712" t="s">
        <v>308</v>
      </c>
      <c r="D1712" t="s">
        <v>2105</v>
      </c>
      <c r="E1712" t="s">
        <v>498</v>
      </c>
      <c r="H1712" t="s">
        <v>25</v>
      </c>
      <c r="I1712" t="s">
        <v>2109</v>
      </c>
      <c r="L1712" t="s">
        <v>312</v>
      </c>
      <c r="M1712" t="s">
        <v>385</v>
      </c>
    </row>
    <row r="1713" spans="1:13" x14ac:dyDescent="0.3">
      <c r="A1713" t="s">
        <v>2073</v>
      </c>
      <c r="B1713" t="s">
        <v>2074</v>
      </c>
      <c r="C1713" t="s">
        <v>11</v>
      </c>
      <c r="D1713" t="s">
        <v>12</v>
      </c>
      <c r="E1713" t="s">
        <v>391</v>
      </c>
      <c r="H1713" t="s">
        <v>392</v>
      </c>
      <c r="I1713" t="s">
        <v>2110</v>
      </c>
      <c r="L1713" t="s">
        <v>394</v>
      </c>
      <c r="M1713" t="s">
        <v>2091</v>
      </c>
    </row>
    <row r="1714" spans="1:13" x14ac:dyDescent="0.3">
      <c r="A1714" t="s">
        <v>2092</v>
      </c>
      <c r="B1714" t="s">
        <v>341</v>
      </c>
      <c r="C1714" t="s">
        <v>11</v>
      </c>
      <c r="D1714" t="s">
        <v>12</v>
      </c>
      <c r="E1714" t="s">
        <v>391</v>
      </c>
      <c r="H1714" t="s">
        <v>392</v>
      </c>
      <c r="I1714" t="s">
        <v>2111</v>
      </c>
      <c r="L1714" t="s">
        <v>394</v>
      </c>
      <c r="M1714" t="s">
        <v>2091</v>
      </c>
    </row>
    <row r="1715" spans="1:13" x14ac:dyDescent="0.3">
      <c r="A1715" t="s">
        <v>2066</v>
      </c>
      <c r="B1715" t="s">
        <v>348</v>
      </c>
      <c r="C1715" t="s">
        <v>11</v>
      </c>
      <c r="D1715" t="s">
        <v>12</v>
      </c>
      <c r="E1715" t="s">
        <v>391</v>
      </c>
      <c r="H1715" t="s">
        <v>392</v>
      </c>
      <c r="I1715" t="s">
        <v>2112</v>
      </c>
      <c r="L1715" t="s">
        <v>394</v>
      </c>
      <c r="M1715" t="s">
        <v>2091</v>
      </c>
    </row>
    <row r="1716" spans="1:13" x14ac:dyDescent="0.3">
      <c r="A1716" t="s">
        <v>2067</v>
      </c>
      <c r="B1716" t="s">
        <v>2068</v>
      </c>
      <c r="C1716" t="s">
        <v>11</v>
      </c>
      <c r="D1716" t="s">
        <v>12</v>
      </c>
      <c r="E1716" t="s">
        <v>391</v>
      </c>
      <c r="H1716" t="s">
        <v>392</v>
      </c>
      <c r="I1716" t="s">
        <v>2113</v>
      </c>
      <c r="L1716" t="s">
        <v>394</v>
      </c>
      <c r="M1716" t="s">
        <v>2091</v>
      </c>
    </row>
    <row r="1717" spans="1:13" x14ac:dyDescent="0.3">
      <c r="A1717" t="s">
        <v>2059</v>
      </c>
      <c r="B1717" t="s">
        <v>2060</v>
      </c>
      <c r="C1717" t="s">
        <v>11</v>
      </c>
      <c r="D1717" t="s">
        <v>12</v>
      </c>
      <c r="E1717" t="s">
        <v>391</v>
      </c>
      <c r="H1717" t="s">
        <v>392</v>
      </c>
      <c r="I1717" t="s">
        <v>2114</v>
      </c>
      <c r="L1717" t="s">
        <v>394</v>
      </c>
      <c r="M1717" t="s">
        <v>2091</v>
      </c>
    </row>
    <row r="1718" spans="1:13" x14ac:dyDescent="0.3">
      <c r="A1718" t="s">
        <v>2058</v>
      </c>
      <c r="B1718" t="s">
        <v>303</v>
      </c>
      <c r="C1718" t="s">
        <v>280</v>
      </c>
      <c r="D1718" t="s">
        <v>2115</v>
      </c>
      <c r="E1718" t="s">
        <v>478</v>
      </c>
      <c r="H1718" t="s">
        <v>25</v>
      </c>
      <c r="I1718" t="s">
        <v>515</v>
      </c>
    </row>
    <row r="1719" spans="1:13" x14ac:dyDescent="0.3">
      <c r="A1719" t="s">
        <v>2115</v>
      </c>
      <c r="B1719" t="s">
        <v>478</v>
      </c>
      <c r="C1719" t="s">
        <v>308</v>
      </c>
      <c r="D1719" t="s">
        <v>2116</v>
      </c>
      <c r="E1719" t="s">
        <v>2117</v>
      </c>
      <c r="H1719" t="s">
        <v>25</v>
      </c>
      <c r="I1719" t="s">
        <v>2118</v>
      </c>
      <c r="L1719" t="s">
        <v>312</v>
      </c>
      <c r="M1719" t="s">
        <v>343</v>
      </c>
    </row>
    <row r="1720" spans="1:13" x14ac:dyDescent="0.3">
      <c r="A1720" t="s">
        <v>2115</v>
      </c>
      <c r="B1720" t="s">
        <v>478</v>
      </c>
      <c r="C1720" t="s">
        <v>308</v>
      </c>
      <c r="D1720" t="s">
        <v>2119</v>
      </c>
      <c r="E1720" t="s">
        <v>2120</v>
      </c>
      <c r="H1720" t="s">
        <v>25</v>
      </c>
      <c r="I1720" t="s">
        <v>2121</v>
      </c>
      <c r="L1720" t="s">
        <v>312</v>
      </c>
      <c r="M1720" t="s">
        <v>343</v>
      </c>
    </row>
    <row r="1721" spans="1:13" x14ac:dyDescent="0.3">
      <c r="A1721" t="s">
        <v>2116</v>
      </c>
      <c r="B1721" t="s">
        <v>2117</v>
      </c>
      <c r="C1721" t="s">
        <v>11</v>
      </c>
      <c r="D1721" t="s">
        <v>12</v>
      </c>
      <c r="E1721" t="s">
        <v>391</v>
      </c>
      <c r="H1721" t="s">
        <v>392</v>
      </c>
      <c r="I1721" t="s">
        <v>2122</v>
      </c>
      <c r="L1721" t="s">
        <v>394</v>
      </c>
      <c r="M1721" t="s">
        <v>2091</v>
      </c>
    </row>
    <row r="1722" spans="1:13" x14ac:dyDescent="0.3">
      <c r="A1722" t="s">
        <v>2079</v>
      </c>
      <c r="B1722" t="s">
        <v>2080</v>
      </c>
      <c r="C1722" t="s">
        <v>11</v>
      </c>
      <c r="D1722" t="s">
        <v>12</v>
      </c>
      <c r="E1722" t="s">
        <v>391</v>
      </c>
      <c r="H1722" t="s">
        <v>392</v>
      </c>
      <c r="I1722" t="s">
        <v>2123</v>
      </c>
      <c r="L1722" t="s">
        <v>394</v>
      </c>
      <c r="M1722" t="s">
        <v>2091</v>
      </c>
    </row>
    <row r="1723" spans="1:13" x14ac:dyDescent="0.3">
      <c r="A1723" t="s">
        <v>2119</v>
      </c>
      <c r="B1723" t="s">
        <v>2120</v>
      </c>
      <c r="C1723" t="s">
        <v>11</v>
      </c>
      <c r="D1723" t="s">
        <v>12</v>
      </c>
      <c r="E1723" t="s">
        <v>391</v>
      </c>
      <c r="H1723" t="s">
        <v>392</v>
      </c>
      <c r="I1723" t="s">
        <v>2124</v>
      </c>
      <c r="L1723" t="s">
        <v>394</v>
      </c>
      <c r="M1723" t="s">
        <v>2091</v>
      </c>
    </row>
    <row r="1724" spans="1:13" x14ac:dyDescent="0.3">
      <c r="A1724" t="s">
        <v>2085</v>
      </c>
      <c r="B1724" t="s">
        <v>2086</v>
      </c>
      <c r="C1724" t="s">
        <v>11</v>
      </c>
      <c r="D1724" t="s">
        <v>12</v>
      </c>
      <c r="E1724" t="s">
        <v>391</v>
      </c>
      <c r="H1724" t="s">
        <v>392</v>
      </c>
      <c r="I1724" t="s">
        <v>2125</v>
      </c>
      <c r="L1724" t="s">
        <v>394</v>
      </c>
      <c r="M1724" t="s">
        <v>2091</v>
      </c>
    </row>
    <row r="1725" spans="1:13" x14ac:dyDescent="0.3">
      <c r="A1725" t="s">
        <v>2094</v>
      </c>
      <c r="B1725" t="s">
        <v>2095</v>
      </c>
      <c r="C1725" t="s">
        <v>11</v>
      </c>
      <c r="D1725" t="s">
        <v>12</v>
      </c>
      <c r="E1725" t="s">
        <v>391</v>
      </c>
      <c r="H1725" t="s">
        <v>392</v>
      </c>
      <c r="I1725" t="s">
        <v>2126</v>
      </c>
      <c r="L1725" t="s">
        <v>394</v>
      </c>
      <c r="M1725" t="s">
        <v>2091</v>
      </c>
    </row>
    <row r="1726" spans="1:13" x14ac:dyDescent="0.3">
      <c r="A1726" t="s">
        <v>2064</v>
      </c>
      <c r="B1726" t="s">
        <v>1138</v>
      </c>
      <c r="C1726" t="s">
        <v>11</v>
      </c>
      <c r="D1726" t="s">
        <v>12</v>
      </c>
      <c r="E1726" t="s">
        <v>391</v>
      </c>
      <c r="H1726" t="s">
        <v>392</v>
      </c>
      <c r="I1726" t="s">
        <v>2127</v>
      </c>
      <c r="L1726" t="s">
        <v>394</v>
      </c>
      <c r="M1726" t="s">
        <v>2091</v>
      </c>
    </row>
    <row r="1727" spans="1:13" x14ac:dyDescent="0.3">
      <c r="A1727" t="s">
        <v>2076</v>
      </c>
      <c r="B1727" t="s">
        <v>2077</v>
      </c>
      <c r="C1727" t="s">
        <v>11</v>
      </c>
      <c r="D1727" t="s">
        <v>12</v>
      </c>
      <c r="E1727" t="s">
        <v>391</v>
      </c>
      <c r="H1727" t="s">
        <v>392</v>
      </c>
      <c r="I1727" t="s">
        <v>2128</v>
      </c>
      <c r="L1727" t="s">
        <v>394</v>
      </c>
      <c r="M1727" t="s">
        <v>2091</v>
      </c>
    </row>
    <row r="1728" spans="1:13" x14ac:dyDescent="0.3">
      <c r="A1728" t="s">
        <v>2062</v>
      </c>
      <c r="B1728" t="s">
        <v>2060</v>
      </c>
      <c r="C1728" t="s">
        <v>11</v>
      </c>
      <c r="D1728" t="s">
        <v>12</v>
      </c>
      <c r="E1728" t="s">
        <v>391</v>
      </c>
      <c r="H1728" t="s">
        <v>392</v>
      </c>
      <c r="I1728" t="s">
        <v>2129</v>
      </c>
      <c r="L1728" t="s">
        <v>394</v>
      </c>
      <c r="M1728" t="s">
        <v>2091</v>
      </c>
    </row>
    <row r="1729" spans="1:17" x14ac:dyDescent="0.3">
      <c r="A1729" t="s">
        <v>2130</v>
      </c>
      <c r="B1729" t="s">
        <v>2052</v>
      </c>
      <c r="C1729" t="s">
        <v>280</v>
      </c>
      <c r="D1729" t="s">
        <v>2131</v>
      </c>
      <c r="E1729" t="s">
        <v>282</v>
      </c>
      <c r="H1729" t="s">
        <v>25</v>
      </c>
      <c r="I1729" t="s">
        <v>283</v>
      </c>
    </row>
    <row r="1730" spans="1:17" x14ac:dyDescent="0.3">
      <c r="A1730" t="s">
        <v>2130</v>
      </c>
      <c r="B1730" t="s">
        <v>2052</v>
      </c>
      <c r="C1730" t="s">
        <v>280</v>
      </c>
      <c r="D1730" t="s">
        <v>2132</v>
      </c>
      <c r="E1730" t="s">
        <v>399</v>
      </c>
      <c r="H1730" t="s">
        <v>25</v>
      </c>
      <c r="I1730" t="s">
        <v>2055</v>
      </c>
    </row>
    <row r="1731" spans="1:17" x14ac:dyDescent="0.3">
      <c r="A1731" t="s">
        <v>2130</v>
      </c>
      <c r="B1731" t="s">
        <v>2052</v>
      </c>
      <c r="C1731" t="s">
        <v>280</v>
      </c>
      <c r="D1731" t="s">
        <v>2133</v>
      </c>
      <c r="E1731" t="s">
        <v>488</v>
      </c>
      <c r="H1731" t="s">
        <v>25</v>
      </c>
      <c r="I1731" t="s">
        <v>2057</v>
      </c>
    </row>
    <row r="1732" spans="1:17" x14ac:dyDescent="0.3">
      <c r="A1732" t="s">
        <v>2130</v>
      </c>
      <c r="B1732" t="s">
        <v>2052</v>
      </c>
      <c r="C1732" t="s">
        <v>280</v>
      </c>
      <c r="D1732" t="s">
        <v>2134</v>
      </c>
      <c r="E1732" t="s">
        <v>303</v>
      </c>
      <c r="H1732" t="s">
        <v>25</v>
      </c>
      <c r="I1732" t="s">
        <v>304</v>
      </c>
    </row>
    <row r="1733" spans="1:17" x14ac:dyDescent="0.3">
      <c r="A1733" t="s">
        <v>2130</v>
      </c>
      <c r="B1733" t="s">
        <v>2052</v>
      </c>
      <c r="C1733" t="s">
        <v>308</v>
      </c>
      <c r="D1733" t="s">
        <v>2135</v>
      </c>
      <c r="E1733" t="s">
        <v>2060</v>
      </c>
      <c r="H1733" t="s">
        <v>25</v>
      </c>
      <c r="I1733" t="s">
        <v>2061</v>
      </c>
      <c r="L1733" t="s">
        <v>312</v>
      </c>
      <c r="M1733" t="s">
        <v>1687</v>
      </c>
    </row>
    <row r="1734" spans="1:17" x14ac:dyDescent="0.3">
      <c r="A1734" t="s">
        <v>2130</v>
      </c>
      <c r="B1734" t="s">
        <v>2052</v>
      </c>
      <c r="C1734" t="s">
        <v>308</v>
      </c>
      <c r="D1734" t="s">
        <v>2136</v>
      </c>
      <c r="E1734" t="s">
        <v>2060</v>
      </c>
      <c r="H1734" t="s">
        <v>25</v>
      </c>
      <c r="I1734" t="s">
        <v>2063</v>
      </c>
      <c r="L1734" t="s">
        <v>312</v>
      </c>
      <c r="M1734" t="s">
        <v>1687</v>
      </c>
    </row>
    <row r="1735" spans="1:17" x14ac:dyDescent="0.3">
      <c r="A1735" t="s">
        <v>2130</v>
      </c>
      <c r="B1735" t="s">
        <v>2052</v>
      </c>
      <c r="C1735" t="s">
        <v>308</v>
      </c>
      <c r="D1735" t="s">
        <v>2137</v>
      </c>
      <c r="E1735" t="s">
        <v>1138</v>
      </c>
      <c r="H1735" t="s">
        <v>25</v>
      </c>
      <c r="I1735" t="s">
        <v>2065</v>
      </c>
      <c r="L1735" t="s">
        <v>312</v>
      </c>
      <c r="M1735" t="s">
        <v>317</v>
      </c>
    </row>
    <row r="1736" spans="1:17" x14ac:dyDescent="0.3">
      <c r="A1736" t="s">
        <v>2130</v>
      </c>
      <c r="B1736" t="s">
        <v>2052</v>
      </c>
      <c r="C1736" t="s">
        <v>308</v>
      </c>
      <c r="D1736" t="s">
        <v>2138</v>
      </c>
      <c r="E1736" t="s">
        <v>348</v>
      </c>
      <c r="H1736" t="s">
        <v>25</v>
      </c>
      <c r="I1736" t="s">
        <v>349</v>
      </c>
      <c r="L1736" t="s">
        <v>312</v>
      </c>
      <c r="M1736" t="s">
        <v>317</v>
      </c>
    </row>
    <row r="1737" spans="1:17" x14ac:dyDescent="0.3">
      <c r="A1737" t="s">
        <v>2130</v>
      </c>
      <c r="B1737" t="s">
        <v>2052</v>
      </c>
      <c r="C1737" t="s">
        <v>308</v>
      </c>
      <c r="D1737" t="s">
        <v>2139</v>
      </c>
      <c r="E1737" t="s">
        <v>2068</v>
      </c>
      <c r="H1737" t="s">
        <v>25</v>
      </c>
      <c r="I1737" t="s">
        <v>2069</v>
      </c>
      <c r="L1737" t="s">
        <v>312</v>
      </c>
      <c r="M1737" t="s">
        <v>317</v>
      </c>
    </row>
    <row r="1738" spans="1:17" x14ac:dyDescent="0.3">
      <c r="A1738" t="s">
        <v>2130</v>
      </c>
      <c r="B1738" t="s">
        <v>2052</v>
      </c>
      <c r="C1738" t="s">
        <v>308</v>
      </c>
      <c r="D1738" t="s">
        <v>2140</v>
      </c>
      <c r="E1738" t="s">
        <v>2071</v>
      </c>
      <c r="H1738" t="s">
        <v>25</v>
      </c>
      <c r="I1738" t="s">
        <v>2072</v>
      </c>
      <c r="L1738" t="s">
        <v>312</v>
      </c>
      <c r="M1738" t="s">
        <v>1687</v>
      </c>
    </row>
    <row r="1739" spans="1:17" x14ac:dyDescent="0.3">
      <c r="A1739" t="s">
        <v>2130</v>
      </c>
      <c r="B1739" t="s">
        <v>2052</v>
      </c>
      <c r="C1739" t="s">
        <v>308</v>
      </c>
      <c r="D1739" t="s">
        <v>2141</v>
      </c>
      <c r="E1739" t="s">
        <v>2074</v>
      </c>
      <c r="H1739" t="s">
        <v>25</v>
      </c>
      <c r="I1739" t="s">
        <v>2075</v>
      </c>
      <c r="L1739" t="s">
        <v>312</v>
      </c>
      <c r="M1739" t="s">
        <v>1687</v>
      </c>
    </row>
    <row r="1740" spans="1:17" x14ac:dyDescent="0.3">
      <c r="A1740" t="s">
        <v>2130</v>
      </c>
      <c r="B1740" t="s">
        <v>2052</v>
      </c>
      <c r="C1740" t="s">
        <v>308</v>
      </c>
      <c r="D1740" t="s">
        <v>2142</v>
      </c>
      <c r="E1740" t="s">
        <v>2077</v>
      </c>
      <c r="H1740" t="s">
        <v>25</v>
      </c>
      <c r="I1740" t="s">
        <v>2078</v>
      </c>
      <c r="L1740" t="s">
        <v>312</v>
      </c>
      <c r="M1740" t="s">
        <v>1687</v>
      </c>
    </row>
    <row r="1741" spans="1:17" x14ac:dyDescent="0.3">
      <c r="A1741" t="s">
        <v>2130</v>
      </c>
      <c r="B1741" t="s">
        <v>2052</v>
      </c>
      <c r="C1741" t="s">
        <v>308</v>
      </c>
      <c r="D1741" t="s">
        <v>2143</v>
      </c>
      <c r="E1741" t="s">
        <v>2080</v>
      </c>
      <c r="H1741" t="s">
        <v>25</v>
      </c>
      <c r="I1741" t="s">
        <v>2081</v>
      </c>
      <c r="L1741" t="s">
        <v>312</v>
      </c>
      <c r="M1741" t="s">
        <v>2082</v>
      </c>
      <c r="P1741" t="s">
        <v>2083</v>
      </c>
      <c r="Q1741" t="s">
        <v>2084</v>
      </c>
    </row>
    <row r="1742" spans="1:17" x14ac:dyDescent="0.3">
      <c r="A1742" t="s">
        <v>2130</v>
      </c>
      <c r="B1742" t="s">
        <v>2052</v>
      </c>
      <c r="C1742" t="s">
        <v>308</v>
      </c>
      <c r="D1742" t="s">
        <v>2144</v>
      </c>
      <c r="E1742" t="s">
        <v>2086</v>
      </c>
      <c r="H1742" t="s">
        <v>25</v>
      </c>
      <c r="I1742" t="s">
        <v>2087</v>
      </c>
      <c r="L1742" t="s">
        <v>312</v>
      </c>
      <c r="M1742" t="s">
        <v>2082</v>
      </c>
      <c r="P1742" t="s">
        <v>2083</v>
      </c>
      <c r="Q1742" t="s">
        <v>2084</v>
      </c>
    </row>
    <row r="1743" spans="1:17" x14ac:dyDescent="0.3">
      <c r="A1743" t="s">
        <v>2130</v>
      </c>
      <c r="B1743" t="s">
        <v>2052</v>
      </c>
      <c r="C1743" t="s">
        <v>22</v>
      </c>
      <c r="D1743" t="s">
        <v>23</v>
      </c>
      <c r="E1743" t="s">
        <v>28</v>
      </c>
      <c r="F1743" t="s">
        <v>25</v>
      </c>
      <c r="G1743" t="s">
        <v>2145</v>
      </c>
      <c r="H1743" t="s">
        <v>2089</v>
      </c>
      <c r="I1743" t="s">
        <v>2090</v>
      </c>
    </row>
    <row r="1744" spans="1:17" x14ac:dyDescent="0.3">
      <c r="A1744" t="s">
        <v>2130</v>
      </c>
      <c r="B1744" t="s">
        <v>2052</v>
      </c>
      <c r="C1744" t="s">
        <v>1692</v>
      </c>
      <c r="D1744" t="s">
        <v>1095</v>
      </c>
      <c r="E1744" t="s">
        <v>37</v>
      </c>
    </row>
    <row r="1745" spans="1:13" x14ac:dyDescent="0.3">
      <c r="A1745" t="s">
        <v>2130</v>
      </c>
      <c r="B1745" t="s">
        <v>2052</v>
      </c>
      <c r="C1745" t="s">
        <v>380</v>
      </c>
      <c r="D1745" t="s">
        <v>9</v>
      </c>
      <c r="E1745" t="s">
        <v>10</v>
      </c>
    </row>
    <row r="1746" spans="1:13" x14ac:dyDescent="0.3">
      <c r="A1746" t="s">
        <v>2130</v>
      </c>
      <c r="B1746" t="s">
        <v>2052</v>
      </c>
      <c r="C1746" t="s">
        <v>16</v>
      </c>
      <c r="D1746" t="s">
        <v>1095</v>
      </c>
      <c r="E1746" t="s">
        <v>37</v>
      </c>
    </row>
    <row r="1747" spans="1:13" x14ac:dyDescent="0.3">
      <c r="A1747" t="s">
        <v>2130</v>
      </c>
      <c r="B1747" t="s">
        <v>2052</v>
      </c>
      <c r="C1747" t="s">
        <v>11</v>
      </c>
      <c r="D1747" t="s">
        <v>12</v>
      </c>
      <c r="E1747" t="s">
        <v>13</v>
      </c>
      <c r="H1747" t="s">
        <v>382</v>
      </c>
      <c r="I1747" t="s">
        <v>2146</v>
      </c>
      <c r="L1747" t="s">
        <v>14</v>
      </c>
      <c r="M1747" t="s">
        <v>2146</v>
      </c>
    </row>
    <row r="1748" spans="1:13" x14ac:dyDescent="0.3">
      <c r="A1748" t="s">
        <v>2130</v>
      </c>
      <c r="B1748" t="s">
        <v>2052</v>
      </c>
      <c r="C1748" t="s">
        <v>308</v>
      </c>
      <c r="D1748" t="s">
        <v>2147</v>
      </c>
      <c r="E1748" t="s">
        <v>341</v>
      </c>
      <c r="H1748" t="s">
        <v>25</v>
      </c>
      <c r="I1748" t="s">
        <v>2093</v>
      </c>
      <c r="L1748" t="s">
        <v>312</v>
      </c>
      <c r="M1748" t="s">
        <v>343</v>
      </c>
    </row>
    <row r="1749" spans="1:13" x14ac:dyDescent="0.3">
      <c r="A1749" t="s">
        <v>2130</v>
      </c>
      <c r="B1749" t="s">
        <v>2052</v>
      </c>
      <c r="C1749" t="s">
        <v>308</v>
      </c>
      <c r="D1749" t="s">
        <v>2148</v>
      </c>
      <c r="E1749" t="s">
        <v>2095</v>
      </c>
      <c r="H1749" t="s">
        <v>25</v>
      </c>
      <c r="I1749" t="s">
        <v>2096</v>
      </c>
      <c r="L1749" t="s">
        <v>312</v>
      </c>
      <c r="M1749" t="s">
        <v>343</v>
      </c>
    </row>
    <row r="1750" spans="1:13" x14ac:dyDescent="0.3">
      <c r="A1750" t="s">
        <v>2131</v>
      </c>
      <c r="B1750" t="s">
        <v>282</v>
      </c>
      <c r="C1750" t="s">
        <v>384</v>
      </c>
      <c r="D1750" t="s">
        <v>12</v>
      </c>
      <c r="E1750" t="s">
        <v>12</v>
      </c>
      <c r="H1750" t="s">
        <v>376</v>
      </c>
      <c r="I1750">
        <v>5.01</v>
      </c>
      <c r="L1750" t="s">
        <v>312</v>
      </c>
      <c r="M1750" t="s">
        <v>385</v>
      </c>
    </row>
    <row r="1751" spans="1:13" x14ac:dyDescent="0.3">
      <c r="A1751" t="s">
        <v>2131</v>
      </c>
      <c r="B1751" t="s">
        <v>282</v>
      </c>
      <c r="C1751" t="s">
        <v>280</v>
      </c>
      <c r="D1751" t="s">
        <v>2149</v>
      </c>
      <c r="E1751" t="s">
        <v>387</v>
      </c>
      <c r="H1751" t="s">
        <v>25</v>
      </c>
      <c r="I1751" t="s">
        <v>388</v>
      </c>
    </row>
    <row r="1752" spans="1:13" x14ac:dyDescent="0.3">
      <c r="A1752" t="s">
        <v>2150</v>
      </c>
      <c r="B1752" t="s">
        <v>390</v>
      </c>
      <c r="C1752" t="s">
        <v>11</v>
      </c>
      <c r="D1752" t="s">
        <v>12</v>
      </c>
      <c r="E1752" t="s">
        <v>391</v>
      </c>
      <c r="H1752" t="s">
        <v>392</v>
      </c>
      <c r="I1752" t="s">
        <v>393</v>
      </c>
      <c r="L1752" t="s">
        <v>394</v>
      </c>
      <c r="M1752" t="s">
        <v>2146</v>
      </c>
    </row>
    <row r="1753" spans="1:13" x14ac:dyDescent="0.3">
      <c r="A1753" t="s">
        <v>2151</v>
      </c>
      <c r="B1753" t="s">
        <v>396</v>
      </c>
      <c r="C1753" t="s">
        <v>11</v>
      </c>
      <c r="D1753" t="s">
        <v>12</v>
      </c>
      <c r="E1753" t="s">
        <v>391</v>
      </c>
      <c r="H1753" t="s">
        <v>392</v>
      </c>
      <c r="I1753" t="s">
        <v>397</v>
      </c>
      <c r="L1753" t="s">
        <v>394</v>
      </c>
      <c r="M1753" t="s">
        <v>2146</v>
      </c>
    </row>
    <row r="1754" spans="1:13" x14ac:dyDescent="0.3">
      <c r="A1754" t="s">
        <v>2140</v>
      </c>
      <c r="B1754" t="s">
        <v>2071</v>
      </c>
      <c r="C1754" t="s">
        <v>11</v>
      </c>
      <c r="D1754" t="s">
        <v>12</v>
      </c>
      <c r="E1754" t="s">
        <v>391</v>
      </c>
      <c r="H1754" t="s">
        <v>392</v>
      </c>
      <c r="I1754" t="s">
        <v>2100</v>
      </c>
      <c r="L1754" t="s">
        <v>394</v>
      </c>
      <c r="M1754" t="s">
        <v>2146</v>
      </c>
    </row>
    <row r="1755" spans="1:13" x14ac:dyDescent="0.3">
      <c r="A1755" t="s">
        <v>2132</v>
      </c>
      <c r="B1755" t="s">
        <v>399</v>
      </c>
      <c r="C1755" t="s">
        <v>308</v>
      </c>
      <c r="D1755" t="s">
        <v>2150</v>
      </c>
      <c r="E1755" t="s">
        <v>390</v>
      </c>
      <c r="H1755" t="s">
        <v>25</v>
      </c>
      <c r="I1755" t="s">
        <v>2101</v>
      </c>
      <c r="L1755" t="s">
        <v>312</v>
      </c>
      <c r="M1755" t="s">
        <v>411</v>
      </c>
    </row>
    <row r="1756" spans="1:13" x14ac:dyDescent="0.3">
      <c r="A1756" t="s">
        <v>2132</v>
      </c>
      <c r="B1756" t="s">
        <v>399</v>
      </c>
      <c r="C1756" t="s">
        <v>308</v>
      </c>
      <c r="D1756" t="s">
        <v>2151</v>
      </c>
      <c r="E1756" t="s">
        <v>396</v>
      </c>
      <c r="H1756" t="s">
        <v>25</v>
      </c>
      <c r="I1756" t="s">
        <v>2102</v>
      </c>
      <c r="L1756" t="s">
        <v>312</v>
      </c>
      <c r="M1756" t="s">
        <v>413</v>
      </c>
    </row>
    <row r="1757" spans="1:13" x14ac:dyDescent="0.3">
      <c r="A1757" t="s">
        <v>2152</v>
      </c>
      <c r="B1757" t="s">
        <v>501</v>
      </c>
      <c r="C1757" t="s">
        <v>11</v>
      </c>
      <c r="D1757" t="s">
        <v>12</v>
      </c>
      <c r="E1757" t="s">
        <v>391</v>
      </c>
      <c r="H1757" t="s">
        <v>392</v>
      </c>
      <c r="I1757" t="s">
        <v>2104</v>
      </c>
      <c r="L1757" t="s">
        <v>394</v>
      </c>
      <c r="M1757" t="s">
        <v>2146</v>
      </c>
    </row>
    <row r="1758" spans="1:13" x14ac:dyDescent="0.3">
      <c r="A1758" t="s">
        <v>2153</v>
      </c>
      <c r="B1758" t="s">
        <v>498</v>
      </c>
      <c r="C1758" t="s">
        <v>11</v>
      </c>
      <c r="D1758" t="s">
        <v>12</v>
      </c>
      <c r="E1758" t="s">
        <v>391</v>
      </c>
      <c r="H1758" t="s">
        <v>392</v>
      </c>
      <c r="I1758" t="s">
        <v>2106</v>
      </c>
      <c r="L1758" t="s">
        <v>394</v>
      </c>
      <c r="M1758" t="s">
        <v>2146</v>
      </c>
    </row>
    <row r="1759" spans="1:13" x14ac:dyDescent="0.3">
      <c r="A1759" t="s">
        <v>2133</v>
      </c>
      <c r="B1759" t="s">
        <v>488</v>
      </c>
      <c r="C1759" t="s">
        <v>308</v>
      </c>
      <c r="D1759" t="s">
        <v>2152</v>
      </c>
      <c r="E1759" t="s">
        <v>501</v>
      </c>
      <c r="H1759" t="s">
        <v>25</v>
      </c>
      <c r="I1759" t="s">
        <v>2107</v>
      </c>
      <c r="L1759" t="s">
        <v>312</v>
      </c>
      <c r="M1759" t="s">
        <v>2108</v>
      </c>
    </row>
    <row r="1760" spans="1:13" x14ac:dyDescent="0.3">
      <c r="A1760" t="s">
        <v>2133</v>
      </c>
      <c r="B1760" t="s">
        <v>488</v>
      </c>
      <c r="C1760" t="s">
        <v>308</v>
      </c>
      <c r="D1760" t="s">
        <v>2153</v>
      </c>
      <c r="E1760" t="s">
        <v>498</v>
      </c>
      <c r="H1760" t="s">
        <v>25</v>
      </c>
      <c r="I1760" t="s">
        <v>2109</v>
      </c>
      <c r="L1760" t="s">
        <v>312</v>
      </c>
      <c r="M1760" t="s">
        <v>385</v>
      </c>
    </row>
    <row r="1761" spans="1:13" x14ac:dyDescent="0.3">
      <c r="A1761" t="s">
        <v>2141</v>
      </c>
      <c r="B1761" t="s">
        <v>2074</v>
      </c>
      <c r="C1761" t="s">
        <v>11</v>
      </c>
      <c r="D1761" t="s">
        <v>12</v>
      </c>
      <c r="E1761" t="s">
        <v>391</v>
      </c>
      <c r="H1761" t="s">
        <v>392</v>
      </c>
      <c r="I1761" t="s">
        <v>2110</v>
      </c>
      <c r="L1761" t="s">
        <v>394</v>
      </c>
      <c r="M1761" t="s">
        <v>2146</v>
      </c>
    </row>
    <row r="1762" spans="1:13" x14ac:dyDescent="0.3">
      <c r="A1762" t="s">
        <v>2147</v>
      </c>
      <c r="B1762" t="s">
        <v>341</v>
      </c>
      <c r="C1762" t="s">
        <v>11</v>
      </c>
      <c r="D1762" t="s">
        <v>12</v>
      </c>
      <c r="E1762" t="s">
        <v>391</v>
      </c>
      <c r="H1762" t="s">
        <v>392</v>
      </c>
      <c r="I1762" t="s">
        <v>2154</v>
      </c>
      <c r="L1762" t="s">
        <v>394</v>
      </c>
      <c r="M1762" t="s">
        <v>2146</v>
      </c>
    </row>
    <row r="1763" spans="1:13" x14ac:dyDescent="0.3">
      <c r="A1763" t="s">
        <v>2138</v>
      </c>
      <c r="B1763" t="s">
        <v>348</v>
      </c>
      <c r="C1763" t="s">
        <v>11</v>
      </c>
      <c r="D1763" t="s">
        <v>12</v>
      </c>
      <c r="E1763" t="s">
        <v>391</v>
      </c>
      <c r="H1763" t="s">
        <v>392</v>
      </c>
      <c r="I1763" t="s">
        <v>2155</v>
      </c>
      <c r="L1763" t="s">
        <v>394</v>
      </c>
      <c r="M1763" t="s">
        <v>2146</v>
      </c>
    </row>
    <row r="1764" spans="1:13" x14ac:dyDescent="0.3">
      <c r="A1764" t="s">
        <v>2139</v>
      </c>
      <c r="B1764" t="s">
        <v>2068</v>
      </c>
      <c r="C1764" t="s">
        <v>11</v>
      </c>
      <c r="D1764" t="s">
        <v>12</v>
      </c>
      <c r="E1764" t="s">
        <v>391</v>
      </c>
      <c r="H1764" t="s">
        <v>392</v>
      </c>
      <c r="I1764" t="s">
        <v>2156</v>
      </c>
      <c r="L1764" t="s">
        <v>394</v>
      </c>
      <c r="M1764" t="s">
        <v>2146</v>
      </c>
    </row>
    <row r="1765" spans="1:13" x14ac:dyDescent="0.3">
      <c r="A1765" t="s">
        <v>2135</v>
      </c>
      <c r="B1765" t="s">
        <v>2060</v>
      </c>
      <c r="C1765" t="s">
        <v>11</v>
      </c>
      <c r="D1765" t="s">
        <v>12</v>
      </c>
      <c r="E1765" t="s">
        <v>391</v>
      </c>
      <c r="H1765" t="s">
        <v>392</v>
      </c>
      <c r="I1765" t="s">
        <v>2157</v>
      </c>
      <c r="L1765" t="s">
        <v>394</v>
      </c>
      <c r="M1765" t="s">
        <v>2146</v>
      </c>
    </row>
    <row r="1766" spans="1:13" x14ac:dyDescent="0.3">
      <c r="A1766" t="s">
        <v>2134</v>
      </c>
      <c r="B1766" t="s">
        <v>303</v>
      </c>
      <c r="C1766" t="s">
        <v>280</v>
      </c>
      <c r="D1766" t="s">
        <v>2158</v>
      </c>
      <c r="E1766" t="s">
        <v>478</v>
      </c>
      <c r="H1766" t="s">
        <v>25</v>
      </c>
      <c r="I1766" t="s">
        <v>515</v>
      </c>
    </row>
    <row r="1767" spans="1:13" x14ac:dyDescent="0.3">
      <c r="A1767" t="s">
        <v>2158</v>
      </c>
      <c r="B1767" t="s">
        <v>478</v>
      </c>
      <c r="C1767" t="s">
        <v>308</v>
      </c>
      <c r="D1767" t="s">
        <v>2159</v>
      </c>
      <c r="E1767" t="s">
        <v>2117</v>
      </c>
      <c r="H1767" t="s">
        <v>25</v>
      </c>
      <c r="I1767" t="s">
        <v>2118</v>
      </c>
      <c r="L1767" t="s">
        <v>312</v>
      </c>
      <c r="M1767" t="s">
        <v>343</v>
      </c>
    </row>
    <row r="1768" spans="1:13" x14ac:dyDescent="0.3">
      <c r="A1768" t="s">
        <v>2158</v>
      </c>
      <c r="B1768" t="s">
        <v>478</v>
      </c>
      <c r="C1768" t="s">
        <v>308</v>
      </c>
      <c r="D1768" t="s">
        <v>2160</v>
      </c>
      <c r="E1768" t="s">
        <v>2120</v>
      </c>
      <c r="H1768" t="s">
        <v>25</v>
      </c>
      <c r="I1768" t="s">
        <v>2121</v>
      </c>
      <c r="L1768" t="s">
        <v>312</v>
      </c>
      <c r="M1768" t="s">
        <v>343</v>
      </c>
    </row>
    <row r="1769" spans="1:13" x14ac:dyDescent="0.3">
      <c r="A1769" t="s">
        <v>2159</v>
      </c>
      <c r="B1769" t="s">
        <v>2117</v>
      </c>
      <c r="C1769" t="s">
        <v>11</v>
      </c>
      <c r="D1769" t="s">
        <v>12</v>
      </c>
      <c r="E1769" t="s">
        <v>391</v>
      </c>
      <c r="H1769" t="s">
        <v>392</v>
      </c>
      <c r="I1769" t="s">
        <v>2161</v>
      </c>
      <c r="L1769" t="s">
        <v>394</v>
      </c>
      <c r="M1769" t="s">
        <v>2146</v>
      </c>
    </row>
    <row r="1770" spans="1:13" x14ac:dyDescent="0.3">
      <c r="A1770" t="s">
        <v>2143</v>
      </c>
      <c r="B1770" t="s">
        <v>2080</v>
      </c>
      <c r="C1770" t="s">
        <v>11</v>
      </c>
      <c r="D1770" t="s">
        <v>12</v>
      </c>
      <c r="E1770" t="s">
        <v>391</v>
      </c>
      <c r="H1770" t="s">
        <v>392</v>
      </c>
      <c r="I1770" t="s">
        <v>2123</v>
      </c>
      <c r="L1770" t="s">
        <v>394</v>
      </c>
      <c r="M1770" t="s">
        <v>2146</v>
      </c>
    </row>
    <row r="1771" spans="1:13" x14ac:dyDescent="0.3">
      <c r="A1771" t="s">
        <v>2160</v>
      </c>
      <c r="B1771" t="s">
        <v>2120</v>
      </c>
      <c r="C1771" t="s">
        <v>11</v>
      </c>
      <c r="D1771" t="s">
        <v>12</v>
      </c>
      <c r="E1771" t="s">
        <v>391</v>
      </c>
      <c r="H1771" t="s">
        <v>392</v>
      </c>
      <c r="I1771" t="s">
        <v>2162</v>
      </c>
      <c r="L1771" t="s">
        <v>394</v>
      </c>
      <c r="M1771" t="s">
        <v>2146</v>
      </c>
    </row>
    <row r="1772" spans="1:13" x14ac:dyDescent="0.3">
      <c r="A1772" t="s">
        <v>2144</v>
      </c>
      <c r="B1772" t="s">
        <v>2086</v>
      </c>
      <c r="C1772" t="s">
        <v>11</v>
      </c>
      <c r="D1772" t="s">
        <v>12</v>
      </c>
      <c r="E1772" t="s">
        <v>391</v>
      </c>
      <c r="H1772" t="s">
        <v>392</v>
      </c>
      <c r="I1772" t="s">
        <v>2125</v>
      </c>
      <c r="L1772" t="s">
        <v>394</v>
      </c>
      <c r="M1772" t="s">
        <v>2146</v>
      </c>
    </row>
    <row r="1773" spans="1:13" x14ac:dyDescent="0.3">
      <c r="A1773" t="s">
        <v>2148</v>
      </c>
      <c r="B1773" t="s">
        <v>2095</v>
      </c>
      <c r="C1773" t="s">
        <v>11</v>
      </c>
      <c r="D1773" t="s">
        <v>12</v>
      </c>
      <c r="E1773" t="s">
        <v>391</v>
      </c>
      <c r="H1773" t="s">
        <v>392</v>
      </c>
      <c r="I1773" t="s">
        <v>2163</v>
      </c>
      <c r="L1773" t="s">
        <v>394</v>
      </c>
      <c r="M1773" t="s">
        <v>2146</v>
      </c>
    </row>
    <row r="1774" spans="1:13" x14ac:dyDescent="0.3">
      <c r="A1774" t="s">
        <v>2137</v>
      </c>
      <c r="B1774" t="s">
        <v>1138</v>
      </c>
      <c r="C1774" t="s">
        <v>11</v>
      </c>
      <c r="D1774" t="s">
        <v>12</v>
      </c>
      <c r="E1774" t="s">
        <v>391</v>
      </c>
      <c r="H1774" t="s">
        <v>392</v>
      </c>
      <c r="I1774" t="s">
        <v>2164</v>
      </c>
      <c r="L1774" t="s">
        <v>394</v>
      </c>
      <c r="M1774" t="s">
        <v>2146</v>
      </c>
    </row>
    <row r="1775" spans="1:13" x14ac:dyDescent="0.3">
      <c r="A1775" t="s">
        <v>2142</v>
      </c>
      <c r="B1775" t="s">
        <v>2077</v>
      </c>
      <c r="C1775" t="s">
        <v>11</v>
      </c>
      <c r="D1775" t="s">
        <v>12</v>
      </c>
      <c r="E1775" t="s">
        <v>391</v>
      </c>
      <c r="H1775" t="s">
        <v>392</v>
      </c>
      <c r="I1775" t="s">
        <v>2128</v>
      </c>
      <c r="L1775" t="s">
        <v>394</v>
      </c>
      <c r="M1775" t="s">
        <v>2146</v>
      </c>
    </row>
    <row r="1776" spans="1:13" x14ac:dyDescent="0.3">
      <c r="A1776" t="s">
        <v>2136</v>
      </c>
      <c r="B1776" t="s">
        <v>2060</v>
      </c>
      <c r="C1776" t="s">
        <v>11</v>
      </c>
      <c r="D1776" t="s">
        <v>12</v>
      </c>
      <c r="E1776" t="s">
        <v>391</v>
      </c>
      <c r="H1776" t="s">
        <v>392</v>
      </c>
      <c r="I1776" t="s">
        <v>2165</v>
      </c>
      <c r="L1776" t="s">
        <v>394</v>
      </c>
      <c r="M1776" t="s">
        <v>2146</v>
      </c>
    </row>
    <row r="1777" spans="1:17" x14ac:dyDescent="0.3">
      <c r="A1777" t="s">
        <v>2166</v>
      </c>
      <c r="B1777" t="s">
        <v>2052</v>
      </c>
      <c r="C1777" t="s">
        <v>280</v>
      </c>
      <c r="D1777" t="s">
        <v>2167</v>
      </c>
      <c r="E1777" t="s">
        <v>282</v>
      </c>
      <c r="H1777" t="s">
        <v>25</v>
      </c>
      <c r="I1777" t="s">
        <v>283</v>
      </c>
    </row>
    <row r="1778" spans="1:17" x14ac:dyDescent="0.3">
      <c r="A1778" t="s">
        <v>2166</v>
      </c>
      <c r="B1778" t="s">
        <v>2052</v>
      </c>
      <c r="C1778" t="s">
        <v>280</v>
      </c>
      <c r="D1778" t="s">
        <v>2168</v>
      </c>
      <c r="E1778" t="s">
        <v>399</v>
      </c>
      <c r="H1778" t="s">
        <v>25</v>
      </c>
      <c r="I1778" t="s">
        <v>2055</v>
      </c>
    </row>
    <row r="1779" spans="1:17" x14ac:dyDescent="0.3">
      <c r="A1779" t="s">
        <v>2166</v>
      </c>
      <c r="B1779" t="s">
        <v>2052</v>
      </c>
      <c r="C1779" t="s">
        <v>280</v>
      </c>
      <c r="D1779" t="s">
        <v>2169</v>
      </c>
      <c r="E1779" t="s">
        <v>488</v>
      </c>
      <c r="H1779" t="s">
        <v>25</v>
      </c>
      <c r="I1779" t="s">
        <v>2057</v>
      </c>
    </row>
    <row r="1780" spans="1:17" x14ac:dyDescent="0.3">
      <c r="A1780" t="s">
        <v>2166</v>
      </c>
      <c r="B1780" t="s">
        <v>2052</v>
      </c>
      <c r="C1780" t="s">
        <v>280</v>
      </c>
      <c r="D1780" t="s">
        <v>2170</v>
      </c>
      <c r="E1780" t="s">
        <v>303</v>
      </c>
      <c r="H1780" t="s">
        <v>25</v>
      </c>
      <c r="I1780" t="s">
        <v>304</v>
      </c>
    </row>
    <row r="1781" spans="1:17" x14ac:dyDescent="0.3">
      <c r="A1781" t="s">
        <v>2166</v>
      </c>
      <c r="B1781" t="s">
        <v>2052</v>
      </c>
      <c r="C1781" t="s">
        <v>308</v>
      </c>
      <c r="D1781" t="s">
        <v>2171</v>
      </c>
      <c r="E1781" t="s">
        <v>2060</v>
      </c>
      <c r="H1781" t="s">
        <v>25</v>
      </c>
      <c r="I1781" t="s">
        <v>2061</v>
      </c>
      <c r="L1781" t="s">
        <v>312</v>
      </c>
      <c r="M1781" t="s">
        <v>1687</v>
      </c>
    </row>
    <row r="1782" spans="1:17" x14ac:dyDescent="0.3">
      <c r="A1782" t="s">
        <v>2166</v>
      </c>
      <c r="B1782" t="s">
        <v>2052</v>
      </c>
      <c r="C1782" t="s">
        <v>308</v>
      </c>
      <c r="D1782" t="s">
        <v>2172</v>
      </c>
      <c r="E1782" t="s">
        <v>2060</v>
      </c>
      <c r="H1782" t="s">
        <v>25</v>
      </c>
      <c r="I1782" t="s">
        <v>2063</v>
      </c>
      <c r="L1782" t="s">
        <v>312</v>
      </c>
      <c r="M1782" t="s">
        <v>1687</v>
      </c>
    </row>
    <row r="1783" spans="1:17" x14ac:dyDescent="0.3">
      <c r="A1783" t="s">
        <v>2166</v>
      </c>
      <c r="B1783" t="s">
        <v>2052</v>
      </c>
      <c r="C1783" t="s">
        <v>308</v>
      </c>
      <c r="D1783" t="s">
        <v>2173</v>
      </c>
      <c r="E1783" t="s">
        <v>1138</v>
      </c>
      <c r="H1783" t="s">
        <v>25</v>
      </c>
      <c r="I1783" t="s">
        <v>2065</v>
      </c>
      <c r="L1783" t="s">
        <v>312</v>
      </c>
      <c r="M1783" t="s">
        <v>317</v>
      </c>
    </row>
    <row r="1784" spans="1:17" x14ac:dyDescent="0.3">
      <c r="A1784" t="s">
        <v>2166</v>
      </c>
      <c r="B1784" t="s">
        <v>2052</v>
      </c>
      <c r="C1784" t="s">
        <v>308</v>
      </c>
      <c r="D1784" t="s">
        <v>2174</v>
      </c>
      <c r="E1784" t="s">
        <v>348</v>
      </c>
      <c r="H1784" t="s">
        <v>25</v>
      </c>
      <c r="I1784" t="s">
        <v>349</v>
      </c>
      <c r="L1784" t="s">
        <v>312</v>
      </c>
      <c r="M1784" t="s">
        <v>317</v>
      </c>
    </row>
    <row r="1785" spans="1:17" x14ac:dyDescent="0.3">
      <c r="A1785" t="s">
        <v>2166</v>
      </c>
      <c r="B1785" t="s">
        <v>2052</v>
      </c>
      <c r="C1785" t="s">
        <v>308</v>
      </c>
      <c r="D1785" t="s">
        <v>2175</v>
      </c>
      <c r="E1785" t="s">
        <v>2068</v>
      </c>
      <c r="H1785" t="s">
        <v>25</v>
      </c>
      <c r="I1785" t="s">
        <v>2069</v>
      </c>
      <c r="L1785" t="s">
        <v>312</v>
      </c>
      <c r="M1785" t="s">
        <v>317</v>
      </c>
    </row>
    <row r="1786" spans="1:17" x14ac:dyDescent="0.3">
      <c r="A1786" t="s">
        <v>2166</v>
      </c>
      <c r="B1786" t="s">
        <v>2052</v>
      </c>
      <c r="C1786" t="s">
        <v>308</v>
      </c>
      <c r="D1786" t="s">
        <v>2176</v>
      </c>
      <c r="E1786" t="s">
        <v>2071</v>
      </c>
      <c r="H1786" t="s">
        <v>25</v>
      </c>
      <c r="I1786" t="s">
        <v>2072</v>
      </c>
      <c r="L1786" t="s">
        <v>312</v>
      </c>
      <c r="M1786" t="s">
        <v>1687</v>
      </c>
    </row>
    <row r="1787" spans="1:17" x14ac:dyDescent="0.3">
      <c r="A1787" t="s">
        <v>2166</v>
      </c>
      <c r="B1787" t="s">
        <v>2052</v>
      </c>
      <c r="C1787" t="s">
        <v>308</v>
      </c>
      <c r="D1787" t="s">
        <v>2177</v>
      </c>
      <c r="E1787" t="s">
        <v>2074</v>
      </c>
      <c r="H1787" t="s">
        <v>25</v>
      </c>
      <c r="I1787" t="s">
        <v>2075</v>
      </c>
      <c r="L1787" t="s">
        <v>312</v>
      </c>
      <c r="M1787" t="s">
        <v>1687</v>
      </c>
    </row>
    <row r="1788" spans="1:17" x14ac:dyDescent="0.3">
      <c r="A1788" t="s">
        <v>2166</v>
      </c>
      <c r="B1788" t="s">
        <v>2052</v>
      </c>
      <c r="C1788" t="s">
        <v>308</v>
      </c>
      <c r="D1788" t="s">
        <v>2178</v>
      </c>
      <c r="E1788" t="s">
        <v>2077</v>
      </c>
      <c r="H1788" t="s">
        <v>25</v>
      </c>
      <c r="I1788" t="s">
        <v>2078</v>
      </c>
      <c r="L1788" t="s">
        <v>312</v>
      </c>
      <c r="M1788" t="s">
        <v>1687</v>
      </c>
    </row>
    <row r="1789" spans="1:17" x14ac:dyDescent="0.3">
      <c r="A1789" t="s">
        <v>2166</v>
      </c>
      <c r="B1789" t="s">
        <v>2052</v>
      </c>
      <c r="C1789" t="s">
        <v>308</v>
      </c>
      <c r="D1789" t="s">
        <v>2179</v>
      </c>
      <c r="E1789" t="s">
        <v>2080</v>
      </c>
      <c r="H1789" t="s">
        <v>25</v>
      </c>
      <c r="I1789" t="s">
        <v>2081</v>
      </c>
      <c r="L1789" t="s">
        <v>312</v>
      </c>
      <c r="M1789" t="s">
        <v>2082</v>
      </c>
      <c r="P1789" t="s">
        <v>2083</v>
      </c>
      <c r="Q1789" t="s">
        <v>2084</v>
      </c>
    </row>
    <row r="1790" spans="1:17" x14ac:dyDescent="0.3">
      <c r="A1790" t="s">
        <v>2166</v>
      </c>
      <c r="B1790" t="s">
        <v>2052</v>
      </c>
      <c r="C1790" t="s">
        <v>308</v>
      </c>
      <c r="D1790" t="s">
        <v>2180</v>
      </c>
      <c r="E1790" t="s">
        <v>2086</v>
      </c>
      <c r="H1790" t="s">
        <v>25</v>
      </c>
      <c r="I1790" t="s">
        <v>2087</v>
      </c>
      <c r="L1790" t="s">
        <v>312</v>
      </c>
      <c r="M1790" t="s">
        <v>2082</v>
      </c>
      <c r="P1790" t="s">
        <v>2083</v>
      </c>
      <c r="Q1790" t="s">
        <v>2084</v>
      </c>
    </row>
    <row r="1791" spans="1:17" x14ac:dyDescent="0.3">
      <c r="A1791" t="s">
        <v>2166</v>
      </c>
      <c r="B1791" t="s">
        <v>2052</v>
      </c>
      <c r="C1791" t="s">
        <v>22</v>
      </c>
      <c r="D1791" t="s">
        <v>23</v>
      </c>
      <c r="E1791" t="s">
        <v>28</v>
      </c>
      <c r="F1791" t="s">
        <v>25</v>
      </c>
      <c r="G1791" t="s">
        <v>2181</v>
      </c>
      <c r="H1791" t="s">
        <v>2089</v>
      </c>
      <c r="I1791" t="s">
        <v>2090</v>
      </c>
    </row>
    <row r="1792" spans="1:17" x14ac:dyDescent="0.3">
      <c r="A1792" t="s">
        <v>2166</v>
      </c>
      <c r="B1792" t="s">
        <v>2052</v>
      </c>
      <c r="C1792" t="s">
        <v>1692</v>
      </c>
      <c r="D1792" t="s">
        <v>1119</v>
      </c>
      <c r="E1792" t="s">
        <v>37</v>
      </c>
    </row>
    <row r="1793" spans="1:13" x14ac:dyDescent="0.3">
      <c r="A1793" t="s">
        <v>2166</v>
      </c>
      <c r="B1793" t="s">
        <v>2052</v>
      </c>
      <c r="C1793" t="s">
        <v>380</v>
      </c>
      <c r="D1793" t="s">
        <v>9</v>
      </c>
      <c r="E1793" t="s">
        <v>10</v>
      </c>
    </row>
    <row r="1794" spans="1:13" x14ac:dyDescent="0.3">
      <c r="A1794" t="s">
        <v>2166</v>
      </c>
      <c r="B1794" t="s">
        <v>2052</v>
      </c>
      <c r="C1794" t="s">
        <v>16</v>
      </c>
      <c r="D1794" t="s">
        <v>1119</v>
      </c>
      <c r="E1794" t="s">
        <v>37</v>
      </c>
    </row>
    <row r="1795" spans="1:13" x14ac:dyDescent="0.3">
      <c r="A1795" t="s">
        <v>2166</v>
      </c>
      <c r="B1795" t="s">
        <v>2052</v>
      </c>
      <c r="C1795" t="s">
        <v>11</v>
      </c>
      <c r="D1795" t="s">
        <v>12</v>
      </c>
      <c r="E1795" t="s">
        <v>13</v>
      </c>
      <c r="H1795" t="s">
        <v>382</v>
      </c>
      <c r="I1795" t="s">
        <v>2182</v>
      </c>
      <c r="L1795" t="s">
        <v>14</v>
      </c>
      <c r="M1795" t="s">
        <v>2182</v>
      </c>
    </row>
    <row r="1796" spans="1:13" x14ac:dyDescent="0.3">
      <c r="A1796" t="s">
        <v>2166</v>
      </c>
      <c r="B1796" t="s">
        <v>2052</v>
      </c>
      <c r="C1796" t="s">
        <v>308</v>
      </c>
      <c r="D1796" t="s">
        <v>2183</v>
      </c>
      <c r="E1796" t="s">
        <v>341</v>
      </c>
      <c r="H1796" t="s">
        <v>25</v>
      </c>
      <c r="I1796" t="s">
        <v>2093</v>
      </c>
      <c r="L1796" t="s">
        <v>312</v>
      </c>
      <c r="M1796" t="s">
        <v>343</v>
      </c>
    </row>
    <row r="1797" spans="1:13" x14ac:dyDescent="0.3">
      <c r="A1797" t="s">
        <v>2166</v>
      </c>
      <c r="B1797" t="s">
        <v>2052</v>
      </c>
      <c r="C1797" t="s">
        <v>308</v>
      </c>
      <c r="D1797" t="s">
        <v>2184</v>
      </c>
      <c r="E1797" t="s">
        <v>2095</v>
      </c>
      <c r="H1797" t="s">
        <v>25</v>
      </c>
      <c r="I1797" t="s">
        <v>2096</v>
      </c>
      <c r="L1797" t="s">
        <v>312</v>
      </c>
      <c r="M1797" t="s">
        <v>343</v>
      </c>
    </row>
    <row r="1798" spans="1:13" x14ac:dyDescent="0.3">
      <c r="A1798" t="s">
        <v>2167</v>
      </c>
      <c r="B1798" t="s">
        <v>282</v>
      </c>
      <c r="C1798" t="s">
        <v>384</v>
      </c>
      <c r="D1798" t="s">
        <v>12</v>
      </c>
      <c r="E1798" t="s">
        <v>12</v>
      </c>
      <c r="H1798" t="s">
        <v>376</v>
      </c>
      <c r="I1798">
        <v>2</v>
      </c>
      <c r="L1798" t="s">
        <v>312</v>
      </c>
      <c r="M1798" t="s">
        <v>385</v>
      </c>
    </row>
    <row r="1799" spans="1:13" x14ac:dyDescent="0.3">
      <c r="A1799" t="s">
        <v>2167</v>
      </c>
      <c r="B1799" t="s">
        <v>282</v>
      </c>
      <c r="C1799" t="s">
        <v>280</v>
      </c>
      <c r="D1799" t="s">
        <v>2185</v>
      </c>
      <c r="E1799" t="s">
        <v>387</v>
      </c>
      <c r="H1799" t="s">
        <v>25</v>
      </c>
      <c r="I1799" t="s">
        <v>388</v>
      </c>
    </row>
    <row r="1800" spans="1:13" x14ac:dyDescent="0.3">
      <c r="A1800" t="s">
        <v>2186</v>
      </c>
      <c r="B1800" t="s">
        <v>390</v>
      </c>
      <c r="C1800" t="s">
        <v>11</v>
      </c>
      <c r="D1800" t="s">
        <v>12</v>
      </c>
      <c r="E1800" t="s">
        <v>391</v>
      </c>
      <c r="H1800" t="s">
        <v>392</v>
      </c>
      <c r="I1800" t="s">
        <v>393</v>
      </c>
      <c r="L1800" t="s">
        <v>394</v>
      </c>
      <c r="M1800" t="s">
        <v>2182</v>
      </c>
    </row>
    <row r="1801" spans="1:13" x14ac:dyDescent="0.3">
      <c r="A1801" t="s">
        <v>2187</v>
      </c>
      <c r="B1801" t="s">
        <v>396</v>
      </c>
      <c r="C1801" t="s">
        <v>11</v>
      </c>
      <c r="D1801" t="s">
        <v>12</v>
      </c>
      <c r="E1801" t="s">
        <v>391</v>
      </c>
      <c r="H1801" t="s">
        <v>392</v>
      </c>
      <c r="I1801" t="s">
        <v>397</v>
      </c>
      <c r="L1801" t="s">
        <v>394</v>
      </c>
      <c r="M1801" t="s">
        <v>2182</v>
      </c>
    </row>
    <row r="1802" spans="1:13" x14ac:dyDescent="0.3">
      <c r="A1802" t="s">
        <v>2176</v>
      </c>
      <c r="B1802" t="s">
        <v>2071</v>
      </c>
      <c r="C1802" t="s">
        <v>11</v>
      </c>
      <c r="D1802" t="s">
        <v>12</v>
      </c>
      <c r="E1802" t="s">
        <v>391</v>
      </c>
      <c r="H1802" t="s">
        <v>392</v>
      </c>
      <c r="I1802" t="s">
        <v>2100</v>
      </c>
      <c r="L1802" t="s">
        <v>394</v>
      </c>
      <c r="M1802" t="s">
        <v>2182</v>
      </c>
    </row>
    <row r="1803" spans="1:13" x14ac:dyDescent="0.3">
      <c r="A1803" t="s">
        <v>2168</v>
      </c>
      <c r="B1803" t="s">
        <v>399</v>
      </c>
      <c r="C1803" t="s">
        <v>308</v>
      </c>
      <c r="D1803" t="s">
        <v>2186</v>
      </c>
      <c r="E1803" t="s">
        <v>390</v>
      </c>
      <c r="H1803" t="s">
        <v>25</v>
      </c>
      <c r="I1803" t="s">
        <v>2101</v>
      </c>
      <c r="L1803" t="s">
        <v>312</v>
      </c>
      <c r="M1803" t="s">
        <v>411</v>
      </c>
    </row>
    <row r="1804" spans="1:13" x14ac:dyDescent="0.3">
      <c r="A1804" t="s">
        <v>2168</v>
      </c>
      <c r="B1804" t="s">
        <v>399</v>
      </c>
      <c r="C1804" t="s">
        <v>308</v>
      </c>
      <c r="D1804" t="s">
        <v>2187</v>
      </c>
      <c r="E1804" t="s">
        <v>396</v>
      </c>
      <c r="H1804" t="s">
        <v>25</v>
      </c>
      <c r="I1804" t="s">
        <v>2102</v>
      </c>
      <c r="L1804" t="s">
        <v>312</v>
      </c>
      <c r="M1804" t="s">
        <v>413</v>
      </c>
    </row>
    <row r="1805" spans="1:13" x14ac:dyDescent="0.3">
      <c r="A1805" t="s">
        <v>2188</v>
      </c>
      <c r="B1805" t="s">
        <v>501</v>
      </c>
      <c r="C1805" t="s">
        <v>11</v>
      </c>
      <c r="D1805" t="s">
        <v>12</v>
      </c>
      <c r="E1805" t="s">
        <v>391</v>
      </c>
      <c r="H1805" t="s">
        <v>392</v>
      </c>
      <c r="I1805" t="s">
        <v>2104</v>
      </c>
      <c r="L1805" t="s">
        <v>394</v>
      </c>
      <c r="M1805" t="s">
        <v>2182</v>
      </c>
    </row>
    <row r="1806" spans="1:13" x14ac:dyDescent="0.3">
      <c r="A1806" t="s">
        <v>2189</v>
      </c>
      <c r="B1806" t="s">
        <v>498</v>
      </c>
      <c r="C1806" t="s">
        <v>11</v>
      </c>
      <c r="D1806" t="s">
        <v>12</v>
      </c>
      <c r="E1806" t="s">
        <v>391</v>
      </c>
      <c r="H1806" t="s">
        <v>392</v>
      </c>
      <c r="I1806" t="s">
        <v>2106</v>
      </c>
      <c r="L1806" t="s">
        <v>394</v>
      </c>
      <c r="M1806" t="s">
        <v>2182</v>
      </c>
    </row>
    <row r="1807" spans="1:13" x14ac:dyDescent="0.3">
      <c r="A1807" t="s">
        <v>2169</v>
      </c>
      <c r="B1807" t="s">
        <v>488</v>
      </c>
      <c r="C1807" t="s">
        <v>308</v>
      </c>
      <c r="D1807" t="s">
        <v>2188</v>
      </c>
      <c r="E1807" t="s">
        <v>501</v>
      </c>
      <c r="H1807" t="s">
        <v>25</v>
      </c>
      <c r="I1807" t="s">
        <v>2107</v>
      </c>
      <c r="L1807" t="s">
        <v>312</v>
      </c>
      <c r="M1807" t="s">
        <v>2108</v>
      </c>
    </row>
    <row r="1808" spans="1:13" x14ac:dyDescent="0.3">
      <c r="A1808" t="s">
        <v>2169</v>
      </c>
      <c r="B1808" t="s">
        <v>488</v>
      </c>
      <c r="C1808" t="s">
        <v>308</v>
      </c>
      <c r="D1808" t="s">
        <v>2189</v>
      </c>
      <c r="E1808" t="s">
        <v>498</v>
      </c>
      <c r="H1808" t="s">
        <v>25</v>
      </c>
      <c r="I1808" t="s">
        <v>2109</v>
      </c>
      <c r="L1808" t="s">
        <v>312</v>
      </c>
      <c r="M1808" t="s">
        <v>385</v>
      </c>
    </row>
    <row r="1809" spans="1:13" x14ac:dyDescent="0.3">
      <c r="A1809" t="s">
        <v>2177</v>
      </c>
      <c r="B1809" t="s">
        <v>2074</v>
      </c>
      <c r="C1809" t="s">
        <v>11</v>
      </c>
      <c r="D1809" t="s">
        <v>12</v>
      </c>
      <c r="E1809" t="s">
        <v>391</v>
      </c>
      <c r="H1809" t="s">
        <v>392</v>
      </c>
      <c r="I1809" t="s">
        <v>2110</v>
      </c>
      <c r="L1809" t="s">
        <v>394</v>
      </c>
      <c r="M1809" t="s">
        <v>2182</v>
      </c>
    </row>
    <row r="1810" spans="1:13" x14ac:dyDescent="0.3">
      <c r="A1810" t="s">
        <v>2183</v>
      </c>
      <c r="B1810" t="s">
        <v>341</v>
      </c>
      <c r="C1810" t="s">
        <v>11</v>
      </c>
      <c r="D1810" t="s">
        <v>12</v>
      </c>
      <c r="E1810" t="s">
        <v>391</v>
      </c>
      <c r="H1810" t="s">
        <v>392</v>
      </c>
      <c r="I1810" t="s">
        <v>2190</v>
      </c>
      <c r="L1810" t="s">
        <v>394</v>
      </c>
      <c r="M1810" t="s">
        <v>2182</v>
      </c>
    </row>
    <row r="1811" spans="1:13" x14ac:dyDescent="0.3">
      <c r="A1811" t="s">
        <v>2174</v>
      </c>
      <c r="B1811" t="s">
        <v>348</v>
      </c>
      <c r="C1811" t="s">
        <v>11</v>
      </c>
      <c r="D1811" t="s">
        <v>12</v>
      </c>
      <c r="E1811" t="s">
        <v>391</v>
      </c>
      <c r="H1811" t="s">
        <v>392</v>
      </c>
      <c r="I1811" t="s">
        <v>2191</v>
      </c>
      <c r="L1811" t="s">
        <v>394</v>
      </c>
      <c r="M1811" t="s">
        <v>2182</v>
      </c>
    </row>
    <row r="1812" spans="1:13" x14ac:dyDescent="0.3">
      <c r="A1812" t="s">
        <v>2175</v>
      </c>
      <c r="B1812" t="s">
        <v>2068</v>
      </c>
      <c r="C1812" t="s">
        <v>11</v>
      </c>
      <c r="D1812" t="s">
        <v>12</v>
      </c>
      <c r="E1812" t="s">
        <v>391</v>
      </c>
      <c r="H1812" t="s">
        <v>392</v>
      </c>
      <c r="I1812" t="s">
        <v>2192</v>
      </c>
      <c r="L1812" t="s">
        <v>394</v>
      </c>
      <c r="M1812" t="s">
        <v>2182</v>
      </c>
    </row>
    <row r="1813" spans="1:13" x14ac:dyDescent="0.3">
      <c r="A1813" t="s">
        <v>2171</v>
      </c>
      <c r="B1813" t="s">
        <v>2060</v>
      </c>
      <c r="C1813" t="s">
        <v>11</v>
      </c>
      <c r="D1813" t="s">
        <v>12</v>
      </c>
      <c r="E1813" t="s">
        <v>391</v>
      </c>
      <c r="H1813" t="s">
        <v>392</v>
      </c>
      <c r="I1813" t="s">
        <v>2193</v>
      </c>
      <c r="L1813" t="s">
        <v>394</v>
      </c>
      <c r="M1813" t="s">
        <v>2182</v>
      </c>
    </row>
    <row r="1814" spans="1:13" x14ac:dyDescent="0.3">
      <c r="A1814" t="s">
        <v>2170</v>
      </c>
      <c r="B1814" t="s">
        <v>303</v>
      </c>
      <c r="C1814" t="s">
        <v>280</v>
      </c>
      <c r="D1814" t="s">
        <v>2194</v>
      </c>
      <c r="E1814" t="s">
        <v>478</v>
      </c>
      <c r="H1814" t="s">
        <v>25</v>
      </c>
      <c r="I1814" t="s">
        <v>515</v>
      </c>
    </row>
    <row r="1815" spans="1:13" x14ac:dyDescent="0.3">
      <c r="A1815" t="s">
        <v>2194</v>
      </c>
      <c r="B1815" t="s">
        <v>478</v>
      </c>
      <c r="C1815" t="s">
        <v>308</v>
      </c>
      <c r="D1815" t="s">
        <v>2195</v>
      </c>
      <c r="E1815" t="s">
        <v>2117</v>
      </c>
      <c r="H1815" t="s">
        <v>25</v>
      </c>
      <c r="I1815" t="s">
        <v>2118</v>
      </c>
      <c r="L1815" t="s">
        <v>312</v>
      </c>
      <c r="M1815" t="s">
        <v>343</v>
      </c>
    </row>
    <row r="1816" spans="1:13" x14ac:dyDescent="0.3">
      <c r="A1816" t="s">
        <v>2194</v>
      </c>
      <c r="B1816" t="s">
        <v>478</v>
      </c>
      <c r="C1816" t="s">
        <v>308</v>
      </c>
      <c r="D1816" t="s">
        <v>2196</v>
      </c>
      <c r="E1816" t="s">
        <v>2120</v>
      </c>
      <c r="H1816" t="s">
        <v>25</v>
      </c>
      <c r="I1816" t="s">
        <v>2121</v>
      </c>
      <c r="L1816" t="s">
        <v>312</v>
      </c>
      <c r="M1816" t="s">
        <v>343</v>
      </c>
    </row>
    <row r="1817" spans="1:13" x14ac:dyDescent="0.3">
      <c r="A1817" t="s">
        <v>2195</v>
      </c>
      <c r="B1817" t="s">
        <v>2117</v>
      </c>
      <c r="C1817" t="s">
        <v>11</v>
      </c>
      <c r="D1817" t="s">
        <v>12</v>
      </c>
      <c r="E1817" t="s">
        <v>391</v>
      </c>
      <c r="H1817" t="s">
        <v>392</v>
      </c>
      <c r="I1817" t="s">
        <v>2197</v>
      </c>
      <c r="L1817" t="s">
        <v>394</v>
      </c>
      <c r="M1817" t="s">
        <v>2182</v>
      </c>
    </row>
    <row r="1818" spans="1:13" x14ac:dyDescent="0.3">
      <c r="A1818" t="s">
        <v>2179</v>
      </c>
      <c r="B1818" t="s">
        <v>2080</v>
      </c>
      <c r="C1818" t="s">
        <v>11</v>
      </c>
      <c r="D1818" t="s">
        <v>12</v>
      </c>
      <c r="E1818" t="s">
        <v>391</v>
      </c>
      <c r="H1818" t="s">
        <v>392</v>
      </c>
      <c r="I1818" t="s">
        <v>2123</v>
      </c>
      <c r="L1818" t="s">
        <v>394</v>
      </c>
      <c r="M1818" t="s">
        <v>2182</v>
      </c>
    </row>
    <row r="1819" spans="1:13" x14ac:dyDescent="0.3">
      <c r="A1819" t="s">
        <v>2196</v>
      </c>
      <c r="B1819" t="s">
        <v>2120</v>
      </c>
      <c r="C1819" t="s">
        <v>11</v>
      </c>
      <c r="D1819" t="s">
        <v>12</v>
      </c>
      <c r="E1819" t="s">
        <v>391</v>
      </c>
      <c r="H1819" t="s">
        <v>392</v>
      </c>
      <c r="I1819" t="s">
        <v>2198</v>
      </c>
      <c r="L1819" t="s">
        <v>394</v>
      </c>
      <c r="M1819" t="s">
        <v>2182</v>
      </c>
    </row>
    <row r="1820" spans="1:13" x14ac:dyDescent="0.3">
      <c r="A1820" t="s">
        <v>2180</v>
      </c>
      <c r="B1820" t="s">
        <v>2086</v>
      </c>
      <c r="C1820" t="s">
        <v>11</v>
      </c>
      <c r="D1820" t="s">
        <v>12</v>
      </c>
      <c r="E1820" t="s">
        <v>391</v>
      </c>
      <c r="H1820" t="s">
        <v>392</v>
      </c>
      <c r="I1820" t="s">
        <v>2125</v>
      </c>
      <c r="L1820" t="s">
        <v>394</v>
      </c>
      <c r="M1820" t="s">
        <v>2182</v>
      </c>
    </row>
    <row r="1821" spans="1:13" x14ac:dyDescent="0.3">
      <c r="A1821" t="s">
        <v>2184</v>
      </c>
      <c r="B1821" t="s">
        <v>2095</v>
      </c>
      <c r="C1821" t="s">
        <v>11</v>
      </c>
      <c r="D1821" t="s">
        <v>12</v>
      </c>
      <c r="E1821" t="s">
        <v>391</v>
      </c>
      <c r="H1821" t="s">
        <v>392</v>
      </c>
      <c r="I1821" t="s">
        <v>2199</v>
      </c>
      <c r="L1821" t="s">
        <v>394</v>
      </c>
      <c r="M1821" t="s">
        <v>2182</v>
      </c>
    </row>
    <row r="1822" spans="1:13" x14ac:dyDescent="0.3">
      <c r="A1822" t="s">
        <v>2173</v>
      </c>
      <c r="B1822" t="s">
        <v>1138</v>
      </c>
      <c r="C1822" t="s">
        <v>11</v>
      </c>
      <c r="D1822" t="s">
        <v>12</v>
      </c>
      <c r="E1822" t="s">
        <v>391</v>
      </c>
      <c r="H1822" t="s">
        <v>392</v>
      </c>
      <c r="I1822" t="s">
        <v>2200</v>
      </c>
      <c r="L1822" t="s">
        <v>394</v>
      </c>
      <c r="M1822" t="s">
        <v>2182</v>
      </c>
    </row>
    <row r="1823" spans="1:13" x14ac:dyDescent="0.3">
      <c r="A1823" t="s">
        <v>2178</v>
      </c>
      <c r="B1823" t="s">
        <v>2077</v>
      </c>
      <c r="C1823" t="s">
        <v>11</v>
      </c>
      <c r="D1823" t="s">
        <v>12</v>
      </c>
      <c r="E1823" t="s">
        <v>391</v>
      </c>
      <c r="H1823" t="s">
        <v>392</v>
      </c>
      <c r="I1823" t="s">
        <v>2128</v>
      </c>
      <c r="L1823" t="s">
        <v>394</v>
      </c>
      <c r="M1823" t="s">
        <v>2182</v>
      </c>
    </row>
    <row r="1824" spans="1:13" x14ac:dyDescent="0.3">
      <c r="A1824" t="s">
        <v>2172</v>
      </c>
      <c r="B1824" t="s">
        <v>2060</v>
      </c>
      <c r="C1824" t="s">
        <v>11</v>
      </c>
      <c r="D1824" t="s">
        <v>12</v>
      </c>
      <c r="E1824" t="s">
        <v>391</v>
      </c>
      <c r="H1824" t="s">
        <v>392</v>
      </c>
      <c r="I1824" t="s">
        <v>2201</v>
      </c>
      <c r="L1824" t="s">
        <v>394</v>
      </c>
      <c r="M1824" t="s">
        <v>2182</v>
      </c>
    </row>
    <row r="1825" spans="1:17" x14ac:dyDescent="0.3">
      <c r="A1825" t="s">
        <v>2202</v>
      </c>
      <c r="B1825" t="s">
        <v>2052</v>
      </c>
      <c r="C1825" t="s">
        <v>280</v>
      </c>
      <c r="D1825" t="s">
        <v>2203</v>
      </c>
      <c r="E1825" t="s">
        <v>282</v>
      </c>
      <c r="H1825" t="s">
        <v>25</v>
      </c>
      <c r="I1825" t="s">
        <v>283</v>
      </c>
    </row>
    <row r="1826" spans="1:17" x14ac:dyDescent="0.3">
      <c r="A1826" t="s">
        <v>2202</v>
      </c>
      <c r="B1826" t="s">
        <v>2052</v>
      </c>
      <c r="C1826" t="s">
        <v>280</v>
      </c>
      <c r="D1826" t="s">
        <v>2204</v>
      </c>
      <c r="E1826" t="s">
        <v>399</v>
      </c>
      <c r="H1826" t="s">
        <v>25</v>
      </c>
      <c r="I1826" t="s">
        <v>2055</v>
      </c>
    </row>
    <row r="1827" spans="1:17" x14ac:dyDescent="0.3">
      <c r="A1827" t="s">
        <v>2202</v>
      </c>
      <c r="B1827" t="s">
        <v>2052</v>
      </c>
      <c r="C1827" t="s">
        <v>280</v>
      </c>
      <c r="D1827" t="s">
        <v>2205</v>
      </c>
      <c r="E1827" t="s">
        <v>488</v>
      </c>
      <c r="H1827" t="s">
        <v>25</v>
      </c>
      <c r="I1827" t="s">
        <v>2057</v>
      </c>
    </row>
    <row r="1828" spans="1:17" x14ac:dyDescent="0.3">
      <c r="A1828" t="s">
        <v>2202</v>
      </c>
      <c r="B1828" t="s">
        <v>2052</v>
      </c>
      <c r="C1828" t="s">
        <v>280</v>
      </c>
      <c r="D1828" t="s">
        <v>2206</v>
      </c>
      <c r="E1828" t="s">
        <v>303</v>
      </c>
      <c r="H1828" t="s">
        <v>25</v>
      </c>
      <c r="I1828" t="s">
        <v>304</v>
      </c>
    </row>
    <row r="1829" spans="1:17" x14ac:dyDescent="0.3">
      <c r="A1829" t="s">
        <v>2202</v>
      </c>
      <c r="B1829" t="s">
        <v>2052</v>
      </c>
      <c r="C1829" t="s">
        <v>308</v>
      </c>
      <c r="D1829" t="s">
        <v>2207</v>
      </c>
      <c r="E1829" t="s">
        <v>2060</v>
      </c>
      <c r="H1829" t="s">
        <v>25</v>
      </c>
      <c r="I1829" t="s">
        <v>2061</v>
      </c>
      <c r="L1829" t="s">
        <v>312</v>
      </c>
      <c r="M1829" t="s">
        <v>1687</v>
      </c>
    </row>
    <row r="1830" spans="1:17" x14ac:dyDescent="0.3">
      <c r="A1830" t="s">
        <v>2202</v>
      </c>
      <c r="B1830" t="s">
        <v>2052</v>
      </c>
      <c r="C1830" t="s">
        <v>308</v>
      </c>
      <c r="D1830" t="s">
        <v>2208</v>
      </c>
      <c r="E1830" t="s">
        <v>2060</v>
      </c>
      <c r="H1830" t="s">
        <v>25</v>
      </c>
      <c r="I1830" t="s">
        <v>2063</v>
      </c>
      <c r="L1830" t="s">
        <v>312</v>
      </c>
      <c r="M1830" t="s">
        <v>1687</v>
      </c>
    </row>
    <row r="1831" spans="1:17" x14ac:dyDescent="0.3">
      <c r="A1831" t="s">
        <v>2202</v>
      </c>
      <c r="B1831" t="s">
        <v>2052</v>
      </c>
      <c r="C1831" t="s">
        <v>308</v>
      </c>
      <c r="D1831" t="s">
        <v>2209</v>
      </c>
      <c r="E1831" t="s">
        <v>1138</v>
      </c>
      <c r="H1831" t="s">
        <v>25</v>
      </c>
      <c r="I1831" t="s">
        <v>2065</v>
      </c>
      <c r="L1831" t="s">
        <v>312</v>
      </c>
      <c r="M1831" t="s">
        <v>317</v>
      </c>
    </row>
    <row r="1832" spans="1:17" x14ac:dyDescent="0.3">
      <c r="A1832" t="s">
        <v>2202</v>
      </c>
      <c r="B1832" t="s">
        <v>2052</v>
      </c>
      <c r="C1832" t="s">
        <v>308</v>
      </c>
      <c r="D1832" t="s">
        <v>2210</v>
      </c>
      <c r="E1832" t="s">
        <v>348</v>
      </c>
      <c r="H1832" t="s">
        <v>25</v>
      </c>
      <c r="I1832" t="s">
        <v>349</v>
      </c>
      <c r="L1832" t="s">
        <v>312</v>
      </c>
      <c r="M1832" t="s">
        <v>317</v>
      </c>
    </row>
    <row r="1833" spans="1:17" x14ac:dyDescent="0.3">
      <c r="A1833" t="s">
        <v>2202</v>
      </c>
      <c r="B1833" t="s">
        <v>2052</v>
      </c>
      <c r="C1833" t="s">
        <v>308</v>
      </c>
      <c r="D1833" t="s">
        <v>2211</v>
      </c>
      <c r="E1833" t="s">
        <v>2068</v>
      </c>
      <c r="H1833" t="s">
        <v>25</v>
      </c>
      <c r="I1833" t="s">
        <v>2069</v>
      </c>
      <c r="L1833" t="s">
        <v>312</v>
      </c>
      <c r="M1833" t="s">
        <v>317</v>
      </c>
    </row>
    <row r="1834" spans="1:17" x14ac:dyDescent="0.3">
      <c r="A1834" t="s">
        <v>2202</v>
      </c>
      <c r="B1834" t="s">
        <v>2052</v>
      </c>
      <c r="C1834" t="s">
        <v>308</v>
      </c>
      <c r="D1834" t="s">
        <v>2212</v>
      </c>
      <c r="E1834" t="s">
        <v>2071</v>
      </c>
      <c r="H1834" t="s">
        <v>25</v>
      </c>
      <c r="I1834" t="s">
        <v>2072</v>
      </c>
      <c r="L1834" t="s">
        <v>312</v>
      </c>
      <c r="M1834" t="s">
        <v>1687</v>
      </c>
    </row>
    <row r="1835" spans="1:17" x14ac:dyDescent="0.3">
      <c r="A1835" t="s">
        <v>2202</v>
      </c>
      <c r="B1835" t="s">
        <v>2052</v>
      </c>
      <c r="C1835" t="s">
        <v>308</v>
      </c>
      <c r="D1835" t="s">
        <v>2213</v>
      </c>
      <c r="E1835" t="s">
        <v>2074</v>
      </c>
      <c r="H1835" t="s">
        <v>25</v>
      </c>
      <c r="I1835" t="s">
        <v>2075</v>
      </c>
      <c r="L1835" t="s">
        <v>312</v>
      </c>
      <c r="M1835" t="s">
        <v>1687</v>
      </c>
    </row>
    <row r="1836" spans="1:17" x14ac:dyDescent="0.3">
      <c r="A1836" t="s">
        <v>2202</v>
      </c>
      <c r="B1836" t="s">
        <v>2052</v>
      </c>
      <c r="C1836" t="s">
        <v>308</v>
      </c>
      <c r="D1836" t="s">
        <v>2214</v>
      </c>
      <c r="E1836" t="s">
        <v>2077</v>
      </c>
      <c r="H1836" t="s">
        <v>25</v>
      </c>
      <c r="I1836" t="s">
        <v>2078</v>
      </c>
      <c r="L1836" t="s">
        <v>312</v>
      </c>
      <c r="M1836" t="s">
        <v>1687</v>
      </c>
    </row>
    <row r="1837" spans="1:17" x14ac:dyDescent="0.3">
      <c r="A1837" t="s">
        <v>2202</v>
      </c>
      <c r="B1837" t="s">
        <v>2052</v>
      </c>
      <c r="C1837" t="s">
        <v>308</v>
      </c>
      <c r="D1837" t="s">
        <v>2215</v>
      </c>
      <c r="E1837" t="s">
        <v>2080</v>
      </c>
      <c r="H1837" t="s">
        <v>25</v>
      </c>
      <c r="I1837" t="s">
        <v>2081</v>
      </c>
      <c r="L1837" t="s">
        <v>312</v>
      </c>
      <c r="M1837" t="s">
        <v>2082</v>
      </c>
      <c r="P1837" t="s">
        <v>2083</v>
      </c>
      <c r="Q1837" t="s">
        <v>2084</v>
      </c>
    </row>
    <row r="1838" spans="1:17" x14ac:dyDescent="0.3">
      <c r="A1838" t="s">
        <v>2202</v>
      </c>
      <c r="B1838" t="s">
        <v>2052</v>
      </c>
      <c r="C1838" t="s">
        <v>308</v>
      </c>
      <c r="D1838" t="s">
        <v>2216</v>
      </c>
      <c r="E1838" t="s">
        <v>2086</v>
      </c>
      <c r="H1838" t="s">
        <v>25</v>
      </c>
      <c r="I1838" t="s">
        <v>2087</v>
      </c>
      <c r="L1838" t="s">
        <v>312</v>
      </c>
      <c r="M1838" t="s">
        <v>2082</v>
      </c>
      <c r="P1838" t="s">
        <v>2083</v>
      </c>
      <c r="Q1838" t="s">
        <v>2084</v>
      </c>
    </row>
    <row r="1839" spans="1:17" x14ac:dyDescent="0.3">
      <c r="A1839" t="s">
        <v>2202</v>
      </c>
      <c r="B1839" t="s">
        <v>2052</v>
      </c>
      <c r="C1839" t="s">
        <v>22</v>
      </c>
      <c r="D1839" t="s">
        <v>23</v>
      </c>
      <c r="E1839" t="s">
        <v>28</v>
      </c>
      <c r="F1839" t="s">
        <v>25</v>
      </c>
      <c r="G1839" t="s">
        <v>2217</v>
      </c>
      <c r="H1839" t="s">
        <v>2089</v>
      </c>
      <c r="I1839" t="s">
        <v>2090</v>
      </c>
    </row>
    <row r="1840" spans="1:17" x14ac:dyDescent="0.3">
      <c r="A1840" t="s">
        <v>2202</v>
      </c>
      <c r="B1840" t="s">
        <v>2052</v>
      </c>
      <c r="C1840" t="s">
        <v>1692</v>
      </c>
      <c r="D1840" t="s">
        <v>53</v>
      </c>
      <c r="E1840" t="s">
        <v>37</v>
      </c>
    </row>
    <row r="1841" spans="1:13" x14ac:dyDescent="0.3">
      <c r="A1841" t="s">
        <v>2202</v>
      </c>
      <c r="B1841" t="s">
        <v>2052</v>
      </c>
      <c r="C1841" t="s">
        <v>380</v>
      </c>
      <c r="D1841" t="s">
        <v>9</v>
      </c>
      <c r="E1841" t="s">
        <v>10</v>
      </c>
    </row>
    <row r="1842" spans="1:13" x14ac:dyDescent="0.3">
      <c r="A1842" t="s">
        <v>2202</v>
      </c>
      <c r="B1842" t="s">
        <v>2052</v>
      </c>
      <c r="C1842" t="s">
        <v>16</v>
      </c>
      <c r="D1842" t="s">
        <v>53</v>
      </c>
      <c r="E1842" t="s">
        <v>37</v>
      </c>
    </row>
    <row r="1843" spans="1:13" x14ac:dyDescent="0.3">
      <c r="A1843" t="s">
        <v>2202</v>
      </c>
      <c r="B1843" t="s">
        <v>2052</v>
      </c>
      <c r="C1843" t="s">
        <v>11</v>
      </c>
      <c r="D1843" t="s">
        <v>12</v>
      </c>
      <c r="E1843" t="s">
        <v>13</v>
      </c>
      <c r="H1843" t="s">
        <v>382</v>
      </c>
      <c r="I1843" t="s">
        <v>2218</v>
      </c>
      <c r="L1843" t="s">
        <v>14</v>
      </c>
      <c r="M1843" t="s">
        <v>2218</v>
      </c>
    </row>
    <row r="1844" spans="1:13" x14ac:dyDescent="0.3">
      <c r="A1844" t="s">
        <v>2202</v>
      </c>
      <c r="B1844" t="s">
        <v>2052</v>
      </c>
      <c r="C1844" t="s">
        <v>308</v>
      </c>
      <c r="D1844" t="s">
        <v>2219</v>
      </c>
      <c r="E1844" t="s">
        <v>341</v>
      </c>
      <c r="H1844" t="s">
        <v>25</v>
      </c>
      <c r="I1844" t="s">
        <v>2093</v>
      </c>
      <c r="L1844" t="s">
        <v>312</v>
      </c>
      <c r="M1844" t="s">
        <v>343</v>
      </c>
    </row>
    <row r="1845" spans="1:13" x14ac:dyDescent="0.3">
      <c r="A1845" t="s">
        <v>2202</v>
      </c>
      <c r="B1845" t="s">
        <v>2052</v>
      </c>
      <c r="C1845" t="s">
        <v>308</v>
      </c>
      <c r="D1845" t="s">
        <v>2220</v>
      </c>
      <c r="E1845" t="s">
        <v>2095</v>
      </c>
      <c r="H1845" t="s">
        <v>25</v>
      </c>
      <c r="I1845" t="s">
        <v>2096</v>
      </c>
      <c r="L1845" t="s">
        <v>312</v>
      </c>
      <c r="M1845" t="s">
        <v>343</v>
      </c>
    </row>
    <row r="1846" spans="1:13" x14ac:dyDescent="0.3">
      <c r="A1846" t="s">
        <v>2203</v>
      </c>
      <c r="B1846" t="s">
        <v>282</v>
      </c>
      <c r="C1846" t="s">
        <v>384</v>
      </c>
      <c r="D1846" t="s">
        <v>12</v>
      </c>
      <c r="E1846" t="s">
        <v>12</v>
      </c>
      <c r="H1846" t="s">
        <v>376</v>
      </c>
      <c r="I1846">
        <v>1.51</v>
      </c>
      <c r="L1846" t="s">
        <v>312</v>
      </c>
      <c r="M1846" t="s">
        <v>385</v>
      </c>
    </row>
    <row r="1847" spans="1:13" x14ac:dyDescent="0.3">
      <c r="A1847" t="s">
        <v>2203</v>
      </c>
      <c r="B1847" t="s">
        <v>282</v>
      </c>
      <c r="C1847" t="s">
        <v>280</v>
      </c>
      <c r="D1847" t="s">
        <v>2221</v>
      </c>
      <c r="E1847" t="s">
        <v>387</v>
      </c>
      <c r="H1847" t="s">
        <v>25</v>
      </c>
      <c r="I1847" t="s">
        <v>388</v>
      </c>
    </row>
    <row r="1848" spans="1:13" x14ac:dyDescent="0.3">
      <c r="A1848" t="s">
        <v>2222</v>
      </c>
      <c r="B1848" t="s">
        <v>390</v>
      </c>
      <c r="C1848" t="s">
        <v>11</v>
      </c>
      <c r="D1848" t="s">
        <v>12</v>
      </c>
      <c r="E1848" t="s">
        <v>391</v>
      </c>
      <c r="H1848" t="s">
        <v>392</v>
      </c>
      <c r="I1848" t="s">
        <v>393</v>
      </c>
      <c r="L1848" t="s">
        <v>394</v>
      </c>
      <c r="M1848" t="s">
        <v>2218</v>
      </c>
    </row>
    <row r="1849" spans="1:13" x14ac:dyDescent="0.3">
      <c r="A1849" t="s">
        <v>2223</v>
      </c>
      <c r="B1849" t="s">
        <v>396</v>
      </c>
      <c r="C1849" t="s">
        <v>11</v>
      </c>
      <c r="D1849" t="s">
        <v>12</v>
      </c>
      <c r="E1849" t="s">
        <v>391</v>
      </c>
      <c r="H1849" t="s">
        <v>392</v>
      </c>
      <c r="I1849" t="s">
        <v>397</v>
      </c>
      <c r="L1849" t="s">
        <v>394</v>
      </c>
      <c r="M1849" t="s">
        <v>2218</v>
      </c>
    </row>
    <row r="1850" spans="1:13" x14ac:dyDescent="0.3">
      <c r="A1850" t="s">
        <v>2212</v>
      </c>
      <c r="B1850" t="s">
        <v>2071</v>
      </c>
      <c r="C1850" t="s">
        <v>11</v>
      </c>
      <c r="D1850" t="s">
        <v>12</v>
      </c>
      <c r="E1850" t="s">
        <v>391</v>
      </c>
      <c r="H1850" t="s">
        <v>392</v>
      </c>
      <c r="I1850" t="s">
        <v>2100</v>
      </c>
      <c r="L1850" t="s">
        <v>394</v>
      </c>
      <c r="M1850" t="s">
        <v>2218</v>
      </c>
    </row>
    <row r="1851" spans="1:13" x14ac:dyDescent="0.3">
      <c r="A1851" t="s">
        <v>2204</v>
      </c>
      <c r="B1851" t="s">
        <v>399</v>
      </c>
      <c r="C1851" t="s">
        <v>308</v>
      </c>
      <c r="D1851" t="s">
        <v>2222</v>
      </c>
      <c r="E1851" t="s">
        <v>390</v>
      </c>
      <c r="H1851" t="s">
        <v>25</v>
      </c>
      <c r="I1851" t="s">
        <v>2101</v>
      </c>
      <c r="L1851" t="s">
        <v>312</v>
      </c>
      <c r="M1851" t="s">
        <v>411</v>
      </c>
    </row>
    <row r="1852" spans="1:13" x14ac:dyDescent="0.3">
      <c r="A1852" t="s">
        <v>2204</v>
      </c>
      <c r="B1852" t="s">
        <v>399</v>
      </c>
      <c r="C1852" t="s">
        <v>308</v>
      </c>
      <c r="D1852" t="s">
        <v>2223</v>
      </c>
      <c r="E1852" t="s">
        <v>396</v>
      </c>
      <c r="H1852" t="s">
        <v>25</v>
      </c>
      <c r="I1852" t="s">
        <v>2102</v>
      </c>
      <c r="L1852" t="s">
        <v>312</v>
      </c>
      <c r="M1852" t="s">
        <v>413</v>
      </c>
    </row>
    <row r="1853" spans="1:13" x14ac:dyDescent="0.3">
      <c r="A1853" t="s">
        <v>2224</v>
      </c>
      <c r="B1853" t="s">
        <v>501</v>
      </c>
      <c r="C1853" t="s">
        <v>11</v>
      </c>
      <c r="D1853" t="s">
        <v>12</v>
      </c>
      <c r="E1853" t="s">
        <v>391</v>
      </c>
      <c r="H1853" t="s">
        <v>392</v>
      </c>
      <c r="I1853" t="s">
        <v>2104</v>
      </c>
      <c r="L1853" t="s">
        <v>394</v>
      </c>
      <c r="M1853" t="s">
        <v>2218</v>
      </c>
    </row>
    <row r="1854" spans="1:13" x14ac:dyDescent="0.3">
      <c r="A1854" t="s">
        <v>2225</v>
      </c>
      <c r="B1854" t="s">
        <v>498</v>
      </c>
      <c r="C1854" t="s">
        <v>11</v>
      </c>
      <c r="D1854" t="s">
        <v>12</v>
      </c>
      <c r="E1854" t="s">
        <v>391</v>
      </c>
      <c r="H1854" t="s">
        <v>392</v>
      </c>
      <c r="I1854" t="s">
        <v>2106</v>
      </c>
      <c r="L1854" t="s">
        <v>394</v>
      </c>
      <c r="M1854" t="s">
        <v>2218</v>
      </c>
    </row>
    <row r="1855" spans="1:13" x14ac:dyDescent="0.3">
      <c r="A1855" t="s">
        <v>2205</v>
      </c>
      <c r="B1855" t="s">
        <v>488</v>
      </c>
      <c r="C1855" t="s">
        <v>308</v>
      </c>
      <c r="D1855" t="s">
        <v>2224</v>
      </c>
      <c r="E1855" t="s">
        <v>501</v>
      </c>
      <c r="H1855" t="s">
        <v>25</v>
      </c>
      <c r="I1855" t="s">
        <v>2107</v>
      </c>
      <c r="L1855" t="s">
        <v>312</v>
      </c>
      <c r="M1855" t="s">
        <v>2108</v>
      </c>
    </row>
    <row r="1856" spans="1:13" x14ac:dyDescent="0.3">
      <c r="A1856" t="s">
        <v>2205</v>
      </c>
      <c r="B1856" t="s">
        <v>488</v>
      </c>
      <c r="C1856" t="s">
        <v>308</v>
      </c>
      <c r="D1856" t="s">
        <v>2225</v>
      </c>
      <c r="E1856" t="s">
        <v>498</v>
      </c>
      <c r="H1856" t="s">
        <v>25</v>
      </c>
      <c r="I1856" t="s">
        <v>2109</v>
      </c>
      <c r="L1856" t="s">
        <v>312</v>
      </c>
      <c r="M1856" t="s">
        <v>385</v>
      </c>
    </row>
    <row r="1857" spans="1:13" x14ac:dyDescent="0.3">
      <c r="A1857" t="s">
        <v>2213</v>
      </c>
      <c r="B1857" t="s">
        <v>2074</v>
      </c>
      <c r="C1857" t="s">
        <v>11</v>
      </c>
      <c r="D1857" t="s">
        <v>12</v>
      </c>
      <c r="E1857" t="s">
        <v>391</v>
      </c>
      <c r="H1857" t="s">
        <v>392</v>
      </c>
      <c r="I1857" t="s">
        <v>2110</v>
      </c>
      <c r="L1857" t="s">
        <v>394</v>
      </c>
      <c r="M1857" t="s">
        <v>2218</v>
      </c>
    </row>
    <row r="1858" spans="1:13" x14ac:dyDescent="0.3">
      <c r="A1858" t="s">
        <v>2219</v>
      </c>
      <c r="B1858" t="s">
        <v>341</v>
      </c>
      <c r="C1858" t="s">
        <v>11</v>
      </c>
      <c r="D1858" t="s">
        <v>12</v>
      </c>
      <c r="E1858" t="s">
        <v>391</v>
      </c>
      <c r="H1858" t="s">
        <v>392</v>
      </c>
      <c r="I1858" t="s">
        <v>2226</v>
      </c>
      <c r="L1858" t="s">
        <v>394</v>
      </c>
      <c r="M1858" t="s">
        <v>2218</v>
      </c>
    </row>
    <row r="1859" spans="1:13" x14ac:dyDescent="0.3">
      <c r="A1859" t="s">
        <v>2210</v>
      </c>
      <c r="B1859" t="s">
        <v>348</v>
      </c>
      <c r="C1859" t="s">
        <v>11</v>
      </c>
      <c r="D1859" t="s">
        <v>12</v>
      </c>
      <c r="E1859" t="s">
        <v>391</v>
      </c>
      <c r="H1859" t="s">
        <v>392</v>
      </c>
      <c r="I1859" t="s">
        <v>2227</v>
      </c>
      <c r="L1859" t="s">
        <v>394</v>
      </c>
      <c r="M1859" t="s">
        <v>2218</v>
      </c>
    </row>
    <row r="1860" spans="1:13" x14ac:dyDescent="0.3">
      <c r="A1860" t="s">
        <v>2211</v>
      </c>
      <c r="B1860" t="s">
        <v>2068</v>
      </c>
      <c r="C1860" t="s">
        <v>11</v>
      </c>
      <c r="D1860" t="s">
        <v>12</v>
      </c>
      <c r="E1860" t="s">
        <v>391</v>
      </c>
      <c r="H1860" t="s">
        <v>392</v>
      </c>
      <c r="I1860" t="s">
        <v>2228</v>
      </c>
      <c r="L1860" t="s">
        <v>394</v>
      </c>
      <c r="M1860" t="s">
        <v>2218</v>
      </c>
    </row>
    <row r="1861" spans="1:13" x14ac:dyDescent="0.3">
      <c r="A1861" t="s">
        <v>2207</v>
      </c>
      <c r="B1861" t="s">
        <v>2060</v>
      </c>
      <c r="C1861" t="s">
        <v>11</v>
      </c>
      <c r="D1861" t="s">
        <v>12</v>
      </c>
      <c r="E1861" t="s">
        <v>391</v>
      </c>
      <c r="H1861" t="s">
        <v>392</v>
      </c>
      <c r="I1861" t="s">
        <v>2229</v>
      </c>
      <c r="L1861" t="s">
        <v>394</v>
      </c>
      <c r="M1861" t="s">
        <v>2218</v>
      </c>
    </row>
    <row r="1862" spans="1:13" x14ac:dyDescent="0.3">
      <c r="A1862" t="s">
        <v>2206</v>
      </c>
      <c r="B1862" t="s">
        <v>303</v>
      </c>
      <c r="C1862" t="s">
        <v>280</v>
      </c>
      <c r="D1862" t="s">
        <v>2230</v>
      </c>
      <c r="E1862" t="s">
        <v>478</v>
      </c>
      <c r="H1862" t="s">
        <v>25</v>
      </c>
      <c r="I1862" t="s">
        <v>515</v>
      </c>
    </row>
    <row r="1863" spans="1:13" x14ac:dyDescent="0.3">
      <c r="A1863" t="s">
        <v>2230</v>
      </c>
      <c r="B1863" t="s">
        <v>478</v>
      </c>
      <c r="C1863" t="s">
        <v>308</v>
      </c>
      <c r="D1863" t="s">
        <v>2231</v>
      </c>
      <c r="E1863" t="s">
        <v>2117</v>
      </c>
      <c r="H1863" t="s">
        <v>25</v>
      </c>
      <c r="I1863" t="s">
        <v>2118</v>
      </c>
      <c r="L1863" t="s">
        <v>312</v>
      </c>
      <c r="M1863" t="s">
        <v>343</v>
      </c>
    </row>
    <row r="1864" spans="1:13" x14ac:dyDescent="0.3">
      <c r="A1864" t="s">
        <v>2230</v>
      </c>
      <c r="B1864" t="s">
        <v>478</v>
      </c>
      <c r="C1864" t="s">
        <v>308</v>
      </c>
      <c r="D1864" t="s">
        <v>2232</v>
      </c>
      <c r="E1864" t="s">
        <v>2120</v>
      </c>
      <c r="H1864" t="s">
        <v>25</v>
      </c>
      <c r="I1864" t="s">
        <v>2121</v>
      </c>
      <c r="L1864" t="s">
        <v>312</v>
      </c>
      <c r="M1864" t="s">
        <v>343</v>
      </c>
    </row>
    <row r="1865" spans="1:13" x14ac:dyDescent="0.3">
      <c r="A1865" t="s">
        <v>2231</v>
      </c>
      <c r="B1865" t="s">
        <v>2117</v>
      </c>
      <c r="C1865" t="s">
        <v>11</v>
      </c>
      <c r="D1865" t="s">
        <v>12</v>
      </c>
      <c r="E1865" t="s">
        <v>391</v>
      </c>
      <c r="H1865" t="s">
        <v>392</v>
      </c>
      <c r="I1865" t="s">
        <v>2233</v>
      </c>
      <c r="L1865" t="s">
        <v>394</v>
      </c>
      <c r="M1865" t="s">
        <v>2218</v>
      </c>
    </row>
    <row r="1866" spans="1:13" x14ac:dyDescent="0.3">
      <c r="A1866" t="s">
        <v>2215</v>
      </c>
      <c r="B1866" t="s">
        <v>2080</v>
      </c>
      <c r="C1866" t="s">
        <v>11</v>
      </c>
      <c r="D1866" t="s">
        <v>12</v>
      </c>
      <c r="E1866" t="s">
        <v>391</v>
      </c>
      <c r="H1866" t="s">
        <v>392</v>
      </c>
      <c r="I1866" t="s">
        <v>2123</v>
      </c>
      <c r="L1866" t="s">
        <v>394</v>
      </c>
      <c r="M1866" t="s">
        <v>2218</v>
      </c>
    </row>
    <row r="1867" spans="1:13" x14ac:dyDescent="0.3">
      <c r="A1867" t="s">
        <v>2232</v>
      </c>
      <c r="B1867" t="s">
        <v>2120</v>
      </c>
      <c r="C1867" t="s">
        <v>11</v>
      </c>
      <c r="D1867" t="s">
        <v>12</v>
      </c>
      <c r="E1867" t="s">
        <v>391</v>
      </c>
      <c r="H1867" t="s">
        <v>392</v>
      </c>
      <c r="I1867" t="s">
        <v>2234</v>
      </c>
      <c r="L1867" t="s">
        <v>394</v>
      </c>
      <c r="M1867" t="s">
        <v>2218</v>
      </c>
    </row>
    <row r="1868" spans="1:13" x14ac:dyDescent="0.3">
      <c r="A1868" t="s">
        <v>2216</v>
      </c>
      <c r="B1868" t="s">
        <v>2086</v>
      </c>
      <c r="C1868" t="s">
        <v>11</v>
      </c>
      <c r="D1868" t="s">
        <v>12</v>
      </c>
      <c r="E1868" t="s">
        <v>391</v>
      </c>
      <c r="H1868" t="s">
        <v>392</v>
      </c>
      <c r="I1868" t="s">
        <v>2125</v>
      </c>
      <c r="L1868" t="s">
        <v>394</v>
      </c>
      <c r="M1868" t="s">
        <v>2218</v>
      </c>
    </row>
    <row r="1869" spans="1:13" x14ac:dyDescent="0.3">
      <c r="A1869" t="s">
        <v>2220</v>
      </c>
      <c r="B1869" t="s">
        <v>2095</v>
      </c>
      <c r="C1869" t="s">
        <v>11</v>
      </c>
      <c r="D1869" t="s">
        <v>12</v>
      </c>
      <c r="E1869" t="s">
        <v>391</v>
      </c>
      <c r="H1869" t="s">
        <v>392</v>
      </c>
      <c r="I1869" t="s">
        <v>2235</v>
      </c>
      <c r="L1869" t="s">
        <v>394</v>
      </c>
      <c r="M1869" t="s">
        <v>2218</v>
      </c>
    </row>
    <row r="1870" spans="1:13" x14ac:dyDescent="0.3">
      <c r="A1870" t="s">
        <v>2209</v>
      </c>
      <c r="B1870" t="s">
        <v>1138</v>
      </c>
      <c r="C1870" t="s">
        <v>11</v>
      </c>
      <c r="D1870" t="s">
        <v>12</v>
      </c>
      <c r="E1870" t="s">
        <v>391</v>
      </c>
      <c r="H1870" t="s">
        <v>392</v>
      </c>
      <c r="I1870" t="s">
        <v>2236</v>
      </c>
      <c r="L1870" t="s">
        <v>394</v>
      </c>
      <c r="M1870" t="s">
        <v>2218</v>
      </c>
    </row>
    <row r="1871" spans="1:13" x14ac:dyDescent="0.3">
      <c r="A1871" t="s">
        <v>2214</v>
      </c>
      <c r="B1871" t="s">
        <v>2077</v>
      </c>
      <c r="C1871" t="s">
        <v>11</v>
      </c>
      <c r="D1871" t="s">
        <v>12</v>
      </c>
      <c r="E1871" t="s">
        <v>391</v>
      </c>
      <c r="H1871" t="s">
        <v>392</v>
      </c>
      <c r="I1871" t="s">
        <v>2128</v>
      </c>
      <c r="L1871" t="s">
        <v>394</v>
      </c>
      <c r="M1871" t="s">
        <v>2218</v>
      </c>
    </row>
    <row r="1872" spans="1:13" x14ac:dyDescent="0.3">
      <c r="A1872" t="s">
        <v>2208</v>
      </c>
      <c r="B1872" t="s">
        <v>2060</v>
      </c>
      <c r="C1872" t="s">
        <v>11</v>
      </c>
      <c r="D1872" t="s">
        <v>12</v>
      </c>
      <c r="E1872" t="s">
        <v>391</v>
      </c>
      <c r="H1872" t="s">
        <v>392</v>
      </c>
      <c r="I1872" t="s">
        <v>2237</v>
      </c>
      <c r="L1872" t="s">
        <v>394</v>
      </c>
      <c r="M1872" t="s">
        <v>2218</v>
      </c>
    </row>
    <row r="1873" spans="1:17" x14ac:dyDescent="0.3">
      <c r="A1873" t="s">
        <v>2238</v>
      </c>
      <c r="B1873" t="s">
        <v>2052</v>
      </c>
      <c r="C1873" t="s">
        <v>280</v>
      </c>
      <c r="D1873" t="s">
        <v>2239</v>
      </c>
      <c r="E1873" t="s">
        <v>282</v>
      </c>
      <c r="H1873" t="s">
        <v>25</v>
      </c>
      <c r="I1873" t="s">
        <v>283</v>
      </c>
    </row>
    <row r="1874" spans="1:17" x14ac:dyDescent="0.3">
      <c r="A1874" t="s">
        <v>2238</v>
      </c>
      <c r="B1874" t="s">
        <v>2052</v>
      </c>
      <c r="C1874" t="s">
        <v>280</v>
      </c>
      <c r="D1874" t="s">
        <v>2240</v>
      </c>
      <c r="E1874" t="s">
        <v>399</v>
      </c>
      <c r="H1874" t="s">
        <v>25</v>
      </c>
      <c r="I1874" t="s">
        <v>2055</v>
      </c>
    </row>
    <row r="1875" spans="1:17" x14ac:dyDescent="0.3">
      <c r="A1875" t="s">
        <v>2238</v>
      </c>
      <c r="B1875" t="s">
        <v>2052</v>
      </c>
      <c r="C1875" t="s">
        <v>280</v>
      </c>
      <c r="D1875" t="s">
        <v>2241</v>
      </c>
      <c r="E1875" t="s">
        <v>488</v>
      </c>
      <c r="H1875" t="s">
        <v>25</v>
      </c>
      <c r="I1875" t="s">
        <v>2057</v>
      </c>
    </row>
    <row r="1876" spans="1:17" x14ac:dyDescent="0.3">
      <c r="A1876" t="s">
        <v>2238</v>
      </c>
      <c r="B1876" t="s">
        <v>2052</v>
      </c>
      <c r="C1876" t="s">
        <v>280</v>
      </c>
      <c r="D1876" t="s">
        <v>2242</v>
      </c>
      <c r="E1876" t="s">
        <v>303</v>
      </c>
      <c r="H1876" t="s">
        <v>25</v>
      </c>
      <c r="I1876" t="s">
        <v>304</v>
      </c>
    </row>
    <row r="1877" spans="1:17" x14ac:dyDescent="0.3">
      <c r="A1877" t="s">
        <v>2238</v>
      </c>
      <c r="B1877" t="s">
        <v>2052</v>
      </c>
      <c r="C1877" t="s">
        <v>308</v>
      </c>
      <c r="D1877" t="s">
        <v>2243</v>
      </c>
      <c r="E1877" t="s">
        <v>2060</v>
      </c>
      <c r="H1877" t="s">
        <v>25</v>
      </c>
      <c r="I1877" t="s">
        <v>2061</v>
      </c>
      <c r="L1877" t="s">
        <v>312</v>
      </c>
      <c r="M1877" t="s">
        <v>1687</v>
      </c>
    </row>
    <row r="1878" spans="1:17" x14ac:dyDescent="0.3">
      <c r="A1878" t="s">
        <v>2238</v>
      </c>
      <c r="B1878" t="s">
        <v>2052</v>
      </c>
      <c r="C1878" t="s">
        <v>308</v>
      </c>
      <c r="D1878" t="s">
        <v>2244</v>
      </c>
      <c r="E1878" t="s">
        <v>2060</v>
      </c>
      <c r="H1878" t="s">
        <v>25</v>
      </c>
      <c r="I1878" t="s">
        <v>2063</v>
      </c>
      <c r="L1878" t="s">
        <v>312</v>
      </c>
      <c r="M1878" t="s">
        <v>1687</v>
      </c>
    </row>
    <row r="1879" spans="1:17" x14ac:dyDescent="0.3">
      <c r="A1879" t="s">
        <v>2238</v>
      </c>
      <c r="B1879" t="s">
        <v>2052</v>
      </c>
      <c r="C1879" t="s">
        <v>308</v>
      </c>
      <c r="D1879" t="s">
        <v>2245</v>
      </c>
      <c r="E1879" t="s">
        <v>1138</v>
      </c>
      <c r="H1879" t="s">
        <v>25</v>
      </c>
      <c r="I1879" t="s">
        <v>2065</v>
      </c>
      <c r="L1879" t="s">
        <v>312</v>
      </c>
      <c r="M1879" t="s">
        <v>317</v>
      </c>
    </row>
    <row r="1880" spans="1:17" x14ac:dyDescent="0.3">
      <c r="A1880" t="s">
        <v>2238</v>
      </c>
      <c r="B1880" t="s">
        <v>2052</v>
      </c>
      <c r="C1880" t="s">
        <v>308</v>
      </c>
      <c r="D1880" t="s">
        <v>2246</v>
      </c>
      <c r="E1880" t="s">
        <v>348</v>
      </c>
      <c r="H1880" t="s">
        <v>25</v>
      </c>
      <c r="I1880" t="s">
        <v>349</v>
      </c>
      <c r="L1880" t="s">
        <v>312</v>
      </c>
      <c r="M1880" t="s">
        <v>317</v>
      </c>
    </row>
    <row r="1881" spans="1:17" x14ac:dyDescent="0.3">
      <c r="A1881" t="s">
        <v>2238</v>
      </c>
      <c r="B1881" t="s">
        <v>2052</v>
      </c>
      <c r="C1881" t="s">
        <v>308</v>
      </c>
      <c r="D1881" t="s">
        <v>2247</v>
      </c>
      <c r="E1881" t="s">
        <v>2068</v>
      </c>
      <c r="H1881" t="s">
        <v>25</v>
      </c>
      <c r="I1881" t="s">
        <v>2069</v>
      </c>
      <c r="L1881" t="s">
        <v>312</v>
      </c>
      <c r="M1881" t="s">
        <v>317</v>
      </c>
    </row>
    <row r="1882" spans="1:17" x14ac:dyDescent="0.3">
      <c r="A1882" t="s">
        <v>2238</v>
      </c>
      <c r="B1882" t="s">
        <v>2052</v>
      </c>
      <c r="C1882" t="s">
        <v>308</v>
      </c>
      <c r="D1882" t="s">
        <v>2248</v>
      </c>
      <c r="E1882" t="s">
        <v>2071</v>
      </c>
      <c r="H1882" t="s">
        <v>25</v>
      </c>
      <c r="I1882" t="s">
        <v>2072</v>
      </c>
      <c r="L1882" t="s">
        <v>312</v>
      </c>
      <c r="M1882" t="s">
        <v>1687</v>
      </c>
    </row>
    <row r="1883" spans="1:17" x14ac:dyDescent="0.3">
      <c r="A1883" t="s">
        <v>2238</v>
      </c>
      <c r="B1883" t="s">
        <v>2052</v>
      </c>
      <c r="C1883" t="s">
        <v>308</v>
      </c>
      <c r="D1883" t="s">
        <v>2249</v>
      </c>
      <c r="E1883" t="s">
        <v>2074</v>
      </c>
      <c r="H1883" t="s">
        <v>25</v>
      </c>
      <c r="I1883" t="s">
        <v>2075</v>
      </c>
      <c r="L1883" t="s">
        <v>312</v>
      </c>
      <c r="M1883" t="s">
        <v>1687</v>
      </c>
    </row>
    <row r="1884" spans="1:17" x14ac:dyDescent="0.3">
      <c r="A1884" t="s">
        <v>2238</v>
      </c>
      <c r="B1884" t="s">
        <v>2052</v>
      </c>
      <c r="C1884" t="s">
        <v>308</v>
      </c>
      <c r="D1884" t="s">
        <v>2250</v>
      </c>
      <c r="E1884" t="s">
        <v>2077</v>
      </c>
      <c r="H1884" t="s">
        <v>25</v>
      </c>
      <c r="I1884" t="s">
        <v>2078</v>
      </c>
      <c r="L1884" t="s">
        <v>312</v>
      </c>
      <c r="M1884" t="s">
        <v>1687</v>
      </c>
    </row>
    <row r="1885" spans="1:17" x14ac:dyDescent="0.3">
      <c r="A1885" t="s">
        <v>2238</v>
      </c>
      <c r="B1885" t="s">
        <v>2052</v>
      </c>
      <c r="C1885" t="s">
        <v>308</v>
      </c>
      <c r="D1885" t="s">
        <v>2251</v>
      </c>
      <c r="E1885" t="s">
        <v>2080</v>
      </c>
      <c r="H1885" t="s">
        <v>25</v>
      </c>
      <c r="I1885" t="s">
        <v>2081</v>
      </c>
      <c r="L1885" t="s">
        <v>312</v>
      </c>
      <c r="M1885" t="s">
        <v>2082</v>
      </c>
      <c r="P1885" t="s">
        <v>2083</v>
      </c>
      <c r="Q1885" t="s">
        <v>2084</v>
      </c>
    </row>
    <row r="1886" spans="1:17" x14ac:dyDescent="0.3">
      <c r="A1886" t="s">
        <v>2238</v>
      </c>
      <c r="B1886" t="s">
        <v>2052</v>
      </c>
      <c r="C1886" t="s">
        <v>308</v>
      </c>
      <c r="D1886" t="s">
        <v>2252</v>
      </c>
      <c r="E1886" t="s">
        <v>2086</v>
      </c>
      <c r="H1886" t="s">
        <v>25</v>
      </c>
      <c r="I1886" t="s">
        <v>2087</v>
      </c>
      <c r="L1886" t="s">
        <v>312</v>
      </c>
      <c r="M1886" t="s">
        <v>2082</v>
      </c>
      <c r="P1886" t="s">
        <v>2083</v>
      </c>
      <c r="Q1886" t="s">
        <v>2084</v>
      </c>
    </row>
    <row r="1887" spans="1:17" x14ac:dyDescent="0.3">
      <c r="A1887" t="s">
        <v>2238</v>
      </c>
      <c r="B1887" t="s">
        <v>2052</v>
      </c>
      <c r="C1887" t="s">
        <v>22</v>
      </c>
      <c r="D1887" t="s">
        <v>23</v>
      </c>
      <c r="E1887" t="s">
        <v>28</v>
      </c>
      <c r="F1887" t="s">
        <v>25</v>
      </c>
      <c r="G1887" t="s">
        <v>2253</v>
      </c>
      <c r="H1887" t="s">
        <v>2089</v>
      </c>
      <c r="I1887" t="s">
        <v>2090</v>
      </c>
    </row>
    <row r="1888" spans="1:17" x14ac:dyDescent="0.3">
      <c r="A1888" t="s">
        <v>2238</v>
      </c>
      <c r="B1888" t="s">
        <v>2052</v>
      </c>
      <c r="C1888" t="s">
        <v>1692</v>
      </c>
      <c r="D1888" t="s">
        <v>91</v>
      </c>
      <c r="E1888" t="s">
        <v>37</v>
      </c>
    </row>
    <row r="1889" spans="1:13" x14ac:dyDescent="0.3">
      <c r="A1889" t="s">
        <v>2238</v>
      </c>
      <c r="B1889" t="s">
        <v>2052</v>
      </c>
      <c r="C1889" t="s">
        <v>380</v>
      </c>
      <c r="D1889" t="s">
        <v>9</v>
      </c>
      <c r="E1889" t="s">
        <v>10</v>
      </c>
    </row>
    <row r="1890" spans="1:13" x14ac:dyDescent="0.3">
      <c r="A1890" t="s">
        <v>2238</v>
      </c>
      <c r="B1890" t="s">
        <v>2052</v>
      </c>
      <c r="C1890" t="s">
        <v>16</v>
      </c>
      <c r="D1890" t="s">
        <v>91</v>
      </c>
      <c r="E1890" t="s">
        <v>37</v>
      </c>
    </row>
    <row r="1891" spans="1:13" x14ac:dyDescent="0.3">
      <c r="A1891" t="s">
        <v>2238</v>
      </c>
      <c r="B1891" t="s">
        <v>2052</v>
      </c>
      <c r="C1891" t="s">
        <v>11</v>
      </c>
      <c r="D1891" t="s">
        <v>12</v>
      </c>
      <c r="E1891" t="s">
        <v>13</v>
      </c>
      <c r="H1891" t="s">
        <v>382</v>
      </c>
      <c r="I1891" t="s">
        <v>2254</v>
      </c>
      <c r="L1891" t="s">
        <v>14</v>
      </c>
      <c r="M1891" t="s">
        <v>2254</v>
      </c>
    </row>
    <row r="1892" spans="1:13" x14ac:dyDescent="0.3">
      <c r="A1892" t="s">
        <v>2238</v>
      </c>
      <c r="B1892" t="s">
        <v>2052</v>
      </c>
      <c r="C1892" t="s">
        <v>308</v>
      </c>
      <c r="D1892" t="s">
        <v>2255</v>
      </c>
      <c r="E1892" t="s">
        <v>341</v>
      </c>
      <c r="H1892" t="s">
        <v>25</v>
      </c>
      <c r="I1892" t="s">
        <v>2093</v>
      </c>
      <c r="L1892" t="s">
        <v>312</v>
      </c>
      <c r="M1892" t="s">
        <v>343</v>
      </c>
    </row>
    <row r="1893" spans="1:13" x14ac:dyDescent="0.3">
      <c r="A1893" t="s">
        <v>2238</v>
      </c>
      <c r="B1893" t="s">
        <v>2052</v>
      </c>
      <c r="C1893" t="s">
        <v>308</v>
      </c>
      <c r="D1893" t="s">
        <v>2256</v>
      </c>
      <c r="E1893" t="s">
        <v>2095</v>
      </c>
      <c r="H1893" t="s">
        <v>25</v>
      </c>
      <c r="I1893" t="s">
        <v>2096</v>
      </c>
      <c r="L1893" t="s">
        <v>312</v>
      </c>
      <c r="M1893" t="s">
        <v>343</v>
      </c>
    </row>
    <row r="1894" spans="1:13" x14ac:dyDescent="0.3">
      <c r="A1894" t="s">
        <v>2239</v>
      </c>
      <c r="B1894" t="s">
        <v>282</v>
      </c>
      <c r="C1894" t="s">
        <v>384</v>
      </c>
      <c r="D1894" t="s">
        <v>12</v>
      </c>
      <c r="E1894" t="s">
        <v>12</v>
      </c>
      <c r="H1894" t="s">
        <v>376</v>
      </c>
      <c r="I1894">
        <v>4.21</v>
      </c>
      <c r="L1894" t="s">
        <v>312</v>
      </c>
      <c r="M1894" t="s">
        <v>385</v>
      </c>
    </row>
    <row r="1895" spans="1:13" x14ac:dyDescent="0.3">
      <c r="A1895" t="s">
        <v>2239</v>
      </c>
      <c r="B1895" t="s">
        <v>282</v>
      </c>
      <c r="C1895" t="s">
        <v>280</v>
      </c>
      <c r="D1895" t="s">
        <v>2257</v>
      </c>
      <c r="E1895" t="s">
        <v>387</v>
      </c>
      <c r="H1895" t="s">
        <v>25</v>
      </c>
      <c r="I1895" t="s">
        <v>388</v>
      </c>
    </row>
    <row r="1896" spans="1:13" x14ac:dyDescent="0.3">
      <c r="A1896" t="s">
        <v>2258</v>
      </c>
      <c r="B1896" t="s">
        <v>390</v>
      </c>
      <c r="C1896" t="s">
        <v>11</v>
      </c>
      <c r="D1896" t="s">
        <v>12</v>
      </c>
      <c r="E1896" t="s">
        <v>391</v>
      </c>
      <c r="H1896" t="s">
        <v>392</v>
      </c>
      <c r="I1896" t="s">
        <v>393</v>
      </c>
      <c r="L1896" t="s">
        <v>394</v>
      </c>
      <c r="M1896" t="s">
        <v>2254</v>
      </c>
    </row>
    <row r="1897" spans="1:13" x14ac:dyDescent="0.3">
      <c r="A1897" t="s">
        <v>2259</v>
      </c>
      <c r="B1897" t="s">
        <v>396</v>
      </c>
      <c r="C1897" t="s">
        <v>11</v>
      </c>
      <c r="D1897" t="s">
        <v>12</v>
      </c>
      <c r="E1897" t="s">
        <v>391</v>
      </c>
      <c r="H1897" t="s">
        <v>392</v>
      </c>
      <c r="I1897" t="s">
        <v>397</v>
      </c>
      <c r="L1897" t="s">
        <v>394</v>
      </c>
      <c r="M1897" t="s">
        <v>2254</v>
      </c>
    </row>
    <row r="1898" spans="1:13" x14ac:dyDescent="0.3">
      <c r="A1898" t="s">
        <v>2248</v>
      </c>
      <c r="B1898" t="s">
        <v>2071</v>
      </c>
      <c r="C1898" t="s">
        <v>11</v>
      </c>
      <c r="D1898" t="s">
        <v>12</v>
      </c>
      <c r="E1898" t="s">
        <v>391</v>
      </c>
      <c r="H1898" t="s">
        <v>392</v>
      </c>
      <c r="I1898" t="s">
        <v>2100</v>
      </c>
      <c r="L1898" t="s">
        <v>394</v>
      </c>
      <c r="M1898" t="s">
        <v>2254</v>
      </c>
    </row>
    <row r="1899" spans="1:13" x14ac:dyDescent="0.3">
      <c r="A1899" t="s">
        <v>2240</v>
      </c>
      <c r="B1899" t="s">
        <v>399</v>
      </c>
      <c r="C1899" t="s">
        <v>308</v>
      </c>
      <c r="D1899" t="s">
        <v>2258</v>
      </c>
      <c r="E1899" t="s">
        <v>390</v>
      </c>
      <c r="H1899" t="s">
        <v>25</v>
      </c>
      <c r="I1899" t="s">
        <v>2101</v>
      </c>
      <c r="L1899" t="s">
        <v>312</v>
      </c>
      <c r="M1899" t="s">
        <v>411</v>
      </c>
    </row>
    <row r="1900" spans="1:13" x14ac:dyDescent="0.3">
      <c r="A1900" t="s">
        <v>2240</v>
      </c>
      <c r="B1900" t="s">
        <v>399</v>
      </c>
      <c r="C1900" t="s">
        <v>308</v>
      </c>
      <c r="D1900" t="s">
        <v>2259</v>
      </c>
      <c r="E1900" t="s">
        <v>396</v>
      </c>
      <c r="H1900" t="s">
        <v>25</v>
      </c>
      <c r="I1900" t="s">
        <v>2102</v>
      </c>
      <c r="L1900" t="s">
        <v>312</v>
      </c>
      <c r="M1900" t="s">
        <v>413</v>
      </c>
    </row>
    <row r="1901" spans="1:13" x14ac:dyDescent="0.3">
      <c r="A1901" t="s">
        <v>2260</v>
      </c>
      <c r="B1901" t="s">
        <v>501</v>
      </c>
      <c r="C1901" t="s">
        <v>11</v>
      </c>
      <c r="D1901" t="s">
        <v>12</v>
      </c>
      <c r="E1901" t="s">
        <v>391</v>
      </c>
      <c r="H1901" t="s">
        <v>392</v>
      </c>
      <c r="I1901" t="s">
        <v>2104</v>
      </c>
      <c r="L1901" t="s">
        <v>394</v>
      </c>
      <c r="M1901" t="s">
        <v>2254</v>
      </c>
    </row>
    <row r="1902" spans="1:13" x14ac:dyDescent="0.3">
      <c r="A1902" t="s">
        <v>2261</v>
      </c>
      <c r="B1902" t="s">
        <v>498</v>
      </c>
      <c r="C1902" t="s">
        <v>11</v>
      </c>
      <c r="D1902" t="s">
        <v>12</v>
      </c>
      <c r="E1902" t="s">
        <v>391</v>
      </c>
      <c r="H1902" t="s">
        <v>392</v>
      </c>
      <c r="I1902" t="s">
        <v>2106</v>
      </c>
      <c r="L1902" t="s">
        <v>394</v>
      </c>
      <c r="M1902" t="s">
        <v>2254</v>
      </c>
    </row>
    <row r="1903" spans="1:13" x14ac:dyDescent="0.3">
      <c r="A1903" t="s">
        <v>2241</v>
      </c>
      <c r="B1903" t="s">
        <v>488</v>
      </c>
      <c r="C1903" t="s">
        <v>308</v>
      </c>
      <c r="D1903" t="s">
        <v>2260</v>
      </c>
      <c r="E1903" t="s">
        <v>501</v>
      </c>
      <c r="H1903" t="s">
        <v>25</v>
      </c>
      <c r="I1903" t="s">
        <v>2107</v>
      </c>
      <c r="L1903" t="s">
        <v>312</v>
      </c>
      <c r="M1903" t="s">
        <v>2108</v>
      </c>
    </row>
    <row r="1904" spans="1:13" x14ac:dyDescent="0.3">
      <c r="A1904" t="s">
        <v>2241</v>
      </c>
      <c r="B1904" t="s">
        <v>488</v>
      </c>
      <c r="C1904" t="s">
        <v>308</v>
      </c>
      <c r="D1904" t="s">
        <v>2261</v>
      </c>
      <c r="E1904" t="s">
        <v>498</v>
      </c>
      <c r="H1904" t="s">
        <v>25</v>
      </c>
      <c r="I1904" t="s">
        <v>2109</v>
      </c>
      <c r="L1904" t="s">
        <v>312</v>
      </c>
      <c r="M1904" t="s">
        <v>385</v>
      </c>
    </row>
    <row r="1905" spans="1:13" x14ac:dyDescent="0.3">
      <c r="A1905" t="s">
        <v>2249</v>
      </c>
      <c r="B1905" t="s">
        <v>2074</v>
      </c>
      <c r="C1905" t="s">
        <v>11</v>
      </c>
      <c r="D1905" t="s">
        <v>12</v>
      </c>
      <c r="E1905" t="s">
        <v>391</v>
      </c>
      <c r="H1905" t="s">
        <v>392</v>
      </c>
      <c r="I1905" t="s">
        <v>2110</v>
      </c>
      <c r="L1905" t="s">
        <v>394</v>
      </c>
      <c r="M1905" t="s">
        <v>2254</v>
      </c>
    </row>
    <row r="1906" spans="1:13" x14ac:dyDescent="0.3">
      <c r="A1906" t="s">
        <v>2255</v>
      </c>
      <c r="B1906" t="s">
        <v>341</v>
      </c>
      <c r="C1906" t="s">
        <v>11</v>
      </c>
      <c r="D1906" t="s">
        <v>12</v>
      </c>
      <c r="E1906" t="s">
        <v>391</v>
      </c>
      <c r="H1906" t="s">
        <v>392</v>
      </c>
      <c r="I1906" t="s">
        <v>2262</v>
      </c>
      <c r="L1906" t="s">
        <v>394</v>
      </c>
      <c r="M1906" t="s">
        <v>2254</v>
      </c>
    </row>
    <row r="1907" spans="1:13" x14ac:dyDescent="0.3">
      <c r="A1907" t="s">
        <v>2246</v>
      </c>
      <c r="B1907" t="s">
        <v>348</v>
      </c>
      <c r="C1907" t="s">
        <v>11</v>
      </c>
      <c r="D1907" t="s">
        <v>12</v>
      </c>
      <c r="E1907" t="s">
        <v>391</v>
      </c>
      <c r="H1907" t="s">
        <v>392</v>
      </c>
      <c r="I1907" t="s">
        <v>2263</v>
      </c>
      <c r="L1907" t="s">
        <v>394</v>
      </c>
      <c r="M1907" t="s">
        <v>2254</v>
      </c>
    </row>
    <row r="1908" spans="1:13" x14ac:dyDescent="0.3">
      <c r="A1908" t="s">
        <v>2247</v>
      </c>
      <c r="B1908" t="s">
        <v>2068</v>
      </c>
      <c r="C1908" t="s">
        <v>11</v>
      </c>
      <c r="D1908" t="s">
        <v>12</v>
      </c>
      <c r="E1908" t="s">
        <v>391</v>
      </c>
      <c r="H1908" t="s">
        <v>392</v>
      </c>
      <c r="I1908" t="s">
        <v>2264</v>
      </c>
      <c r="L1908" t="s">
        <v>394</v>
      </c>
      <c r="M1908" t="s">
        <v>2254</v>
      </c>
    </row>
    <row r="1909" spans="1:13" x14ac:dyDescent="0.3">
      <c r="A1909" t="s">
        <v>2243</v>
      </c>
      <c r="B1909" t="s">
        <v>2060</v>
      </c>
      <c r="C1909" t="s">
        <v>11</v>
      </c>
      <c r="D1909" t="s">
        <v>12</v>
      </c>
      <c r="E1909" t="s">
        <v>391</v>
      </c>
      <c r="H1909" t="s">
        <v>392</v>
      </c>
      <c r="I1909" t="s">
        <v>2265</v>
      </c>
      <c r="L1909" t="s">
        <v>394</v>
      </c>
      <c r="M1909" t="s">
        <v>2254</v>
      </c>
    </row>
    <row r="1910" spans="1:13" x14ac:dyDescent="0.3">
      <c r="A1910" t="s">
        <v>2242</v>
      </c>
      <c r="B1910" t="s">
        <v>303</v>
      </c>
      <c r="C1910" t="s">
        <v>280</v>
      </c>
      <c r="D1910" t="s">
        <v>2266</v>
      </c>
      <c r="E1910" t="s">
        <v>478</v>
      </c>
      <c r="H1910" t="s">
        <v>25</v>
      </c>
      <c r="I1910" t="s">
        <v>515</v>
      </c>
    </row>
    <row r="1911" spans="1:13" x14ac:dyDescent="0.3">
      <c r="A1911" t="s">
        <v>2266</v>
      </c>
      <c r="B1911" t="s">
        <v>478</v>
      </c>
      <c r="C1911" t="s">
        <v>308</v>
      </c>
      <c r="D1911" t="s">
        <v>2267</v>
      </c>
      <c r="E1911" t="s">
        <v>2117</v>
      </c>
      <c r="H1911" t="s">
        <v>25</v>
      </c>
      <c r="I1911" t="s">
        <v>2118</v>
      </c>
      <c r="L1911" t="s">
        <v>312</v>
      </c>
      <c r="M1911" t="s">
        <v>343</v>
      </c>
    </row>
    <row r="1912" spans="1:13" x14ac:dyDescent="0.3">
      <c r="A1912" t="s">
        <v>2266</v>
      </c>
      <c r="B1912" t="s">
        <v>478</v>
      </c>
      <c r="C1912" t="s">
        <v>308</v>
      </c>
      <c r="D1912" t="s">
        <v>2268</v>
      </c>
      <c r="E1912" t="s">
        <v>2120</v>
      </c>
      <c r="H1912" t="s">
        <v>25</v>
      </c>
      <c r="I1912" t="s">
        <v>2121</v>
      </c>
      <c r="L1912" t="s">
        <v>312</v>
      </c>
      <c r="M1912" t="s">
        <v>343</v>
      </c>
    </row>
    <row r="1913" spans="1:13" x14ac:dyDescent="0.3">
      <c r="A1913" t="s">
        <v>2267</v>
      </c>
      <c r="B1913" t="s">
        <v>2117</v>
      </c>
      <c r="C1913" t="s">
        <v>11</v>
      </c>
      <c r="D1913" t="s">
        <v>12</v>
      </c>
      <c r="E1913" t="s">
        <v>391</v>
      </c>
      <c r="H1913" t="s">
        <v>392</v>
      </c>
      <c r="I1913" t="s">
        <v>2269</v>
      </c>
      <c r="L1913" t="s">
        <v>394</v>
      </c>
      <c r="M1913" t="s">
        <v>2254</v>
      </c>
    </row>
    <row r="1914" spans="1:13" x14ac:dyDescent="0.3">
      <c r="A1914" t="s">
        <v>2251</v>
      </c>
      <c r="B1914" t="s">
        <v>2080</v>
      </c>
      <c r="C1914" t="s">
        <v>11</v>
      </c>
      <c r="D1914" t="s">
        <v>12</v>
      </c>
      <c r="E1914" t="s">
        <v>391</v>
      </c>
      <c r="H1914" t="s">
        <v>392</v>
      </c>
      <c r="I1914" t="s">
        <v>2123</v>
      </c>
      <c r="L1914" t="s">
        <v>394</v>
      </c>
      <c r="M1914" t="s">
        <v>2254</v>
      </c>
    </row>
    <row r="1915" spans="1:13" x14ac:dyDescent="0.3">
      <c r="A1915" t="s">
        <v>2268</v>
      </c>
      <c r="B1915" t="s">
        <v>2120</v>
      </c>
      <c r="C1915" t="s">
        <v>11</v>
      </c>
      <c r="D1915" t="s">
        <v>12</v>
      </c>
      <c r="E1915" t="s">
        <v>391</v>
      </c>
      <c r="H1915" t="s">
        <v>392</v>
      </c>
      <c r="I1915" t="s">
        <v>2270</v>
      </c>
      <c r="L1915" t="s">
        <v>394</v>
      </c>
      <c r="M1915" t="s">
        <v>2254</v>
      </c>
    </row>
    <row r="1916" spans="1:13" x14ac:dyDescent="0.3">
      <c r="A1916" t="s">
        <v>2252</v>
      </c>
      <c r="B1916" t="s">
        <v>2086</v>
      </c>
      <c r="C1916" t="s">
        <v>11</v>
      </c>
      <c r="D1916" t="s">
        <v>12</v>
      </c>
      <c r="E1916" t="s">
        <v>391</v>
      </c>
      <c r="H1916" t="s">
        <v>392</v>
      </c>
      <c r="I1916" t="s">
        <v>2125</v>
      </c>
      <c r="L1916" t="s">
        <v>394</v>
      </c>
      <c r="M1916" t="s">
        <v>2254</v>
      </c>
    </row>
    <row r="1917" spans="1:13" x14ac:dyDescent="0.3">
      <c r="A1917" t="s">
        <v>2256</v>
      </c>
      <c r="B1917" t="s">
        <v>2095</v>
      </c>
      <c r="C1917" t="s">
        <v>11</v>
      </c>
      <c r="D1917" t="s">
        <v>12</v>
      </c>
      <c r="E1917" t="s">
        <v>391</v>
      </c>
      <c r="H1917" t="s">
        <v>392</v>
      </c>
      <c r="I1917" t="s">
        <v>2271</v>
      </c>
      <c r="L1917" t="s">
        <v>394</v>
      </c>
      <c r="M1917" t="s">
        <v>2254</v>
      </c>
    </row>
    <row r="1918" spans="1:13" x14ac:dyDescent="0.3">
      <c r="A1918" t="s">
        <v>2245</v>
      </c>
      <c r="B1918" t="s">
        <v>1138</v>
      </c>
      <c r="C1918" t="s">
        <v>11</v>
      </c>
      <c r="D1918" t="s">
        <v>12</v>
      </c>
      <c r="E1918" t="s">
        <v>391</v>
      </c>
      <c r="H1918" t="s">
        <v>392</v>
      </c>
      <c r="I1918" t="s">
        <v>2272</v>
      </c>
      <c r="L1918" t="s">
        <v>394</v>
      </c>
      <c r="M1918" t="s">
        <v>2254</v>
      </c>
    </row>
    <row r="1919" spans="1:13" x14ac:dyDescent="0.3">
      <c r="A1919" t="s">
        <v>2250</v>
      </c>
      <c r="B1919" t="s">
        <v>2077</v>
      </c>
      <c r="C1919" t="s">
        <v>11</v>
      </c>
      <c r="D1919" t="s">
        <v>12</v>
      </c>
      <c r="E1919" t="s">
        <v>391</v>
      </c>
      <c r="H1919" t="s">
        <v>392</v>
      </c>
      <c r="I1919" t="s">
        <v>2128</v>
      </c>
      <c r="L1919" t="s">
        <v>394</v>
      </c>
      <c r="M1919" t="s">
        <v>2254</v>
      </c>
    </row>
    <row r="1920" spans="1:13" x14ac:dyDescent="0.3">
      <c r="A1920" t="s">
        <v>2244</v>
      </c>
      <c r="B1920" t="s">
        <v>2060</v>
      </c>
      <c r="C1920" t="s">
        <v>11</v>
      </c>
      <c r="D1920" t="s">
        <v>12</v>
      </c>
      <c r="E1920" t="s">
        <v>391</v>
      </c>
      <c r="H1920" t="s">
        <v>392</v>
      </c>
      <c r="I1920" t="s">
        <v>2273</v>
      </c>
      <c r="L1920" t="s">
        <v>394</v>
      </c>
      <c r="M1920" t="s">
        <v>2254</v>
      </c>
    </row>
    <row r="1921" spans="1:17" x14ac:dyDescent="0.3">
      <c r="A1921" t="s">
        <v>2274</v>
      </c>
      <c r="B1921" t="s">
        <v>2052</v>
      </c>
      <c r="C1921" t="s">
        <v>280</v>
      </c>
      <c r="D1921" t="s">
        <v>2275</v>
      </c>
      <c r="E1921" t="s">
        <v>282</v>
      </c>
      <c r="H1921" t="s">
        <v>25</v>
      </c>
      <c r="I1921" t="s">
        <v>283</v>
      </c>
    </row>
    <row r="1922" spans="1:17" x14ac:dyDescent="0.3">
      <c r="A1922" t="s">
        <v>2274</v>
      </c>
      <c r="B1922" t="s">
        <v>2052</v>
      </c>
      <c r="C1922" t="s">
        <v>280</v>
      </c>
      <c r="D1922" t="s">
        <v>2276</v>
      </c>
      <c r="E1922" t="s">
        <v>399</v>
      </c>
      <c r="H1922" t="s">
        <v>25</v>
      </c>
      <c r="I1922" t="s">
        <v>2055</v>
      </c>
    </row>
    <row r="1923" spans="1:17" x14ac:dyDescent="0.3">
      <c r="A1923" t="s">
        <v>2274</v>
      </c>
      <c r="B1923" t="s">
        <v>2052</v>
      </c>
      <c r="C1923" t="s">
        <v>280</v>
      </c>
      <c r="D1923" t="s">
        <v>2277</v>
      </c>
      <c r="E1923" t="s">
        <v>488</v>
      </c>
      <c r="H1923" t="s">
        <v>25</v>
      </c>
      <c r="I1923" t="s">
        <v>2057</v>
      </c>
    </row>
    <row r="1924" spans="1:17" x14ac:dyDescent="0.3">
      <c r="A1924" t="s">
        <v>2274</v>
      </c>
      <c r="B1924" t="s">
        <v>2052</v>
      </c>
      <c r="C1924" t="s">
        <v>280</v>
      </c>
      <c r="D1924" t="s">
        <v>2278</v>
      </c>
      <c r="E1924" t="s">
        <v>303</v>
      </c>
      <c r="H1924" t="s">
        <v>25</v>
      </c>
      <c r="I1924" t="s">
        <v>304</v>
      </c>
    </row>
    <row r="1925" spans="1:17" x14ac:dyDescent="0.3">
      <c r="A1925" t="s">
        <v>2274</v>
      </c>
      <c r="B1925" t="s">
        <v>2052</v>
      </c>
      <c r="C1925" t="s">
        <v>308</v>
      </c>
      <c r="D1925" t="s">
        <v>2279</v>
      </c>
      <c r="E1925" t="s">
        <v>2060</v>
      </c>
      <c r="H1925" t="s">
        <v>25</v>
      </c>
      <c r="I1925" t="s">
        <v>2061</v>
      </c>
      <c r="L1925" t="s">
        <v>312</v>
      </c>
      <c r="M1925" t="s">
        <v>1687</v>
      </c>
    </row>
    <row r="1926" spans="1:17" x14ac:dyDescent="0.3">
      <c r="A1926" t="s">
        <v>2274</v>
      </c>
      <c r="B1926" t="s">
        <v>2052</v>
      </c>
      <c r="C1926" t="s">
        <v>308</v>
      </c>
      <c r="D1926" t="s">
        <v>2280</v>
      </c>
      <c r="E1926" t="s">
        <v>2060</v>
      </c>
      <c r="H1926" t="s">
        <v>25</v>
      </c>
      <c r="I1926" t="s">
        <v>2063</v>
      </c>
      <c r="L1926" t="s">
        <v>312</v>
      </c>
      <c r="M1926" t="s">
        <v>1687</v>
      </c>
    </row>
    <row r="1927" spans="1:17" x14ac:dyDescent="0.3">
      <c r="A1927" t="s">
        <v>2274</v>
      </c>
      <c r="B1927" t="s">
        <v>2052</v>
      </c>
      <c r="C1927" t="s">
        <v>308</v>
      </c>
      <c r="D1927" t="s">
        <v>2281</v>
      </c>
      <c r="E1927" t="s">
        <v>1138</v>
      </c>
      <c r="H1927" t="s">
        <v>25</v>
      </c>
      <c r="I1927" t="s">
        <v>2065</v>
      </c>
      <c r="L1927" t="s">
        <v>312</v>
      </c>
      <c r="M1927" t="s">
        <v>317</v>
      </c>
    </row>
    <row r="1928" spans="1:17" x14ac:dyDescent="0.3">
      <c r="A1928" t="s">
        <v>2274</v>
      </c>
      <c r="B1928" t="s">
        <v>2052</v>
      </c>
      <c r="C1928" t="s">
        <v>308</v>
      </c>
      <c r="D1928" t="s">
        <v>2282</v>
      </c>
      <c r="E1928" t="s">
        <v>348</v>
      </c>
      <c r="H1928" t="s">
        <v>25</v>
      </c>
      <c r="I1928" t="s">
        <v>349</v>
      </c>
      <c r="L1928" t="s">
        <v>312</v>
      </c>
      <c r="M1928" t="s">
        <v>317</v>
      </c>
    </row>
    <row r="1929" spans="1:17" x14ac:dyDescent="0.3">
      <c r="A1929" t="s">
        <v>2274</v>
      </c>
      <c r="B1929" t="s">
        <v>2052</v>
      </c>
      <c r="C1929" t="s">
        <v>308</v>
      </c>
      <c r="D1929" t="s">
        <v>2283</v>
      </c>
      <c r="E1929" t="s">
        <v>2068</v>
      </c>
      <c r="H1929" t="s">
        <v>25</v>
      </c>
      <c r="I1929" t="s">
        <v>2069</v>
      </c>
      <c r="L1929" t="s">
        <v>312</v>
      </c>
      <c r="M1929" t="s">
        <v>317</v>
      </c>
    </row>
    <row r="1930" spans="1:17" x14ac:dyDescent="0.3">
      <c r="A1930" t="s">
        <v>2274</v>
      </c>
      <c r="B1930" t="s">
        <v>2052</v>
      </c>
      <c r="C1930" t="s">
        <v>308</v>
      </c>
      <c r="D1930" t="s">
        <v>2284</v>
      </c>
      <c r="E1930" t="s">
        <v>2071</v>
      </c>
      <c r="H1930" t="s">
        <v>25</v>
      </c>
      <c r="I1930" t="s">
        <v>2072</v>
      </c>
      <c r="L1930" t="s">
        <v>312</v>
      </c>
      <c r="M1930" t="s">
        <v>1687</v>
      </c>
    </row>
    <row r="1931" spans="1:17" x14ac:dyDescent="0.3">
      <c r="A1931" t="s">
        <v>2274</v>
      </c>
      <c r="B1931" t="s">
        <v>2052</v>
      </c>
      <c r="C1931" t="s">
        <v>308</v>
      </c>
      <c r="D1931" t="s">
        <v>2285</v>
      </c>
      <c r="E1931" t="s">
        <v>2074</v>
      </c>
      <c r="H1931" t="s">
        <v>25</v>
      </c>
      <c r="I1931" t="s">
        <v>2075</v>
      </c>
      <c r="L1931" t="s">
        <v>312</v>
      </c>
      <c r="M1931" t="s">
        <v>1687</v>
      </c>
    </row>
    <row r="1932" spans="1:17" x14ac:dyDescent="0.3">
      <c r="A1932" t="s">
        <v>2274</v>
      </c>
      <c r="B1932" t="s">
        <v>2052</v>
      </c>
      <c r="C1932" t="s">
        <v>308</v>
      </c>
      <c r="D1932" t="s">
        <v>2286</v>
      </c>
      <c r="E1932" t="s">
        <v>2077</v>
      </c>
      <c r="H1932" t="s">
        <v>25</v>
      </c>
      <c r="I1932" t="s">
        <v>2078</v>
      </c>
      <c r="L1932" t="s">
        <v>312</v>
      </c>
      <c r="M1932" t="s">
        <v>1687</v>
      </c>
    </row>
    <row r="1933" spans="1:17" x14ac:dyDescent="0.3">
      <c r="A1933" t="s">
        <v>2274</v>
      </c>
      <c r="B1933" t="s">
        <v>2052</v>
      </c>
      <c r="C1933" t="s">
        <v>308</v>
      </c>
      <c r="D1933" t="s">
        <v>2287</v>
      </c>
      <c r="E1933" t="s">
        <v>2080</v>
      </c>
      <c r="H1933" t="s">
        <v>25</v>
      </c>
      <c r="I1933" t="s">
        <v>2081</v>
      </c>
      <c r="L1933" t="s">
        <v>312</v>
      </c>
      <c r="M1933" t="s">
        <v>2082</v>
      </c>
      <c r="P1933" t="s">
        <v>2083</v>
      </c>
      <c r="Q1933" t="s">
        <v>2084</v>
      </c>
    </row>
    <row r="1934" spans="1:17" x14ac:dyDescent="0.3">
      <c r="A1934" t="s">
        <v>2274</v>
      </c>
      <c r="B1934" t="s">
        <v>2052</v>
      </c>
      <c r="C1934" t="s">
        <v>308</v>
      </c>
      <c r="D1934" t="s">
        <v>2288</v>
      </c>
      <c r="E1934" t="s">
        <v>2086</v>
      </c>
      <c r="H1934" t="s">
        <v>25</v>
      </c>
      <c r="I1934" t="s">
        <v>2087</v>
      </c>
      <c r="L1934" t="s">
        <v>312</v>
      </c>
      <c r="M1934" t="s">
        <v>2082</v>
      </c>
      <c r="P1934" t="s">
        <v>2083</v>
      </c>
      <c r="Q1934" t="s">
        <v>2084</v>
      </c>
    </row>
    <row r="1935" spans="1:17" x14ac:dyDescent="0.3">
      <c r="A1935" t="s">
        <v>2274</v>
      </c>
      <c r="B1935" t="s">
        <v>2052</v>
      </c>
      <c r="C1935" t="s">
        <v>22</v>
      </c>
      <c r="D1935" t="s">
        <v>23</v>
      </c>
      <c r="E1935" t="s">
        <v>28</v>
      </c>
      <c r="F1935" t="s">
        <v>25</v>
      </c>
      <c r="G1935" t="s">
        <v>2289</v>
      </c>
      <c r="H1935" t="s">
        <v>2089</v>
      </c>
      <c r="I1935" t="s">
        <v>2090</v>
      </c>
    </row>
    <row r="1936" spans="1:17" x14ac:dyDescent="0.3">
      <c r="A1936" t="s">
        <v>2274</v>
      </c>
      <c r="B1936" t="s">
        <v>2052</v>
      </c>
      <c r="C1936" t="s">
        <v>1692</v>
      </c>
      <c r="D1936" t="s">
        <v>91</v>
      </c>
      <c r="E1936" t="s">
        <v>37</v>
      </c>
    </row>
    <row r="1937" spans="1:13" x14ac:dyDescent="0.3">
      <c r="A1937" t="s">
        <v>2274</v>
      </c>
      <c r="B1937" t="s">
        <v>2052</v>
      </c>
      <c r="C1937" t="s">
        <v>380</v>
      </c>
      <c r="D1937" t="s">
        <v>9</v>
      </c>
      <c r="E1937" t="s">
        <v>10</v>
      </c>
    </row>
    <row r="1938" spans="1:13" x14ac:dyDescent="0.3">
      <c r="A1938" t="s">
        <v>2274</v>
      </c>
      <c r="B1938" t="s">
        <v>2052</v>
      </c>
      <c r="C1938" t="s">
        <v>16</v>
      </c>
      <c r="D1938" t="s">
        <v>91</v>
      </c>
      <c r="E1938" t="s">
        <v>37</v>
      </c>
    </row>
    <row r="1939" spans="1:13" x14ac:dyDescent="0.3">
      <c r="A1939" t="s">
        <v>2274</v>
      </c>
      <c r="B1939" t="s">
        <v>2052</v>
      </c>
      <c r="C1939" t="s">
        <v>11</v>
      </c>
      <c r="D1939" t="s">
        <v>12</v>
      </c>
      <c r="E1939" t="s">
        <v>13</v>
      </c>
      <c r="H1939" t="s">
        <v>382</v>
      </c>
      <c r="I1939" t="s">
        <v>2290</v>
      </c>
      <c r="L1939" t="s">
        <v>14</v>
      </c>
      <c r="M1939" t="s">
        <v>2290</v>
      </c>
    </row>
    <row r="1940" spans="1:13" x14ac:dyDescent="0.3">
      <c r="A1940" t="s">
        <v>2274</v>
      </c>
      <c r="B1940" t="s">
        <v>2052</v>
      </c>
      <c r="C1940" t="s">
        <v>308</v>
      </c>
      <c r="D1940" t="s">
        <v>2291</v>
      </c>
      <c r="E1940" t="s">
        <v>341</v>
      </c>
      <c r="H1940" t="s">
        <v>25</v>
      </c>
      <c r="I1940" t="s">
        <v>2093</v>
      </c>
      <c r="L1940" t="s">
        <v>312</v>
      </c>
      <c r="M1940" t="s">
        <v>343</v>
      </c>
    </row>
    <row r="1941" spans="1:13" x14ac:dyDescent="0.3">
      <c r="A1941" t="s">
        <v>2274</v>
      </c>
      <c r="B1941" t="s">
        <v>2052</v>
      </c>
      <c r="C1941" t="s">
        <v>308</v>
      </c>
      <c r="D1941" t="s">
        <v>2292</v>
      </c>
      <c r="E1941" t="s">
        <v>2095</v>
      </c>
      <c r="H1941" t="s">
        <v>25</v>
      </c>
      <c r="I1941" t="s">
        <v>2096</v>
      </c>
      <c r="L1941" t="s">
        <v>312</v>
      </c>
      <c r="M1941" t="s">
        <v>343</v>
      </c>
    </row>
    <row r="1942" spans="1:13" x14ac:dyDescent="0.3">
      <c r="A1942" t="s">
        <v>2275</v>
      </c>
      <c r="B1942" t="s">
        <v>282</v>
      </c>
      <c r="C1942" t="s">
        <v>384</v>
      </c>
      <c r="D1942" t="s">
        <v>12</v>
      </c>
      <c r="E1942" t="s">
        <v>12</v>
      </c>
      <c r="H1942" t="s">
        <v>376</v>
      </c>
      <c r="I1942">
        <v>4.21</v>
      </c>
      <c r="L1942" t="s">
        <v>312</v>
      </c>
      <c r="M1942" t="s">
        <v>385</v>
      </c>
    </row>
    <row r="1943" spans="1:13" x14ac:dyDescent="0.3">
      <c r="A1943" t="s">
        <v>2275</v>
      </c>
      <c r="B1943" t="s">
        <v>282</v>
      </c>
      <c r="C1943" t="s">
        <v>280</v>
      </c>
      <c r="D1943" t="s">
        <v>2293</v>
      </c>
      <c r="E1943" t="s">
        <v>387</v>
      </c>
      <c r="H1943" t="s">
        <v>25</v>
      </c>
      <c r="I1943" t="s">
        <v>388</v>
      </c>
    </row>
    <row r="1944" spans="1:13" x14ac:dyDescent="0.3">
      <c r="A1944" t="s">
        <v>2294</v>
      </c>
      <c r="B1944" t="s">
        <v>390</v>
      </c>
      <c r="C1944" t="s">
        <v>11</v>
      </c>
      <c r="D1944" t="s">
        <v>12</v>
      </c>
      <c r="E1944" t="s">
        <v>391</v>
      </c>
      <c r="H1944" t="s">
        <v>392</v>
      </c>
      <c r="I1944" t="s">
        <v>393</v>
      </c>
      <c r="L1944" t="s">
        <v>394</v>
      </c>
      <c r="M1944" t="s">
        <v>2290</v>
      </c>
    </row>
    <row r="1945" spans="1:13" x14ac:dyDescent="0.3">
      <c r="A1945" t="s">
        <v>2295</v>
      </c>
      <c r="B1945" t="s">
        <v>396</v>
      </c>
      <c r="C1945" t="s">
        <v>11</v>
      </c>
      <c r="D1945" t="s">
        <v>12</v>
      </c>
      <c r="E1945" t="s">
        <v>391</v>
      </c>
      <c r="H1945" t="s">
        <v>392</v>
      </c>
      <c r="I1945" t="s">
        <v>397</v>
      </c>
      <c r="L1945" t="s">
        <v>394</v>
      </c>
      <c r="M1945" t="s">
        <v>2290</v>
      </c>
    </row>
    <row r="1946" spans="1:13" x14ac:dyDescent="0.3">
      <c r="A1946" t="s">
        <v>2284</v>
      </c>
      <c r="B1946" t="s">
        <v>2071</v>
      </c>
      <c r="C1946" t="s">
        <v>11</v>
      </c>
      <c r="D1946" t="s">
        <v>12</v>
      </c>
      <c r="E1946" t="s">
        <v>391</v>
      </c>
      <c r="H1946" t="s">
        <v>392</v>
      </c>
      <c r="I1946" t="s">
        <v>2100</v>
      </c>
      <c r="L1946" t="s">
        <v>394</v>
      </c>
      <c r="M1946" t="s">
        <v>2290</v>
      </c>
    </row>
    <row r="1947" spans="1:13" x14ac:dyDescent="0.3">
      <c r="A1947" t="s">
        <v>2276</v>
      </c>
      <c r="B1947" t="s">
        <v>399</v>
      </c>
      <c r="C1947" t="s">
        <v>308</v>
      </c>
      <c r="D1947" t="s">
        <v>2294</v>
      </c>
      <c r="E1947" t="s">
        <v>390</v>
      </c>
      <c r="H1947" t="s">
        <v>25</v>
      </c>
      <c r="I1947" t="s">
        <v>2101</v>
      </c>
      <c r="L1947" t="s">
        <v>312</v>
      </c>
      <c r="M1947" t="s">
        <v>411</v>
      </c>
    </row>
    <row r="1948" spans="1:13" x14ac:dyDescent="0.3">
      <c r="A1948" t="s">
        <v>2276</v>
      </c>
      <c r="B1948" t="s">
        <v>399</v>
      </c>
      <c r="C1948" t="s">
        <v>308</v>
      </c>
      <c r="D1948" t="s">
        <v>2295</v>
      </c>
      <c r="E1948" t="s">
        <v>396</v>
      </c>
      <c r="H1948" t="s">
        <v>25</v>
      </c>
      <c r="I1948" t="s">
        <v>2102</v>
      </c>
      <c r="L1948" t="s">
        <v>312</v>
      </c>
      <c r="M1948" t="s">
        <v>413</v>
      </c>
    </row>
    <row r="1949" spans="1:13" x14ac:dyDescent="0.3">
      <c r="A1949" t="s">
        <v>2296</v>
      </c>
      <c r="B1949" t="s">
        <v>501</v>
      </c>
      <c r="C1949" t="s">
        <v>11</v>
      </c>
      <c r="D1949" t="s">
        <v>12</v>
      </c>
      <c r="E1949" t="s">
        <v>391</v>
      </c>
      <c r="H1949" t="s">
        <v>392</v>
      </c>
      <c r="I1949" t="s">
        <v>2104</v>
      </c>
      <c r="L1949" t="s">
        <v>394</v>
      </c>
      <c r="M1949" t="s">
        <v>2290</v>
      </c>
    </row>
    <row r="1950" spans="1:13" x14ac:dyDescent="0.3">
      <c r="A1950" t="s">
        <v>2297</v>
      </c>
      <c r="B1950" t="s">
        <v>498</v>
      </c>
      <c r="C1950" t="s">
        <v>11</v>
      </c>
      <c r="D1950" t="s">
        <v>12</v>
      </c>
      <c r="E1950" t="s">
        <v>391</v>
      </c>
      <c r="H1950" t="s">
        <v>392</v>
      </c>
      <c r="I1950" t="s">
        <v>2106</v>
      </c>
      <c r="L1950" t="s">
        <v>394</v>
      </c>
      <c r="M1950" t="s">
        <v>2290</v>
      </c>
    </row>
    <row r="1951" spans="1:13" x14ac:dyDescent="0.3">
      <c r="A1951" t="s">
        <v>2277</v>
      </c>
      <c r="B1951" t="s">
        <v>488</v>
      </c>
      <c r="C1951" t="s">
        <v>308</v>
      </c>
      <c r="D1951" t="s">
        <v>2296</v>
      </c>
      <c r="E1951" t="s">
        <v>501</v>
      </c>
      <c r="H1951" t="s">
        <v>25</v>
      </c>
      <c r="I1951" t="s">
        <v>2107</v>
      </c>
      <c r="L1951" t="s">
        <v>312</v>
      </c>
      <c r="M1951" t="s">
        <v>2108</v>
      </c>
    </row>
    <row r="1952" spans="1:13" x14ac:dyDescent="0.3">
      <c r="A1952" t="s">
        <v>2277</v>
      </c>
      <c r="B1952" t="s">
        <v>488</v>
      </c>
      <c r="C1952" t="s">
        <v>308</v>
      </c>
      <c r="D1952" t="s">
        <v>2297</v>
      </c>
      <c r="E1952" t="s">
        <v>498</v>
      </c>
      <c r="H1952" t="s">
        <v>25</v>
      </c>
      <c r="I1952" t="s">
        <v>2109</v>
      </c>
      <c r="L1952" t="s">
        <v>312</v>
      </c>
      <c r="M1952" t="s">
        <v>385</v>
      </c>
    </row>
    <row r="1953" spans="1:13" x14ac:dyDescent="0.3">
      <c r="A1953" t="s">
        <v>2285</v>
      </c>
      <c r="B1953" t="s">
        <v>2074</v>
      </c>
      <c r="C1953" t="s">
        <v>11</v>
      </c>
      <c r="D1953" t="s">
        <v>12</v>
      </c>
      <c r="E1953" t="s">
        <v>391</v>
      </c>
      <c r="H1953" t="s">
        <v>392</v>
      </c>
      <c r="I1953" t="s">
        <v>2110</v>
      </c>
      <c r="L1953" t="s">
        <v>394</v>
      </c>
      <c r="M1953" t="s">
        <v>2290</v>
      </c>
    </row>
    <row r="1954" spans="1:13" x14ac:dyDescent="0.3">
      <c r="A1954" t="s">
        <v>2291</v>
      </c>
      <c r="B1954" t="s">
        <v>341</v>
      </c>
      <c r="C1954" t="s">
        <v>11</v>
      </c>
      <c r="D1954" t="s">
        <v>12</v>
      </c>
      <c r="E1954" t="s">
        <v>391</v>
      </c>
      <c r="H1954" t="s">
        <v>392</v>
      </c>
      <c r="I1954" t="s">
        <v>2298</v>
      </c>
      <c r="L1954" t="s">
        <v>394</v>
      </c>
      <c r="M1954" t="s">
        <v>2290</v>
      </c>
    </row>
    <row r="1955" spans="1:13" x14ac:dyDescent="0.3">
      <c r="A1955" t="s">
        <v>2282</v>
      </c>
      <c r="B1955" t="s">
        <v>348</v>
      </c>
      <c r="C1955" t="s">
        <v>11</v>
      </c>
      <c r="D1955" t="s">
        <v>12</v>
      </c>
      <c r="E1955" t="s">
        <v>391</v>
      </c>
      <c r="H1955" t="s">
        <v>392</v>
      </c>
      <c r="I1955" t="s">
        <v>2299</v>
      </c>
      <c r="L1955" t="s">
        <v>394</v>
      </c>
      <c r="M1955" t="s">
        <v>2290</v>
      </c>
    </row>
    <row r="1956" spans="1:13" x14ac:dyDescent="0.3">
      <c r="A1956" t="s">
        <v>2283</v>
      </c>
      <c r="B1956" t="s">
        <v>2068</v>
      </c>
      <c r="C1956" t="s">
        <v>11</v>
      </c>
      <c r="D1956" t="s">
        <v>12</v>
      </c>
      <c r="E1956" t="s">
        <v>391</v>
      </c>
      <c r="H1956" t="s">
        <v>392</v>
      </c>
      <c r="I1956" t="s">
        <v>2300</v>
      </c>
      <c r="L1956" t="s">
        <v>394</v>
      </c>
      <c r="M1956" t="s">
        <v>2290</v>
      </c>
    </row>
    <row r="1957" spans="1:13" x14ac:dyDescent="0.3">
      <c r="A1957" t="s">
        <v>2279</v>
      </c>
      <c r="B1957" t="s">
        <v>2060</v>
      </c>
      <c r="C1957" t="s">
        <v>11</v>
      </c>
      <c r="D1957" t="s">
        <v>12</v>
      </c>
      <c r="E1957" t="s">
        <v>391</v>
      </c>
      <c r="H1957" t="s">
        <v>392</v>
      </c>
      <c r="I1957" t="s">
        <v>2301</v>
      </c>
      <c r="L1957" t="s">
        <v>394</v>
      </c>
      <c r="M1957" t="s">
        <v>2290</v>
      </c>
    </row>
    <row r="1958" spans="1:13" x14ac:dyDescent="0.3">
      <c r="A1958" t="s">
        <v>2278</v>
      </c>
      <c r="B1958" t="s">
        <v>303</v>
      </c>
      <c r="C1958" t="s">
        <v>280</v>
      </c>
      <c r="D1958" t="s">
        <v>2302</v>
      </c>
      <c r="E1958" t="s">
        <v>478</v>
      </c>
      <c r="H1958" t="s">
        <v>25</v>
      </c>
      <c r="I1958" t="s">
        <v>515</v>
      </c>
    </row>
    <row r="1959" spans="1:13" x14ac:dyDescent="0.3">
      <c r="A1959" t="s">
        <v>2302</v>
      </c>
      <c r="B1959" t="s">
        <v>478</v>
      </c>
      <c r="C1959" t="s">
        <v>308</v>
      </c>
      <c r="D1959" t="s">
        <v>2303</v>
      </c>
      <c r="E1959" t="s">
        <v>2117</v>
      </c>
      <c r="H1959" t="s">
        <v>25</v>
      </c>
      <c r="I1959" t="s">
        <v>2118</v>
      </c>
      <c r="L1959" t="s">
        <v>312</v>
      </c>
      <c r="M1959" t="s">
        <v>343</v>
      </c>
    </row>
    <row r="1960" spans="1:13" x14ac:dyDescent="0.3">
      <c r="A1960" t="s">
        <v>2302</v>
      </c>
      <c r="B1960" t="s">
        <v>478</v>
      </c>
      <c r="C1960" t="s">
        <v>308</v>
      </c>
      <c r="D1960" t="s">
        <v>2304</v>
      </c>
      <c r="E1960" t="s">
        <v>2120</v>
      </c>
      <c r="H1960" t="s">
        <v>25</v>
      </c>
      <c r="I1960" t="s">
        <v>2121</v>
      </c>
      <c r="L1960" t="s">
        <v>312</v>
      </c>
      <c r="M1960" t="s">
        <v>343</v>
      </c>
    </row>
    <row r="1961" spans="1:13" x14ac:dyDescent="0.3">
      <c r="A1961" t="s">
        <v>2303</v>
      </c>
      <c r="B1961" t="s">
        <v>2117</v>
      </c>
      <c r="C1961" t="s">
        <v>11</v>
      </c>
      <c r="D1961" t="s">
        <v>12</v>
      </c>
      <c r="E1961" t="s">
        <v>391</v>
      </c>
      <c r="H1961" t="s">
        <v>392</v>
      </c>
      <c r="I1961" t="s">
        <v>2305</v>
      </c>
      <c r="L1961" t="s">
        <v>394</v>
      </c>
      <c r="M1961" t="s">
        <v>2290</v>
      </c>
    </row>
    <row r="1962" spans="1:13" x14ac:dyDescent="0.3">
      <c r="A1962" t="s">
        <v>2287</v>
      </c>
      <c r="B1962" t="s">
        <v>2080</v>
      </c>
      <c r="C1962" t="s">
        <v>11</v>
      </c>
      <c r="D1962" t="s">
        <v>12</v>
      </c>
      <c r="E1962" t="s">
        <v>391</v>
      </c>
      <c r="H1962" t="s">
        <v>392</v>
      </c>
      <c r="I1962" t="s">
        <v>2123</v>
      </c>
      <c r="L1962" t="s">
        <v>394</v>
      </c>
      <c r="M1962" t="s">
        <v>2290</v>
      </c>
    </row>
    <row r="1963" spans="1:13" x14ac:dyDescent="0.3">
      <c r="A1963" t="s">
        <v>2304</v>
      </c>
      <c r="B1963" t="s">
        <v>2120</v>
      </c>
      <c r="C1963" t="s">
        <v>11</v>
      </c>
      <c r="D1963" t="s">
        <v>12</v>
      </c>
      <c r="E1963" t="s">
        <v>391</v>
      </c>
      <c r="H1963" t="s">
        <v>392</v>
      </c>
      <c r="I1963" t="s">
        <v>2306</v>
      </c>
      <c r="L1963" t="s">
        <v>394</v>
      </c>
      <c r="M1963" t="s">
        <v>2290</v>
      </c>
    </row>
    <row r="1964" spans="1:13" x14ac:dyDescent="0.3">
      <c r="A1964" t="s">
        <v>2288</v>
      </c>
      <c r="B1964" t="s">
        <v>2086</v>
      </c>
      <c r="C1964" t="s">
        <v>11</v>
      </c>
      <c r="D1964" t="s">
        <v>12</v>
      </c>
      <c r="E1964" t="s">
        <v>391</v>
      </c>
      <c r="H1964" t="s">
        <v>392</v>
      </c>
      <c r="I1964" t="s">
        <v>2125</v>
      </c>
      <c r="L1964" t="s">
        <v>394</v>
      </c>
      <c r="M1964" t="s">
        <v>2290</v>
      </c>
    </row>
    <row r="1965" spans="1:13" x14ac:dyDescent="0.3">
      <c r="A1965" t="s">
        <v>2292</v>
      </c>
      <c r="B1965" t="s">
        <v>2095</v>
      </c>
      <c r="C1965" t="s">
        <v>11</v>
      </c>
      <c r="D1965" t="s">
        <v>12</v>
      </c>
      <c r="E1965" t="s">
        <v>391</v>
      </c>
      <c r="H1965" t="s">
        <v>392</v>
      </c>
      <c r="I1965" t="s">
        <v>2307</v>
      </c>
      <c r="L1965" t="s">
        <v>394</v>
      </c>
      <c r="M1965" t="s">
        <v>2290</v>
      </c>
    </row>
    <row r="1966" spans="1:13" x14ac:dyDescent="0.3">
      <c r="A1966" t="s">
        <v>2281</v>
      </c>
      <c r="B1966" t="s">
        <v>1138</v>
      </c>
      <c r="C1966" t="s">
        <v>11</v>
      </c>
      <c r="D1966" t="s">
        <v>12</v>
      </c>
      <c r="E1966" t="s">
        <v>391</v>
      </c>
      <c r="H1966" t="s">
        <v>392</v>
      </c>
      <c r="I1966" t="s">
        <v>2308</v>
      </c>
      <c r="L1966" t="s">
        <v>394</v>
      </c>
      <c r="M1966" t="s">
        <v>2290</v>
      </c>
    </row>
    <row r="1967" spans="1:13" x14ac:dyDescent="0.3">
      <c r="A1967" t="s">
        <v>2286</v>
      </c>
      <c r="B1967" t="s">
        <v>2077</v>
      </c>
      <c r="C1967" t="s">
        <v>11</v>
      </c>
      <c r="D1967" t="s">
        <v>12</v>
      </c>
      <c r="E1967" t="s">
        <v>391</v>
      </c>
      <c r="H1967" t="s">
        <v>392</v>
      </c>
      <c r="I1967" t="s">
        <v>2128</v>
      </c>
      <c r="L1967" t="s">
        <v>394</v>
      </c>
      <c r="M1967" t="s">
        <v>2290</v>
      </c>
    </row>
    <row r="1968" spans="1:13" x14ac:dyDescent="0.3">
      <c r="A1968" t="s">
        <v>2280</v>
      </c>
      <c r="B1968" t="s">
        <v>2060</v>
      </c>
      <c r="C1968" t="s">
        <v>11</v>
      </c>
      <c r="D1968" t="s">
        <v>12</v>
      </c>
      <c r="E1968" t="s">
        <v>391</v>
      </c>
      <c r="H1968" t="s">
        <v>392</v>
      </c>
      <c r="I1968" t="s">
        <v>2309</v>
      </c>
      <c r="L1968" t="s">
        <v>394</v>
      </c>
      <c r="M1968" t="s">
        <v>2290</v>
      </c>
    </row>
    <row r="1969" spans="1:17" x14ac:dyDescent="0.3">
      <c r="A1969" t="s">
        <v>2310</v>
      </c>
      <c r="B1969" t="s">
        <v>2052</v>
      </c>
      <c r="C1969" t="s">
        <v>280</v>
      </c>
      <c r="D1969" t="s">
        <v>2311</v>
      </c>
      <c r="E1969" t="s">
        <v>282</v>
      </c>
      <c r="H1969" t="s">
        <v>25</v>
      </c>
      <c r="I1969" t="s">
        <v>283</v>
      </c>
    </row>
    <row r="1970" spans="1:17" x14ac:dyDescent="0.3">
      <c r="A1970" t="s">
        <v>2310</v>
      </c>
      <c r="B1970" t="s">
        <v>2052</v>
      </c>
      <c r="C1970" t="s">
        <v>280</v>
      </c>
      <c r="D1970" t="s">
        <v>2312</v>
      </c>
      <c r="E1970" t="s">
        <v>399</v>
      </c>
      <c r="H1970" t="s">
        <v>25</v>
      </c>
      <c r="I1970" t="s">
        <v>2055</v>
      </c>
    </row>
    <row r="1971" spans="1:17" x14ac:dyDescent="0.3">
      <c r="A1971" t="s">
        <v>2310</v>
      </c>
      <c r="B1971" t="s">
        <v>2052</v>
      </c>
      <c r="C1971" t="s">
        <v>280</v>
      </c>
      <c r="D1971" t="s">
        <v>2313</v>
      </c>
      <c r="E1971" t="s">
        <v>488</v>
      </c>
      <c r="H1971" t="s">
        <v>25</v>
      </c>
      <c r="I1971" t="s">
        <v>2057</v>
      </c>
    </row>
    <row r="1972" spans="1:17" x14ac:dyDescent="0.3">
      <c r="A1972" t="s">
        <v>2310</v>
      </c>
      <c r="B1972" t="s">
        <v>2052</v>
      </c>
      <c r="C1972" t="s">
        <v>280</v>
      </c>
      <c r="D1972" t="s">
        <v>2314</v>
      </c>
      <c r="E1972" t="s">
        <v>303</v>
      </c>
      <c r="H1972" t="s">
        <v>25</v>
      </c>
      <c r="I1972" t="s">
        <v>304</v>
      </c>
    </row>
    <row r="1973" spans="1:17" x14ac:dyDescent="0.3">
      <c r="A1973" t="s">
        <v>2310</v>
      </c>
      <c r="B1973" t="s">
        <v>2052</v>
      </c>
      <c r="C1973" t="s">
        <v>308</v>
      </c>
      <c r="D1973" t="s">
        <v>2315</v>
      </c>
      <c r="E1973" t="s">
        <v>2060</v>
      </c>
      <c r="H1973" t="s">
        <v>25</v>
      </c>
      <c r="I1973" t="s">
        <v>2061</v>
      </c>
      <c r="L1973" t="s">
        <v>312</v>
      </c>
      <c r="M1973" t="s">
        <v>1687</v>
      </c>
    </row>
    <row r="1974" spans="1:17" x14ac:dyDescent="0.3">
      <c r="A1974" t="s">
        <v>2310</v>
      </c>
      <c r="B1974" t="s">
        <v>2052</v>
      </c>
      <c r="C1974" t="s">
        <v>308</v>
      </c>
      <c r="D1974" t="s">
        <v>2316</v>
      </c>
      <c r="E1974" t="s">
        <v>2060</v>
      </c>
      <c r="H1974" t="s">
        <v>25</v>
      </c>
      <c r="I1974" t="s">
        <v>2063</v>
      </c>
      <c r="L1974" t="s">
        <v>312</v>
      </c>
      <c r="M1974" t="s">
        <v>1687</v>
      </c>
    </row>
    <row r="1975" spans="1:17" x14ac:dyDescent="0.3">
      <c r="A1975" t="s">
        <v>2310</v>
      </c>
      <c r="B1975" t="s">
        <v>2052</v>
      </c>
      <c r="C1975" t="s">
        <v>308</v>
      </c>
      <c r="D1975" t="s">
        <v>2317</v>
      </c>
      <c r="E1975" t="s">
        <v>1138</v>
      </c>
      <c r="H1975" t="s">
        <v>25</v>
      </c>
      <c r="I1975" t="s">
        <v>2065</v>
      </c>
      <c r="L1975" t="s">
        <v>312</v>
      </c>
      <c r="M1975" t="s">
        <v>317</v>
      </c>
    </row>
    <row r="1976" spans="1:17" x14ac:dyDescent="0.3">
      <c r="A1976" t="s">
        <v>2310</v>
      </c>
      <c r="B1976" t="s">
        <v>2052</v>
      </c>
      <c r="C1976" t="s">
        <v>308</v>
      </c>
      <c r="D1976" t="s">
        <v>2318</v>
      </c>
      <c r="E1976" t="s">
        <v>348</v>
      </c>
      <c r="H1976" t="s">
        <v>25</v>
      </c>
      <c r="I1976" t="s">
        <v>349</v>
      </c>
      <c r="L1976" t="s">
        <v>312</v>
      </c>
      <c r="M1976" t="s">
        <v>317</v>
      </c>
    </row>
    <row r="1977" spans="1:17" x14ac:dyDescent="0.3">
      <c r="A1977" t="s">
        <v>2310</v>
      </c>
      <c r="B1977" t="s">
        <v>2052</v>
      </c>
      <c r="C1977" t="s">
        <v>308</v>
      </c>
      <c r="D1977" t="s">
        <v>2319</v>
      </c>
      <c r="E1977" t="s">
        <v>2068</v>
      </c>
      <c r="H1977" t="s">
        <v>25</v>
      </c>
      <c r="I1977" t="s">
        <v>2069</v>
      </c>
      <c r="L1977" t="s">
        <v>312</v>
      </c>
      <c r="M1977" t="s">
        <v>317</v>
      </c>
    </row>
    <row r="1978" spans="1:17" x14ac:dyDescent="0.3">
      <c r="A1978" t="s">
        <v>2310</v>
      </c>
      <c r="B1978" t="s">
        <v>2052</v>
      </c>
      <c r="C1978" t="s">
        <v>308</v>
      </c>
      <c r="D1978" t="s">
        <v>2320</v>
      </c>
      <c r="E1978" t="s">
        <v>2071</v>
      </c>
      <c r="H1978" t="s">
        <v>25</v>
      </c>
      <c r="I1978" t="s">
        <v>2072</v>
      </c>
      <c r="L1978" t="s">
        <v>312</v>
      </c>
      <c r="M1978" t="s">
        <v>1687</v>
      </c>
    </row>
    <row r="1979" spans="1:17" x14ac:dyDescent="0.3">
      <c r="A1979" t="s">
        <v>2310</v>
      </c>
      <c r="B1979" t="s">
        <v>2052</v>
      </c>
      <c r="C1979" t="s">
        <v>308</v>
      </c>
      <c r="D1979" t="s">
        <v>2321</v>
      </c>
      <c r="E1979" t="s">
        <v>2074</v>
      </c>
      <c r="H1979" t="s">
        <v>25</v>
      </c>
      <c r="I1979" t="s">
        <v>2075</v>
      </c>
      <c r="L1979" t="s">
        <v>312</v>
      </c>
      <c r="M1979" t="s">
        <v>1687</v>
      </c>
    </row>
    <row r="1980" spans="1:17" x14ac:dyDescent="0.3">
      <c r="A1980" t="s">
        <v>2310</v>
      </c>
      <c r="B1980" t="s">
        <v>2052</v>
      </c>
      <c r="C1980" t="s">
        <v>308</v>
      </c>
      <c r="D1980" t="s">
        <v>2322</v>
      </c>
      <c r="E1980" t="s">
        <v>2077</v>
      </c>
      <c r="H1980" t="s">
        <v>25</v>
      </c>
      <c r="I1980" t="s">
        <v>2078</v>
      </c>
      <c r="L1980" t="s">
        <v>312</v>
      </c>
      <c r="M1980" t="s">
        <v>1687</v>
      </c>
    </row>
    <row r="1981" spans="1:17" x14ac:dyDescent="0.3">
      <c r="A1981" t="s">
        <v>2310</v>
      </c>
      <c r="B1981" t="s">
        <v>2052</v>
      </c>
      <c r="C1981" t="s">
        <v>308</v>
      </c>
      <c r="D1981" t="s">
        <v>2323</v>
      </c>
      <c r="E1981" t="s">
        <v>2080</v>
      </c>
      <c r="H1981" t="s">
        <v>25</v>
      </c>
      <c r="I1981" t="s">
        <v>2081</v>
      </c>
      <c r="L1981" t="s">
        <v>312</v>
      </c>
      <c r="M1981" t="s">
        <v>2082</v>
      </c>
      <c r="P1981" t="s">
        <v>2083</v>
      </c>
      <c r="Q1981" t="s">
        <v>2084</v>
      </c>
    </row>
    <row r="1982" spans="1:17" x14ac:dyDescent="0.3">
      <c r="A1982" t="s">
        <v>2310</v>
      </c>
      <c r="B1982" t="s">
        <v>2052</v>
      </c>
      <c r="C1982" t="s">
        <v>308</v>
      </c>
      <c r="D1982" t="s">
        <v>2324</v>
      </c>
      <c r="E1982" t="s">
        <v>2086</v>
      </c>
      <c r="H1982" t="s">
        <v>25</v>
      </c>
      <c r="I1982" t="s">
        <v>2087</v>
      </c>
      <c r="L1982" t="s">
        <v>312</v>
      </c>
      <c r="M1982" t="s">
        <v>2082</v>
      </c>
      <c r="P1982" t="s">
        <v>2083</v>
      </c>
      <c r="Q1982" t="s">
        <v>2084</v>
      </c>
    </row>
    <row r="1983" spans="1:17" x14ac:dyDescent="0.3">
      <c r="A1983" t="s">
        <v>2310</v>
      </c>
      <c r="B1983" t="s">
        <v>2052</v>
      </c>
      <c r="C1983" t="s">
        <v>22</v>
      </c>
      <c r="D1983" t="s">
        <v>23</v>
      </c>
      <c r="E1983" t="s">
        <v>28</v>
      </c>
      <c r="F1983" t="s">
        <v>25</v>
      </c>
      <c r="G1983" t="s">
        <v>2325</v>
      </c>
      <c r="H1983" t="s">
        <v>2089</v>
      </c>
      <c r="I1983" t="s">
        <v>2090</v>
      </c>
    </row>
    <row r="1984" spans="1:17" x14ac:dyDescent="0.3">
      <c r="A1984" t="s">
        <v>2310</v>
      </c>
      <c r="B1984" t="s">
        <v>2052</v>
      </c>
      <c r="C1984" t="s">
        <v>1692</v>
      </c>
      <c r="D1984" t="s">
        <v>118</v>
      </c>
      <c r="E1984" t="s">
        <v>37</v>
      </c>
    </row>
    <row r="1985" spans="1:13" x14ac:dyDescent="0.3">
      <c r="A1985" t="s">
        <v>2310</v>
      </c>
      <c r="B1985" t="s">
        <v>2052</v>
      </c>
      <c r="C1985" t="s">
        <v>380</v>
      </c>
      <c r="D1985" t="s">
        <v>9</v>
      </c>
      <c r="E1985" t="s">
        <v>10</v>
      </c>
    </row>
    <row r="1986" spans="1:13" x14ac:dyDescent="0.3">
      <c r="A1986" t="s">
        <v>2310</v>
      </c>
      <c r="B1986" t="s">
        <v>2052</v>
      </c>
      <c r="C1986" t="s">
        <v>16</v>
      </c>
      <c r="D1986" t="s">
        <v>118</v>
      </c>
      <c r="E1986" t="s">
        <v>37</v>
      </c>
    </row>
    <row r="1987" spans="1:13" x14ac:dyDescent="0.3">
      <c r="A1987" t="s">
        <v>2310</v>
      </c>
      <c r="B1987" t="s">
        <v>2052</v>
      </c>
      <c r="C1987" t="s">
        <v>11</v>
      </c>
      <c r="D1987" t="s">
        <v>12</v>
      </c>
      <c r="E1987" t="s">
        <v>13</v>
      </c>
      <c r="H1987" t="s">
        <v>382</v>
      </c>
      <c r="I1987" t="s">
        <v>2326</v>
      </c>
      <c r="L1987" t="s">
        <v>14</v>
      </c>
      <c r="M1987" t="s">
        <v>2326</v>
      </c>
    </row>
    <row r="1988" spans="1:13" x14ac:dyDescent="0.3">
      <c r="A1988" t="s">
        <v>2310</v>
      </c>
      <c r="B1988" t="s">
        <v>2052</v>
      </c>
      <c r="C1988" t="s">
        <v>308</v>
      </c>
      <c r="D1988" t="s">
        <v>2327</v>
      </c>
      <c r="E1988" t="s">
        <v>341</v>
      </c>
      <c r="H1988" t="s">
        <v>25</v>
      </c>
      <c r="I1988" t="s">
        <v>2093</v>
      </c>
      <c r="L1988" t="s">
        <v>312</v>
      </c>
      <c r="M1988" t="s">
        <v>343</v>
      </c>
    </row>
    <row r="1989" spans="1:13" x14ac:dyDescent="0.3">
      <c r="A1989" t="s">
        <v>2310</v>
      </c>
      <c r="B1989" t="s">
        <v>2052</v>
      </c>
      <c r="C1989" t="s">
        <v>308</v>
      </c>
      <c r="D1989" t="s">
        <v>2328</v>
      </c>
      <c r="E1989" t="s">
        <v>2095</v>
      </c>
      <c r="H1989" t="s">
        <v>25</v>
      </c>
      <c r="I1989" t="s">
        <v>2096</v>
      </c>
      <c r="L1989" t="s">
        <v>312</v>
      </c>
      <c r="M1989" t="s">
        <v>343</v>
      </c>
    </row>
    <row r="1990" spans="1:13" x14ac:dyDescent="0.3">
      <c r="A1990" t="s">
        <v>2311</v>
      </c>
      <c r="B1990" t="s">
        <v>282</v>
      </c>
      <c r="C1990" t="s">
        <v>384</v>
      </c>
      <c r="D1990" t="s">
        <v>12</v>
      </c>
      <c r="E1990" t="s">
        <v>12</v>
      </c>
      <c r="H1990" t="s">
        <v>376</v>
      </c>
      <c r="I1990">
        <v>4.21</v>
      </c>
      <c r="L1990" t="s">
        <v>312</v>
      </c>
      <c r="M1990" t="s">
        <v>385</v>
      </c>
    </row>
    <row r="1991" spans="1:13" x14ac:dyDescent="0.3">
      <c r="A1991" t="s">
        <v>2311</v>
      </c>
      <c r="B1991" t="s">
        <v>282</v>
      </c>
      <c r="C1991" t="s">
        <v>280</v>
      </c>
      <c r="D1991" t="s">
        <v>2329</v>
      </c>
      <c r="E1991" t="s">
        <v>387</v>
      </c>
      <c r="H1991" t="s">
        <v>25</v>
      </c>
      <c r="I1991" t="s">
        <v>388</v>
      </c>
    </row>
    <row r="1992" spans="1:13" x14ac:dyDescent="0.3">
      <c r="A1992" t="s">
        <v>2330</v>
      </c>
      <c r="B1992" t="s">
        <v>390</v>
      </c>
      <c r="C1992" t="s">
        <v>11</v>
      </c>
      <c r="D1992" t="s">
        <v>12</v>
      </c>
      <c r="E1992" t="s">
        <v>391</v>
      </c>
      <c r="H1992" t="s">
        <v>392</v>
      </c>
      <c r="I1992" t="s">
        <v>393</v>
      </c>
      <c r="L1992" t="s">
        <v>394</v>
      </c>
      <c r="M1992" t="s">
        <v>2326</v>
      </c>
    </row>
    <row r="1993" spans="1:13" x14ac:dyDescent="0.3">
      <c r="A1993" t="s">
        <v>2331</v>
      </c>
      <c r="B1993" t="s">
        <v>396</v>
      </c>
      <c r="C1993" t="s">
        <v>11</v>
      </c>
      <c r="D1993" t="s">
        <v>12</v>
      </c>
      <c r="E1993" t="s">
        <v>391</v>
      </c>
      <c r="H1993" t="s">
        <v>392</v>
      </c>
      <c r="I1993" t="s">
        <v>397</v>
      </c>
      <c r="L1993" t="s">
        <v>394</v>
      </c>
      <c r="M1993" t="s">
        <v>2326</v>
      </c>
    </row>
    <row r="1994" spans="1:13" x14ac:dyDescent="0.3">
      <c r="A1994" t="s">
        <v>2320</v>
      </c>
      <c r="B1994" t="s">
        <v>2071</v>
      </c>
      <c r="C1994" t="s">
        <v>11</v>
      </c>
      <c r="D1994" t="s">
        <v>12</v>
      </c>
      <c r="E1994" t="s">
        <v>391</v>
      </c>
      <c r="H1994" t="s">
        <v>392</v>
      </c>
      <c r="I1994" t="s">
        <v>2100</v>
      </c>
      <c r="L1994" t="s">
        <v>394</v>
      </c>
      <c r="M1994" t="s">
        <v>2326</v>
      </c>
    </row>
    <row r="1995" spans="1:13" x14ac:dyDescent="0.3">
      <c r="A1995" t="s">
        <v>2312</v>
      </c>
      <c r="B1995" t="s">
        <v>399</v>
      </c>
      <c r="C1995" t="s">
        <v>308</v>
      </c>
      <c r="D1995" t="s">
        <v>2330</v>
      </c>
      <c r="E1995" t="s">
        <v>390</v>
      </c>
      <c r="H1995" t="s">
        <v>25</v>
      </c>
      <c r="I1995" t="s">
        <v>2101</v>
      </c>
      <c r="L1995" t="s">
        <v>312</v>
      </c>
      <c r="M1995" t="s">
        <v>411</v>
      </c>
    </row>
    <row r="1996" spans="1:13" x14ac:dyDescent="0.3">
      <c r="A1996" t="s">
        <v>2312</v>
      </c>
      <c r="B1996" t="s">
        <v>399</v>
      </c>
      <c r="C1996" t="s">
        <v>308</v>
      </c>
      <c r="D1996" t="s">
        <v>2331</v>
      </c>
      <c r="E1996" t="s">
        <v>396</v>
      </c>
      <c r="H1996" t="s">
        <v>25</v>
      </c>
      <c r="I1996" t="s">
        <v>2102</v>
      </c>
      <c r="L1996" t="s">
        <v>312</v>
      </c>
      <c r="M1996" t="s">
        <v>413</v>
      </c>
    </row>
    <row r="1997" spans="1:13" x14ac:dyDescent="0.3">
      <c r="A1997" t="s">
        <v>2332</v>
      </c>
      <c r="B1997" t="s">
        <v>501</v>
      </c>
      <c r="C1997" t="s">
        <v>11</v>
      </c>
      <c r="D1997" t="s">
        <v>12</v>
      </c>
      <c r="E1997" t="s">
        <v>391</v>
      </c>
      <c r="H1997" t="s">
        <v>392</v>
      </c>
      <c r="I1997" t="s">
        <v>2104</v>
      </c>
      <c r="L1997" t="s">
        <v>394</v>
      </c>
      <c r="M1997" t="s">
        <v>2326</v>
      </c>
    </row>
    <row r="1998" spans="1:13" x14ac:dyDescent="0.3">
      <c r="A1998" t="s">
        <v>2333</v>
      </c>
      <c r="B1998" t="s">
        <v>498</v>
      </c>
      <c r="C1998" t="s">
        <v>11</v>
      </c>
      <c r="D1998" t="s">
        <v>12</v>
      </c>
      <c r="E1998" t="s">
        <v>391</v>
      </c>
      <c r="H1998" t="s">
        <v>392</v>
      </c>
      <c r="I1998" t="s">
        <v>2106</v>
      </c>
      <c r="L1998" t="s">
        <v>394</v>
      </c>
      <c r="M1998" t="s">
        <v>2326</v>
      </c>
    </row>
    <row r="1999" spans="1:13" x14ac:dyDescent="0.3">
      <c r="A1999" t="s">
        <v>2313</v>
      </c>
      <c r="B1999" t="s">
        <v>488</v>
      </c>
      <c r="C1999" t="s">
        <v>308</v>
      </c>
      <c r="D1999" t="s">
        <v>2332</v>
      </c>
      <c r="E1999" t="s">
        <v>501</v>
      </c>
      <c r="H1999" t="s">
        <v>25</v>
      </c>
      <c r="I1999" t="s">
        <v>2107</v>
      </c>
      <c r="L1999" t="s">
        <v>312</v>
      </c>
      <c r="M1999" t="s">
        <v>2108</v>
      </c>
    </row>
    <row r="2000" spans="1:13" x14ac:dyDescent="0.3">
      <c r="A2000" t="s">
        <v>2313</v>
      </c>
      <c r="B2000" t="s">
        <v>488</v>
      </c>
      <c r="C2000" t="s">
        <v>308</v>
      </c>
      <c r="D2000" t="s">
        <v>2333</v>
      </c>
      <c r="E2000" t="s">
        <v>498</v>
      </c>
      <c r="H2000" t="s">
        <v>25</v>
      </c>
      <c r="I2000" t="s">
        <v>2109</v>
      </c>
      <c r="L2000" t="s">
        <v>312</v>
      </c>
      <c r="M2000" t="s">
        <v>385</v>
      </c>
    </row>
    <row r="2001" spans="1:13" x14ac:dyDescent="0.3">
      <c r="A2001" t="s">
        <v>2321</v>
      </c>
      <c r="B2001" t="s">
        <v>2074</v>
      </c>
      <c r="C2001" t="s">
        <v>11</v>
      </c>
      <c r="D2001" t="s">
        <v>12</v>
      </c>
      <c r="E2001" t="s">
        <v>391</v>
      </c>
      <c r="H2001" t="s">
        <v>392</v>
      </c>
      <c r="I2001" t="s">
        <v>2110</v>
      </c>
      <c r="L2001" t="s">
        <v>394</v>
      </c>
      <c r="M2001" t="s">
        <v>2326</v>
      </c>
    </row>
    <row r="2002" spans="1:13" x14ac:dyDescent="0.3">
      <c r="A2002" t="s">
        <v>2327</v>
      </c>
      <c r="B2002" t="s">
        <v>341</v>
      </c>
      <c r="C2002" t="s">
        <v>11</v>
      </c>
      <c r="D2002" t="s">
        <v>12</v>
      </c>
      <c r="E2002" t="s">
        <v>391</v>
      </c>
      <c r="H2002" t="s">
        <v>392</v>
      </c>
      <c r="I2002" t="s">
        <v>2334</v>
      </c>
      <c r="L2002" t="s">
        <v>394</v>
      </c>
      <c r="M2002" t="s">
        <v>2326</v>
      </c>
    </row>
    <row r="2003" spans="1:13" x14ac:dyDescent="0.3">
      <c r="A2003" t="s">
        <v>2318</v>
      </c>
      <c r="B2003" t="s">
        <v>348</v>
      </c>
      <c r="C2003" t="s">
        <v>11</v>
      </c>
      <c r="D2003" t="s">
        <v>12</v>
      </c>
      <c r="E2003" t="s">
        <v>391</v>
      </c>
      <c r="H2003" t="s">
        <v>392</v>
      </c>
      <c r="I2003" t="s">
        <v>2335</v>
      </c>
      <c r="L2003" t="s">
        <v>394</v>
      </c>
      <c r="M2003" t="s">
        <v>2326</v>
      </c>
    </row>
    <row r="2004" spans="1:13" x14ac:dyDescent="0.3">
      <c r="A2004" t="s">
        <v>2319</v>
      </c>
      <c r="B2004" t="s">
        <v>2068</v>
      </c>
      <c r="C2004" t="s">
        <v>11</v>
      </c>
      <c r="D2004" t="s">
        <v>12</v>
      </c>
      <c r="E2004" t="s">
        <v>391</v>
      </c>
      <c r="H2004" t="s">
        <v>392</v>
      </c>
      <c r="I2004" t="s">
        <v>2336</v>
      </c>
      <c r="L2004" t="s">
        <v>394</v>
      </c>
      <c r="M2004" t="s">
        <v>2326</v>
      </c>
    </row>
    <row r="2005" spans="1:13" x14ac:dyDescent="0.3">
      <c r="A2005" t="s">
        <v>2315</v>
      </c>
      <c r="B2005" t="s">
        <v>2060</v>
      </c>
      <c r="C2005" t="s">
        <v>11</v>
      </c>
      <c r="D2005" t="s">
        <v>12</v>
      </c>
      <c r="E2005" t="s">
        <v>391</v>
      </c>
      <c r="H2005" t="s">
        <v>392</v>
      </c>
      <c r="I2005" t="s">
        <v>2337</v>
      </c>
      <c r="L2005" t="s">
        <v>394</v>
      </c>
      <c r="M2005" t="s">
        <v>2326</v>
      </c>
    </row>
    <row r="2006" spans="1:13" x14ac:dyDescent="0.3">
      <c r="A2006" t="s">
        <v>2314</v>
      </c>
      <c r="B2006" t="s">
        <v>303</v>
      </c>
      <c r="C2006" t="s">
        <v>280</v>
      </c>
      <c r="D2006" t="s">
        <v>2338</v>
      </c>
      <c r="E2006" t="s">
        <v>478</v>
      </c>
      <c r="H2006" t="s">
        <v>25</v>
      </c>
      <c r="I2006" t="s">
        <v>515</v>
      </c>
    </row>
    <row r="2007" spans="1:13" x14ac:dyDescent="0.3">
      <c r="A2007" t="s">
        <v>2338</v>
      </c>
      <c r="B2007" t="s">
        <v>478</v>
      </c>
      <c r="C2007" t="s">
        <v>308</v>
      </c>
      <c r="D2007" t="s">
        <v>2339</v>
      </c>
      <c r="E2007" t="s">
        <v>2117</v>
      </c>
      <c r="H2007" t="s">
        <v>25</v>
      </c>
      <c r="I2007" t="s">
        <v>2118</v>
      </c>
      <c r="L2007" t="s">
        <v>312</v>
      </c>
      <c r="M2007" t="s">
        <v>343</v>
      </c>
    </row>
    <row r="2008" spans="1:13" x14ac:dyDescent="0.3">
      <c r="A2008" t="s">
        <v>2338</v>
      </c>
      <c r="B2008" t="s">
        <v>478</v>
      </c>
      <c r="C2008" t="s">
        <v>308</v>
      </c>
      <c r="D2008" t="s">
        <v>2340</v>
      </c>
      <c r="E2008" t="s">
        <v>2120</v>
      </c>
      <c r="H2008" t="s">
        <v>25</v>
      </c>
      <c r="I2008" t="s">
        <v>2121</v>
      </c>
      <c r="L2008" t="s">
        <v>312</v>
      </c>
      <c r="M2008" t="s">
        <v>343</v>
      </c>
    </row>
    <row r="2009" spans="1:13" x14ac:dyDescent="0.3">
      <c r="A2009" t="s">
        <v>2339</v>
      </c>
      <c r="B2009" t="s">
        <v>2117</v>
      </c>
      <c r="C2009" t="s">
        <v>11</v>
      </c>
      <c r="D2009" t="s">
        <v>12</v>
      </c>
      <c r="E2009" t="s">
        <v>391</v>
      </c>
      <c r="H2009" t="s">
        <v>392</v>
      </c>
      <c r="I2009" t="s">
        <v>2341</v>
      </c>
      <c r="L2009" t="s">
        <v>394</v>
      </c>
      <c r="M2009" t="s">
        <v>2326</v>
      </c>
    </row>
    <row r="2010" spans="1:13" x14ac:dyDescent="0.3">
      <c r="A2010" t="s">
        <v>2323</v>
      </c>
      <c r="B2010" t="s">
        <v>2080</v>
      </c>
      <c r="C2010" t="s">
        <v>11</v>
      </c>
      <c r="D2010" t="s">
        <v>12</v>
      </c>
      <c r="E2010" t="s">
        <v>391</v>
      </c>
      <c r="H2010" t="s">
        <v>392</v>
      </c>
      <c r="I2010" t="s">
        <v>2123</v>
      </c>
      <c r="L2010" t="s">
        <v>394</v>
      </c>
      <c r="M2010" t="s">
        <v>2326</v>
      </c>
    </row>
    <row r="2011" spans="1:13" x14ac:dyDescent="0.3">
      <c r="A2011" t="s">
        <v>2340</v>
      </c>
      <c r="B2011" t="s">
        <v>2120</v>
      </c>
      <c r="C2011" t="s">
        <v>11</v>
      </c>
      <c r="D2011" t="s">
        <v>12</v>
      </c>
      <c r="E2011" t="s">
        <v>391</v>
      </c>
      <c r="H2011" t="s">
        <v>392</v>
      </c>
      <c r="I2011" t="s">
        <v>2342</v>
      </c>
      <c r="L2011" t="s">
        <v>394</v>
      </c>
      <c r="M2011" t="s">
        <v>2326</v>
      </c>
    </row>
    <row r="2012" spans="1:13" x14ac:dyDescent="0.3">
      <c r="A2012" t="s">
        <v>2324</v>
      </c>
      <c r="B2012" t="s">
        <v>2086</v>
      </c>
      <c r="C2012" t="s">
        <v>11</v>
      </c>
      <c r="D2012" t="s">
        <v>12</v>
      </c>
      <c r="E2012" t="s">
        <v>391</v>
      </c>
      <c r="H2012" t="s">
        <v>392</v>
      </c>
      <c r="I2012" t="s">
        <v>2125</v>
      </c>
      <c r="L2012" t="s">
        <v>394</v>
      </c>
      <c r="M2012" t="s">
        <v>2326</v>
      </c>
    </row>
    <row r="2013" spans="1:13" x14ac:dyDescent="0.3">
      <c r="A2013" t="s">
        <v>2328</v>
      </c>
      <c r="B2013" t="s">
        <v>2095</v>
      </c>
      <c r="C2013" t="s">
        <v>11</v>
      </c>
      <c r="D2013" t="s">
        <v>12</v>
      </c>
      <c r="E2013" t="s">
        <v>391</v>
      </c>
      <c r="H2013" t="s">
        <v>392</v>
      </c>
      <c r="I2013" t="s">
        <v>2343</v>
      </c>
      <c r="L2013" t="s">
        <v>394</v>
      </c>
      <c r="M2013" t="s">
        <v>2326</v>
      </c>
    </row>
    <row r="2014" spans="1:13" x14ac:dyDescent="0.3">
      <c r="A2014" t="s">
        <v>2317</v>
      </c>
      <c r="B2014" t="s">
        <v>1138</v>
      </c>
      <c r="C2014" t="s">
        <v>11</v>
      </c>
      <c r="D2014" t="s">
        <v>12</v>
      </c>
      <c r="E2014" t="s">
        <v>391</v>
      </c>
      <c r="H2014" t="s">
        <v>392</v>
      </c>
      <c r="I2014" t="s">
        <v>2344</v>
      </c>
      <c r="L2014" t="s">
        <v>394</v>
      </c>
      <c r="M2014" t="s">
        <v>2326</v>
      </c>
    </row>
    <row r="2015" spans="1:13" x14ac:dyDescent="0.3">
      <c r="A2015" t="s">
        <v>2322</v>
      </c>
      <c r="B2015" t="s">
        <v>2077</v>
      </c>
      <c r="C2015" t="s">
        <v>11</v>
      </c>
      <c r="D2015" t="s">
        <v>12</v>
      </c>
      <c r="E2015" t="s">
        <v>391</v>
      </c>
      <c r="H2015" t="s">
        <v>392</v>
      </c>
      <c r="I2015" t="s">
        <v>2128</v>
      </c>
      <c r="L2015" t="s">
        <v>394</v>
      </c>
      <c r="M2015" t="s">
        <v>2326</v>
      </c>
    </row>
    <row r="2016" spans="1:13" x14ac:dyDescent="0.3">
      <c r="A2016" t="s">
        <v>2316</v>
      </c>
      <c r="B2016" t="s">
        <v>2060</v>
      </c>
      <c r="C2016" t="s">
        <v>11</v>
      </c>
      <c r="D2016" t="s">
        <v>12</v>
      </c>
      <c r="E2016" t="s">
        <v>391</v>
      </c>
      <c r="H2016" t="s">
        <v>392</v>
      </c>
      <c r="I2016" t="s">
        <v>2345</v>
      </c>
      <c r="L2016" t="s">
        <v>394</v>
      </c>
      <c r="M2016" t="s">
        <v>2326</v>
      </c>
    </row>
    <row r="2017" spans="1:17" x14ac:dyDescent="0.3">
      <c r="A2017" t="s">
        <v>2346</v>
      </c>
      <c r="B2017" t="s">
        <v>2052</v>
      </c>
      <c r="C2017" t="s">
        <v>280</v>
      </c>
      <c r="D2017" t="s">
        <v>2347</v>
      </c>
      <c r="E2017" t="s">
        <v>282</v>
      </c>
      <c r="H2017" t="s">
        <v>25</v>
      </c>
      <c r="I2017" t="s">
        <v>283</v>
      </c>
    </row>
    <row r="2018" spans="1:17" x14ac:dyDescent="0.3">
      <c r="A2018" t="s">
        <v>2346</v>
      </c>
      <c r="B2018" t="s">
        <v>2052</v>
      </c>
      <c r="C2018" t="s">
        <v>280</v>
      </c>
      <c r="D2018" t="s">
        <v>2348</v>
      </c>
      <c r="E2018" t="s">
        <v>399</v>
      </c>
      <c r="H2018" t="s">
        <v>25</v>
      </c>
      <c r="I2018" t="s">
        <v>2055</v>
      </c>
    </row>
    <row r="2019" spans="1:17" x14ac:dyDescent="0.3">
      <c r="A2019" t="s">
        <v>2346</v>
      </c>
      <c r="B2019" t="s">
        <v>2052</v>
      </c>
      <c r="C2019" t="s">
        <v>280</v>
      </c>
      <c r="D2019" t="s">
        <v>2349</v>
      </c>
      <c r="E2019" t="s">
        <v>488</v>
      </c>
      <c r="H2019" t="s">
        <v>25</v>
      </c>
      <c r="I2019" t="s">
        <v>2057</v>
      </c>
    </row>
    <row r="2020" spans="1:17" x14ac:dyDescent="0.3">
      <c r="A2020" t="s">
        <v>2346</v>
      </c>
      <c r="B2020" t="s">
        <v>2052</v>
      </c>
      <c r="C2020" t="s">
        <v>280</v>
      </c>
      <c r="D2020" t="s">
        <v>2350</v>
      </c>
      <c r="E2020" t="s">
        <v>303</v>
      </c>
      <c r="H2020" t="s">
        <v>25</v>
      </c>
      <c r="I2020" t="s">
        <v>304</v>
      </c>
    </row>
    <row r="2021" spans="1:17" x14ac:dyDescent="0.3">
      <c r="A2021" t="s">
        <v>2346</v>
      </c>
      <c r="B2021" t="s">
        <v>2052</v>
      </c>
      <c r="C2021" t="s">
        <v>308</v>
      </c>
      <c r="D2021" t="s">
        <v>2351</v>
      </c>
      <c r="E2021" t="s">
        <v>2060</v>
      </c>
      <c r="H2021" t="s">
        <v>25</v>
      </c>
      <c r="I2021" t="s">
        <v>2061</v>
      </c>
      <c r="L2021" t="s">
        <v>312</v>
      </c>
      <c r="M2021" t="s">
        <v>1687</v>
      </c>
    </row>
    <row r="2022" spans="1:17" x14ac:dyDescent="0.3">
      <c r="A2022" t="s">
        <v>2346</v>
      </c>
      <c r="B2022" t="s">
        <v>2052</v>
      </c>
      <c r="C2022" t="s">
        <v>308</v>
      </c>
      <c r="D2022" t="s">
        <v>2352</v>
      </c>
      <c r="E2022" t="s">
        <v>2060</v>
      </c>
      <c r="H2022" t="s">
        <v>25</v>
      </c>
      <c r="I2022" t="s">
        <v>2063</v>
      </c>
      <c r="L2022" t="s">
        <v>312</v>
      </c>
      <c r="M2022" t="s">
        <v>1687</v>
      </c>
    </row>
    <row r="2023" spans="1:17" x14ac:dyDescent="0.3">
      <c r="A2023" t="s">
        <v>2346</v>
      </c>
      <c r="B2023" t="s">
        <v>2052</v>
      </c>
      <c r="C2023" t="s">
        <v>308</v>
      </c>
      <c r="D2023" t="s">
        <v>2353</v>
      </c>
      <c r="E2023" t="s">
        <v>1138</v>
      </c>
      <c r="H2023" t="s">
        <v>25</v>
      </c>
      <c r="I2023" t="s">
        <v>2065</v>
      </c>
      <c r="L2023" t="s">
        <v>312</v>
      </c>
      <c r="M2023" t="s">
        <v>317</v>
      </c>
    </row>
    <row r="2024" spans="1:17" x14ac:dyDescent="0.3">
      <c r="A2024" t="s">
        <v>2346</v>
      </c>
      <c r="B2024" t="s">
        <v>2052</v>
      </c>
      <c r="C2024" t="s">
        <v>308</v>
      </c>
      <c r="D2024" t="s">
        <v>2354</v>
      </c>
      <c r="E2024" t="s">
        <v>348</v>
      </c>
      <c r="H2024" t="s">
        <v>25</v>
      </c>
      <c r="I2024" t="s">
        <v>349</v>
      </c>
      <c r="L2024" t="s">
        <v>312</v>
      </c>
      <c r="M2024" t="s">
        <v>317</v>
      </c>
    </row>
    <row r="2025" spans="1:17" x14ac:dyDescent="0.3">
      <c r="A2025" t="s">
        <v>2346</v>
      </c>
      <c r="B2025" t="s">
        <v>2052</v>
      </c>
      <c r="C2025" t="s">
        <v>308</v>
      </c>
      <c r="D2025" t="s">
        <v>2355</v>
      </c>
      <c r="E2025" t="s">
        <v>2068</v>
      </c>
      <c r="H2025" t="s">
        <v>25</v>
      </c>
      <c r="I2025" t="s">
        <v>2069</v>
      </c>
      <c r="L2025" t="s">
        <v>312</v>
      </c>
      <c r="M2025" t="s">
        <v>317</v>
      </c>
    </row>
    <row r="2026" spans="1:17" x14ac:dyDescent="0.3">
      <c r="A2026" t="s">
        <v>2346</v>
      </c>
      <c r="B2026" t="s">
        <v>2052</v>
      </c>
      <c r="C2026" t="s">
        <v>308</v>
      </c>
      <c r="D2026" t="s">
        <v>2356</v>
      </c>
      <c r="E2026" t="s">
        <v>2071</v>
      </c>
      <c r="H2026" t="s">
        <v>25</v>
      </c>
      <c r="I2026" t="s">
        <v>2072</v>
      </c>
      <c r="L2026" t="s">
        <v>312</v>
      </c>
      <c r="M2026" t="s">
        <v>1687</v>
      </c>
    </row>
    <row r="2027" spans="1:17" x14ac:dyDescent="0.3">
      <c r="A2027" t="s">
        <v>2346</v>
      </c>
      <c r="B2027" t="s">
        <v>2052</v>
      </c>
      <c r="C2027" t="s">
        <v>308</v>
      </c>
      <c r="D2027" t="s">
        <v>2357</v>
      </c>
      <c r="E2027" t="s">
        <v>2074</v>
      </c>
      <c r="H2027" t="s">
        <v>25</v>
      </c>
      <c r="I2027" t="s">
        <v>2075</v>
      </c>
      <c r="L2027" t="s">
        <v>312</v>
      </c>
      <c r="M2027" t="s">
        <v>1687</v>
      </c>
    </row>
    <row r="2028" spans="1:17" x14ac:dyDescent="0.3">
      <c r="A2028" t="s">
        <v>2346</v>
      </c>
      <c r="B2028" t="s">
        <v>2052</v>
      </c>
      <c r="C2028" t="s">
        <v>308</v>
      </c>
      <c r="D2028" t="s">
        <v>2358</v>
      </c>
      <c r="E2028" t="s">
        <v>2077</v>
      </c>
      <c r="H2028" t="s">
        <v>25</v>
      </c>
      <c r="I2028" t="s">
        <v>2078</v>
      </c>
      <c r="L2028" t="s">
        <v>312</v>
      </c>
      <c r="M2028" t="s">
        <v>1687</v>
      </c>
    </row>
    <row r="2029" spans="1:17" x14ac:dyDescent="0.3">
      <c r="A2029" t="s">
        <v>2346</v>
      </c>
      <c r="B2029" t="s">
        <v>2052</v>
      </c>
      <c r="C2029" t="s">
        <v>308</v>
      </c>
      <c r="D2029" t="s">
        <v>2359</v>
      </c>
      <c r="E2029" t="s">
        <v>2080</v>
      </c>
      <c r="H2029" t="s">
        <v>25</v>
      </c>
      <c r="I2029" t="s">
        <v>2081</v>
      </c>
      <c r="L2029" t="s">
        <v>312</v>
      </c>
      <c r="M2029" t="s">
        <v>2082</v>
      </c>
      <c r="P2029" t="s">
        <v>2083</v>
      </c>
      <c r="Q2029" t="s">
        <v>2084</v>
      </c>
    </row>
    <row r="2030" spans="1:17" x14ac:dyDescent="0.3">
      <c r="A2030" t="s">
        <v>2346</v>
      </c>
      <c r="B2030" t="s">
        <v>2052</v>
      </c>
      <c r="C2030" t="s">
        <v>308</v>
      </c>
      <c r="D2030" t="s">
        <v>2360</v>
      </c>
      <c r="E2030" t="s">
        <v>2086</v>
      </c>
      <c r="H2030" t="s">
        <v>25</v>
      </c>
      <c r="I2030" t="s">
        <v>2087</v>
      </c>
      <c r="L2030" t="s">
        <v>312</v>
      </c>
      <c r="M2030" t="s">
        <v>2082</v>
      </c>
      <c r="P2030" t="s">
        <v>2083</v>
      </c>
      <c r="Q2030" t="s">
        <v>2084</v>
      </c>
    </row>
    <row r="2031" spans="1:17" x14ac:dyDescent="0.3">
      <c r="A2031" t="s">
        <v>2346</v>
      </c>
      <c r="B2031" t="s">
        <v>2052</v>
      </c>
      <c r="C2031" t="s">
        <v>22</v>
      </c>
      <c r="D2031" t="s">
        <v>23</v>
      </c>
      <c r="E2031" t="s">
        <v>28</v>
      </c>
      <c r="F2031" t="s">
        <v>25</v>
      </c>
      <c r="G2031" t="s">
        <v>2361</v>
      </c>
      <c r="H2031" t="s">
        <v>2089</v>
      </c>
      <c r="I2031" t="s">
        <v>2090</v>
      </c>
    </row>
    <row r="2032" spans="1:17" x14ac:dyDescent="0.3">
      <c r="A2032" t="s">
        <v>2346</v>
      </c>
      <c r="B2032" t="s">
        <v>2052</v>
      </c>
      <c r="C2032" t="s">
        <v>1692</v>
      </c>
      <c r="D2032" t="s">
        <v>118</v>
      </c>
      <c r="E2032" t="s">
        <v>37</v>
      </c>
    </row>
    <row r="2033" spans="1:13" x14ac:dyDescent="0.3">
      <c r="A2033" t="s">
        <v>2346</v>
      </c>
      <c r="B2033" t="s">
        <v>2052</v>
      </c>
      <c r="C2033" t="s">
        <v>380</v>
      </c>
      <c r="D2033" t="s">
        <v>9</v>
      </c>
      <c r="E2033" t="s">
        <v>10</v>
      </c>
    </row>
    <row r="2034" spans="1:13" x14ac:dyDescent="0.3">
      <c r="A2034" t="s">
        <v>2346</v>
      </c>
      <c r="B2034" t="s">
        <v>2052</v>
      </c>
      <c r="C2034" t="s">
        <v>16</v>
      </c>
      <c r="D2034" t="s">
        <v>118</v>
      </c>
      <c r="E2034" t="s">
        <v>37</v>
      </c>
    </row>
    <row r="2035" spans="1:13" x14ac:dyDescent="0.3">
      <c r="A2035" t="s">
        <v>2346</v>
      </c>
      <c r="B2035" t="s">
        <v>2052</v>
      </c>
      <c r="C2035" t="s">
        <v>11</v>
      </c>
      <c r="D2035" t="s">
        <v>12</v>
      </c>
      <c r="E2035" t="s">
        <v>13</v>
      </c>
      <c r="H2035" t="s">
        <v>382</v>
      </c>
      <c r="I2035" t="s">
        <v>2362</v>
      </c>
      <c r="L2035" t="s">
        <v>14</v>
      </c>
      <c r="M2035" t="s">
        <v>2362</v>
      </c>
    </row>
    <row r="2036" spans="1:13" x14ac:dyDescent="0.3">
      <c r="A2036" t="s">
        <v>2346</v>
      </c>
      <c r="B2036" t="s">
        <v>2052</v>
      </c>
      <c r="C2036" t="s">
        <v>308</v>
      </c>
      <c r="D2036" t="s">
        <v>2363</v>
      </c>
      <c r="E2036" t="s">
        <v>341</v>
      </c>
      <c r="H2036" t="s">
        <v>25</v>
      </c>
      <c r="I2036" t="s">
        <v>2093</v>
      </c>
      <c r="L2036" t="s">
        <v>312</v>
      </c>
      <c r="M2036" t="s">
        <v>343</v>
      </c>
    </row>
    <row r="2037" spans="1:13" x14ac:dyDescent="0.3">
      <c r="A2037" t="s">
        <v>2346</v>
      </c>
      <c r="B2037" t="s">
        <v>2052</v>
      </c>
      <c r="C2037" t="s">
        <v>308</v>
      </c>
      <c r="D2037" t="s">
        <v>2364</v>
      </c>
      <c r="E2037" t="s">
        <v>2095</v>
      </c>
      <c r="H2037" t="s">
        <v>25</v>
      </c>
      <c r="I2037" t="s">
        <v>2096</v>
      </c>
      <c r="L2037" t="s">
        <v>312</v>
      </c>
      <c r="M2037" t="s">
        <v>343</v>
      </c>
    </row>
    <row r="2038" spans="1:13" x14ac:dyDescent="0.3">
      <c r="A2038" t="s">
        <v>2347</v>
      </c>
      <c r="B2038" t="s">
        <v>282</v>
      </c>
      <c r="C2038" t="s">
        <v>384</v>
      </c>
      <c r="D2038" t="s">
        <v>12</v>
      </c>
      <c r="E2038" t="s">
        <v>12</v>
      </c>
      <c r="H2038" t="s">
        <v>376</v>
      </c>
      <c r="I2038">
        <v>4.21</v>
      </c>
      <c r="L2038" t="s">
        <v>312</v>
      </c>
      <c r="M2038" t="s">
        <v>385</v>
      </c>
    </row>
    <row r="2039" spans="1:13" x14ac:dyDescent="0.3">
      <c r="A2039" t="s">
        <v>2347</v>
      </c>
      <c r="B2039" t="s">
        <v>282</v>
      </c>
      <c r="C2039" t="s">
        <v>280</v>
      </c>
      <c r="D2039" t="s">
        <v>2365</v>
      </c>
      <c r="E2039" t="s">
        <v>387</v>
      </c>
      <c r="H2039" t="s">
        <v>25</v>
      </c>
      <c r="I2039" t="s">
        <v>388</v>
      </c>
    </row>
    <row r="2040" spans="1:13" x14ac:dyDescent="0.3">
      <c r="A2040" t="s">
        <v>2366</v>
      </c>
      <c r="B2040" t="s">
        <v>390</v>
      </c>
      <c r="C2040" t="s">
        <v>11</v>
      </c>
      <c r="D2040" t="s">
        <v>12</v>
      </c>
      <c r="E2040" t="s">
        <v>391</v>
      </c>
      <c r="H2040" t="s">
        <v>392</v>
      </c>
      <c r="I2040" t="s">
        <v>393</v>
      </c>
      <c r="L2040" t="s">
        <v>394</v>
      </c>
      <c r="M2040" t="s">
        <v>2362</v>
      </c>
    </row>
    <row r="2041" spans="1:13" x14ac:dyDescent="0.3">
      <c r="A2041" t="s">
        <v>2367</v>
      </c>
      <c r="B2041" t="s">
        <v>396</v>
      </c>
      <c r="C2041" t="s">
        <v>11</v>
      </c>
      <c r="D2041" t="s">
        <v>12</v>
      </c>
      <c r="E2041" t="s">
        <v>391</v>
      </c>
      <c r="H2041" t="s">
        <v>392</v>
      </c>
      <c r="I2041" t="s">
        <v>397</v>
      </c>
      <c r="L2041" t="s">
        <v>394</v>
      </c>
      <c r="M2041" t="s">
        <v>2362</v>
      </c>
    </row>
    <row r="2042" spans="1:13" x14ac:dyDescent="0.3">
      <c r="A2042" t="s">
        <v>2356</v>
      </c>
      <c r="B2042" t="s">
        <v>2071</v>
      </c>
      <c r="C2042" t="s">
        <v>11</v>
      </c>
      <c r="D2042" t="s">
        <v>12</v>
      </c>
      <c r="E2042" t="s">
        <v>391</v>
      </c>
      <c r="H2042" t="s">
        <v>392</v>
      </c>
      <c r="I2042" t="s">
        <v>2100</v>
      </c>
      <c r="L2042" t="s">
        <v>394</v>
      </c>
      <c r="M2042" t="s">
        <v>2362</v>
      </c>
    </row>
    <row r="2043" spans="1:13" x14ac:dyDescent="0.3">
      <c r="A2043" t="s">
        <v>2348</v>
      </c>
      <c r="B2043" t="s">
        <v>399</v>
      </c>
      <c r="C2043" t="s">
        <v>308</v>
      </c>
      <c r="D2043" t="s">
        <v>2366</v>
      </c>
      <c r="E2043" t="s">
        <v>390</v>
      </c>
      <c r="H2043" t="s">
        <v>25</v>
      </c>
      <c r="I2043" t="s">
        <v>2101</v>
      </c>
      <c r="L2043" t="s">
        <v>312</v>
      </c>
      <c r="M2043" t="s">
        <v>411</v>
      </c>
    </row>
    <row r="2044" spans="1:13" x14ac:dyDescent="0.3">
      <c r="A2044" t="s">
        <v>2348</v>
      </c>
      <c r="B2044" t="s">
        <v>399</v>
      </c>
      <c r="C2044" t="s">
        <v>308</v>
      </c>
      <c r="D2044" t="s">
        <v>2367</v>
      </c>
      <c r="E2044" t="s">
        <v>396</v>
      </c>
      <c r="H2044" t="s">
        <v>25</v>
      </c>
      <c r="I2044" t="s">
        <v>2102</v>
      </c>
      <c r="L2044" t="s">
        <v>312</v>
      </c>
      <c r="M2044" t="s">
        <v>413</v>
      </c>
    </row>
    <row r="2045" spans="1:13" x14ac:dyDescent="0.3">
      <c r="A2045" t="s">
        <v>2368</v>
      </c>
      <c r="B2045" t="s">
        <v>501</v>
      </c>
      <c r="C2045" t="s">
        <v>11</v>
      </c>
      <c r="D2045" t="s">
        <v>12</v>
      </c>
      <c r="E2045" t="s">
        <v>391</v>
      </c>
      <c r="H2045" t="s">
        <v>392</v>
      </c>
      <c r="I2045" t="s">
        <v>2104</v>
      </c>
      <c r="L2045" t="s">
        <v>394</v>
      </c>
      <c r="M2045" t="s">
        <v>2362</v>
      </c>
    </row>
    <row r="2046" spans="1:13" x14ac:dyDescent="0.3">
      <c r="A2046" t="s">
        <v>2369</v>
      </c>
      <c r="B2046" t="s">
        <v>498</v>
      </c>
      <c r="C2046" t="s">
        <v>11</v>
      </c>
      <c r="D2046" t="s">
        <v>12</v>
      </c>
      <c r="E2046" t="s">
        <v>391</v>
      </c>
      <c r="H2046" t="s">
        <v>392</v>
      </c>
      <c r="I2046" t="s">
        <v>2106</v>
      </c>
      <c r="L2046" t="s">
        <v>394</v>
      </c>
      <c r="M2046" t="s">
        <v>2362</v>
      </c>
    </row>
    <row r="2047" spans="1:13" x14ac:dyDescent="0.3">
      <c r="A2047" t="s">
        <v>2349</v>
      </c>
      <c r="B2047" t="s">
        <v>488</v>
      </c>
      <c r="C2047" t="s">
        <v>308</v>
      </c>
      <c r="D2047" t="s">
        <v>2368</v>
      </c>
      <c r="E2047" t="s">
        <v>501</v>
      </c>
      <c r="H2047" t="s">
        <v>25</v>
      </c>
      <c r="I2047" t="s">
        <v>2107</v>
      </c>
      <c r="L2047" t="s">
        <v>312</v>
      </c>
      <c r="M2047" t="s">
        <v>2108</v>
      </c>
    </row>
    <row r="2048" spans="1:13" x14ac:dyDescent="0.3">
      <c r="A2048" t="s">
        <v>2349</v>
      </c>
      <c r="B2048" t="s">
        <v>488</v>
      </c>
      <c r="C2048" t="s">
        <v>308</v>
      </c>
      <c r="D2048" t="s">
        <v>2369</v>
      </c>
      <c r="E2048" t="s">
        <v>498</v>
      </c>
      <c r="H2048" t="s">
        <v>25</v>
      </c>
      <c r="I2048" t="s">
        <v>2109</v>
      </c>
      <c r="L2048" t="s">
        <v>312</v>
      </c>
      <c r="M2048" t="s">
        <v>385</v>
      </c>
    </row>
    <row r="2049" spans="1:13" x14ac:dyDescent="0.3">
      <c r="A2049" t="s">
        <v>2357</v>
      </c>
      <c r="B2049" t="s">
        <v>2074</v>
      </c>
      <c r="C2049" t="s">
        <v>11</v>
      </c>
      <c r="D2049" t="s">
        <v>12</v>
      </c>
      <c r="E2049" t="s">
        <v>391</v>
      </c>
      <c r="H2049" t="s">
        <v>392</v>
      </c>
      <c r="I2049" t="s">
        <v>2110</v>
      </c>
      <c r="L2049" t="s">
        <v>394</v>
      </c>
      <c r="M2049" t="s">
        <v>2362</v>
      </c>
    </row>
    <row r="2050" spans="1:13" x14ac:dyDescent="0.3">
      <c r="A2050" t="s">
        <v>2363</v>
      </c>
      <c r="B2050" t="s">
        <v>341</v>
      </c>
      <c r="C2050" t="s">
        <v>11</v>
      </c>
      <c r="D2050" t="s">
        <v>12</v>
      </c>
      <c r="E2050" t="s">
        <v>391</v>
      </c>
      <c r="H2050" t="s">
        <v>392</v>
      </c>
      <c r="I2050" t="s">
        <v>2370</v>
      </c>
      <c r="L2050" t="s">
        <v>394</v>
      </c>
      <c r="M2050" t="s">
        <v>2362</v>
      </c>
    </row>
    <row r="2051" spans="1:13" x14ac:dyDescent="0.3">
      <c r="A2051" t="s">
        <v>2354</v>
      </c>
      <c r="B2051" t="s">
        <v>348</v>
      </c>
      <c r="C2051" t="s">
        <v>11</v>
      </c>
      <c r="D2051" t="s">
        <v>12</v>
      </c>
      <c r="E2051" t="s">
        <v>391</v>
      </c>
      <c r="H2051" t="s">
        <v>392</v>
      </c>
      <c r="I2051" t="s">
        <v>2371</v>
      </c>
      <c r="L2051" t="s">
        <v>394</v>
      </c>
      <c r="M2051" t="s">
        <v>2362</v>
      </c>
    </row>
    <row r="2052" spans="1:13" x14ac:dyDescent="0.3">
      <c r="A2052" t="s">
        <v>2355</v>
      </c>
      <c r="B2052" t="s">
        <v>2068</v>
      </c>
      <c r="C2052" t="s">
        <v>11</v>
      </c>
      <c r="D2052" t="s">
        <v>12</v>
      </c>
      <c r="E2052" t="s">
        <v>391</v>
      </c>
      <c r="H2052" t="s">
        <v>392</v>
      </c>
      <c r="I2052" t="s">
        <v>2372</v>
      </c>
      <c r="L2052" t="s">
        <v>394</v>
      </c>
      <c r="M2052" t="s">
        <v>2362</v>
      </c>
    </row>
    <row r="2053" spans="1:13" x14ac:dyDescent="0.3">
      <c r="A2053" t="s">
        <v>2351</v>
      </c>
      <c r="B2053" t="s">
        <v>2060</v>
      </c>
      <c r="C2053" t="s">
        <v>11</v>
      </c>
      <c r="D2053" t="s">
        <v>12</v>
      </c>
      <c r="E2053" t="s">
        <v>391</v>
      </c>
      <c r="H2053" t="s">
        <v>392</v>
      </c>
      <c r="I2053" t="s">
        <v>2373</v>
      </c>
      <c r="L2053" t="s">
        <v>394</v>
      </c>
      <c r="M2053" t="s">
        <v>2362</v>
      </c>
    </row>
    <row r="2054" spans="1:13" x14ac:dyDescent="0.3">
      <c r="A2054" t="s">
        <v>2350</v>
      </c>
      <c r="B2054" t="s">
        <v>303</v>
      </c>
      <c r="C2054" t="s">
        <v>280</v>
      </c>
      <c r="D2054" t="s">
        <v>2374</v>
      </c>
      <c r="E2054" t="s">
        <v>478</v>
      </c>
      <c r="H2054" t="s">
        <v>25</v>
      </c>
      <c r="I2054" t="s">
        <v>515</v>
      </c>
    </row>
    <row r="2055" spans="1:13" x14ac:dyDescent="0.3">
      <c r="A2055" t="s">
        <v>2374</v>
      </c>
      <c r="B2055" t="s">
        <v>478</v>
      </c>
      <c r="C2055" t="s">
        <v>308</v>
      </c>
      <c r="D2055" t="s">
        <v>2375</v>
      </c>
      <c r="E2055" t="s">
        <v>2117</v>
      </c>
      <c r="H2055" t="s">
        <v>25</v>
      </c>
      <c r="I2055" t="s">
        <v>2118</v>
      </c>
      <c r="L2055" t="s">
        <v>312</v>
      </c>
      <c r="M2055" t="s">
        <v>343</v>
      </c>
    </row>
    <row r="2056" spans="1:13" x14ac:dyDescent="0.3">
      <c r="A2056" t="s">
        <v>2374</v>
      </c>
      <c r="B2056" t="s">
        <v>478</v>
      </c>
      <c r="C2056" t="s">
        <v>308</v>
      </c>
      <c r="D2056" t="s">
        <v>2376</v>
      </c>
      <c r="E2056" t="s">
        <v>2120</v>
      </c>
      <c r="H2056" t="s">
        <v>25</v>
      </c>
      <c r="I2056" t="s">
        <v>2121</v>
      </c>
      <c r="L2056" t="s">
        <v>312</v>
      </c>
      <c r="M2056" t="s">
        <v>343</v>
      </c>
    </row>
    <row r="2057" spans="1:13" x14ac:dyDescent="0.3">
      <c r="A2057" t="s">
        <v>2375</v>
      </c>
      <c r="B2057" t="s">
        <v>2117</v>
      </c>
      <c r="C2057" t="s">
        <v>11</v>
      </c>
      <c r="D2057" t="s">
        <v>12</v>
      </c>
      <c r="E2057" t="s">
        <v>391</v>
      </c>
      <c r="H2057" t="s">
        <v>392</v>
      </c>
      <c r="I2057" t="s">
        <v>2377</v>
      </c>
      <c r="L2057" t="s">
        <v>394</v>
      </c>
      <c r="M2057" t="s">
        <v>2362</v>
      </c>
    </row>
    <row r="2058" spans="1:13" x14ac:dyDescent="0.3">
      <c r="A2058" t="s">
        <v>2359</v>
      </c>
      <c r="B2058" t="s">
        <v>2080</v>
      </c>
      <c r="C2058" t="s">
        <v>11</v>
      </c>
      <c r="D2058" t="s">
        <v>12</v>
      </c>
      <c r="E2058" t="s">
        <v>391</v>
      </c>
      <c r="H2058" t="s">
        <v>392</v>
      </c>
      <c r="I2058" t="s">
        <v>2123</v>
      </c>
      <c r="L2058" t="s">
        <v>394</v>
      </c>
      <c r="M2058" t="s">
        <v>2362</v>
      </c>
    </row>
    <row r="2059" spans="1:13" x14ac:dyDescent="0.3">
      <c r="A2059" t="s">
        <v>2376</v>
      </c>
      <c r="B2059" t="s">
        <v>2120</v>
      </c>
      <c r="C2059" t="s">
        <v>11</v>
      </c>
      <c r="D2059" t="s">
        <v>12</v>
      </c>
      <c r="E2059" t="s">
        <v>391</v>
      </c>
      <c r="H2059" t="s">
        <v>392</v>
      </c>
      <c r="I2059" t="s">
        <v>2378</v>
      </c>
      <c r="L2059" t="s">
        <v>394</v>
      </c>
      <c r="M2059" t="s">
        <v>2362</v>
      </c>
    </row>
    <row r="2060" spans="1:13" x14ac:dyDescent="0.3">
      <c r="A2060" t="s">
        <v>2360</v>
      </c>
      <c r="B2060" t="s">
        <v>2086</v>
      </c>
      <c r="C2060" t="s">
        <v>11</v>
      </c>
      <c r="D2060" t="s">
        <v>12</v>
      </c>
      <c r="E2060" t="s">
        <v>391</v>
      </c>
      <c r="H2060" t="s">
        <v>392</v>
      </c>
      <c r="I2060" t="s">
        <v>2125</v>
      </c>
      <c r="L2060" t="s">
        <v>394</v>
      </c>
      <c r="M2060" t="s">
        <v>2362</v>
      </c>
    </row>
    <row r="2061" spans="1:13" x14ac:dyDescent="0.3">
      <c r="A2061" t="s">
        <v>2364</v>
      </c>
      <c r="B2061" t="s">
        <v>2095</v>
      </c>
      <c r="C2061" t="s">
        <v>11</v>
      </c>
      <c r="D2061" t="s">
        <v>12</v>
      </c>
      <c r="E2061" t="s">
        <v>391</v>
      </c>
      <c r="H2061" t="s">
        <v>392</v>
      </c>
      <c r="I2061" t="s">
        <v>2379</v>
      </c>
      <c r="L2061" t="s">
        <v>394</v>
      </c>
      <c r="M2061" t="s">
        <v>2362</v>
      </c>
    </row>
    <row r="2062" spans="1:13" x14ac:dyDescent="0.3">
      <c r="A2062" t="s">
        <v>2353</v>
      </c>
      <c r="B2062" t="s">
        <v>1138</v>
      </c>
      <c r="C2062" t="s">
        <v>11</v>
      </c>
      <c r="D2062" t="s">
        <v>12</v>
      </c>
      <c r="E2062" t="s">
        <v>391</v>
      </c>
      <c r="H2062" t="s">
        <v>392</v>
      </c>
      <c r="I2062" t="s">
        <v>2380</v>
      </c>
      <c r="L2062" t="s">
        <v>394</v>
      </c>
      <c r="M2062" t="s">
        <v>2362</v>
      </c>
    </row>
    <row r="2063" spans="1:13" x14ac:dyDescent="0.3">
      <c r="A2063" t="s">
        <v>2358</v>
      </c>
      <c r="B2063" t="s">
        <v>2077</v>
      </c>
      <c r="C2063" t="s">
        <v>11</v>
      </c>
      <c r="D2063" t="s">
        <v>12</v>
      </c>
      <c r="E2063" t="s">
        <v>391</v>
      </c>
      <c r="H2063" t="s">
        <v>392</v>
      </c>
      <c r="I2063" t="s">
        <v>2128</v>
      </c>
      <c r="L2063" t="s">
        <v>394</v>
      </c>
      <c r="M2063" t="s">
        <v>2362</v>
      </c>
    </row>
    <row r="2064" spans="1:13" x14ac:dyDescent="0.3">
      <c r="A2064" t="s">
        <v>2352</v>
      </c>
      <c r="B2064" t="s">
        <v>2060</v>
      </c>
      <c r="C2064" t="s">
        <v>11</v>
      </c>
      <c r="D2064" t="s">
        <v>12</v>
      </c>
      <c r="E2064" t="s">
        <v>391</v>
      </c>
      <c r="H2064" t="s">
        <v>392</v>
      </c>
      <c r="I2064" t="s">
        <v>2381</v>
      </c>
      <c r="L2064" t="s">
        <v>394</v>
      </c>
      <c r="M2064" t="s">
        <v>2362</v>
      </c>
    </row>
    <row r="2065" spans="1:17" x14ac:dyDescent="0.3">
      <c r="A2065" t="s">
        <v>2382</v>
      </c>
      <c r="B2065" t="s">
        <v>2052</v>
      </c>
      <c r="C2065" t="s">
        <v>280</v>
      </c>
      <c r="D2065" t="s">
        <v>2383</v>
      </c>
      <c r="E2065" t="s">
        <v>282</v>
      </c>
      <c r="H2065" t="s">
        <v>25</v>
      </c>
      <c r="I2065" t="s">
        <v>283</v>
      </c>
    </row>
    <row r="2066" spans="1:17" x14ac:dyDescent="0.3">
      <c r="A2066" t="s">
        <v>2382</v>
      </c>
      <c r="B2066" t="s">
        <v>2052</v>
      </c>
      <c r="C2066" t="s">
        <v>280</v>
      </c>
      <c r="D2066" t="s">
        <v>2384</v>
      </c>
      <c r="E2066" t="s">
        <v>399</v>
      </c>
      <c r="H2066" t="s">
        <v>25</v>
      </c>
      <c r="I2066" t="s">
        <v>2055</v>
      </c>
    </row>
    <row r="2067" spans="1:17" x14ac:dyDescent="0.3">
      <c r="A2067" t="s">
        <v>2382</v>
      </c>
      <c r="B2067" t="s">
        <v>2052</v>
      </c>
      <c r="C2067" t="s">
        <v>280</v>
      </c>
      <c r="D2067" t="s">
        <v>2385</v>
      </c>
      <c r="E2067" t="s">
        <v>488</v>
      </c>
      <c r="H2067" t="s">
        <v>25</v>
      </c>
      <c r="I2067" t="s">
        <v>2057</v>
      </c>
    </row>
    <row r="2068" spans="1:17" x14ac:dyDescent="0.3">
      <c r="A2068" t="s">
        <v>2382</v>
      </c>
      <c r="B2068" t="s">
        <v>2052</v>
      </c>
      <c r="C2068" t="s">
        <v>280</v>
      </c>
      <c r="D2068" t="s">
        <v>2386</v>
      </c>
      <c r="E2068" t="s">
        <v>303</v>
      </c>
      <c r="H2068" t="s">
        <v>25</v>
      </c>
      <c r="I2068" t="s">
        <v>304</v>
      </c>
    </row>
    <row r="2069" spans="1:17" x14ac:dyDescent="0.3">
      <c r="A2069" t="s">
        <v>2382</v>
      </c>
      <c r="B2069" t="s">
        <v>2052</v>
      </c>
      <c r="C2069" t="s">
        <v>308</v>
      </c>
      <c r="D2069" t="s">
        <v>2387</v>
      </c>
      <c r="E2069" t="s">
        <v>2060</v>
      </c>
      <c r="H2069" t="s">
        <v>25</v>
      </c>
      <c r="I2069" t="s">
        <v>2061</v>
      </c>
      <c r="L2069" t="s">
        <v>312</v>
      </c>
      <c r="M2069" t="s">
        <v>1687</v>
      </c>
    </row>
    <row r="2070" spans="1:17" x14ac:dyDescent="0.3">
      <c r="A2070" t="s">
        <v>2382</v>
      </c>
      <c r="B2070" t="s">
        <v>2052</v>
      </c>
      <c r="C2070" t="s">
        <v>308</v>
      </c>
      <c r="D2070" t="s">
        <v>2388</v>
      </c>
      <c r="E2070" t="s">
        <v>2060</v>
      </c>
      <c r="H2070" t="s">
        <v>25</v>
      </c>
      <c r="I2070" t="s">
        <v>2063</v>
      </c>
      <c r="L2070" t="s">
        <v>312</v>
      </c>
      <c r="M2070" t="s">
        <v>1687</v>
      </c>
    </row>
    <row r="2071" spans="1:17" x14ac:dyDescent="0.3">
      <c r="A2071" t="s">
        <v>2382</v>
      </c>
      <c r="B2071" t="s">
        <v>2052</v>
      </c>
      <c r="C2071" t="s">
        <v>308</v>
      </c>
      <c r="D2071" t="s">
        <v>2389</v>
      </c>
      <c r="E2071" t="s">
        <v>1138</v>
      </c>
      <c r="H2071" t="s">
        <v>25</v>
      </c>
      <c r="I2071" t="s">
        <v>2065</v>
      </c>
      <c r="L2071" t="s">
        <v>312</v>
      </c>
      <c r="M2071" t="s">
        <v>317</v>
      </c>
    </row>
    <row r="2072" spans="1:17" x14ac:dyDescent="0.3">
      <c r="A2072" t="s">
        <v>2382</v>
      </c>
      <c r="B2072" t="s">
        <v>2052</v>
      </c>
      <c r="C2072" t="s">
        <v>308</v>
      </c>
      <c r="D2072" t="s">
        <v>2390</v>
      </c>
      <c r="E2072" t="s">
        <v>348</v>
      </c>
      <c r="H2072" t="s">
        <v>25</v>
      </c>
      <c r="I2072" t="s">
        <v>349</v>
      </c>
      <c r="L2072" t="s">
        <v>312</v>
      </c>
      <c r="M2072" t="s">
        <v>317</v>
      </c>
    </row>
    <row r="2073" spans="1:17" x14ac:dyDescent="0.3">
      <c r="A2073" t="s">
        <v>2382</v>
      </c>
      <c r="B2073" t="s">
        <v>2052</v>
      </c>
      <c r="C2073" t="s">
        <v>308</v>
      </c>
      <c r="D2073" t="s">
        <v>2391</v>
      </c>
      <c r="E2073" t="s">
        <v>2068</v>
      </c>
      <c r="H2073" t="s">
        <v>25</v>
      </c>
      <c r="I2073" t="s">
        <v>2069</v>
      </c>
      <c r="L2073" t="s">
        <v>312</v>
      </c>
      <c r="M2073" t="s">
        <v>317</v>
      </c>
    </row>
    <row r="2074" spans="1:17" x14ac:dyDescent="0.3">
      <c r="A2074" t="s">
        <v>2382</v>
      </c>
      <c r="B2074" t="s">
        <v>2052</v>
      </c>
      <c r="C2074" t="s">
        <v>308</v>
      </c>
      <c r="D2074" t="s">
        <v>2392</v>
      </c>
      <c r="E2074" t="s">
        <v>2071</v>
      </c>
      <c r="H2074" t="s">
        <v>25</v>
      </c>
      <c r="I2074" t="s">
        <v>2072</v>
      </c>
      <c r="L2074" t="s">
        <v>312</v>
      </c>
      <c r="M2074" t="s">
        <v>1687</v>
      </c>
    </row>
    <row r="2075" spans="1:17" x14ac:dyDescent="0.3">
      <c r="A2075" t="s">
        <v>2382</v>
      </c>
      <c r="B2075" t="s">
        <v>2052</v>
      </c>
      <c r="C2075" t="s">
        <v>308</v>
      </c>
      <c r="D2075" t="s">
        <v>2393</v>
      </c>
      <c r="E2075" t="s">
        <v>2074</v>
      </c>
      <c r="H2075" t="s">
        <v>25</v>
      </c>
      <c r="I2075" t="s">
        <v>2075</v>
      </c>
      <c r="L2075" t="s">
        <v>312</v>
      </c>
      <c r="M2075" t="s">
        <v>1687</v>
      </c>
    </row>
    <row r="2076" spans="1:17" x14ac:dyDescent="0.3">
      <c r="A2076" t="s">
        <v>2382</v>
      </c>
      <c r="B2076" t="s">
        <v>2052</v>
      </c>
      <c r="C2076" t="s">
        <v>308</v>
      </c>
      <c r="D2076" t="s">
        <v>2394</v>
      </c>
      <c r="E2076" t="s">
        <v>2077</v>
      </c>
      <c r="H2076" t="s">
        <v>25</v>
      </c>
      <c r="I2076" t="s">
        <v>2078</v>
      </c>
      <c r="L2076" t="s">
        <v>312</v>
      </c>
      <c r="M2076" t="s">
        <v>1687</v>
      </c>
    </row>
    <row r="2077" spans="1:17" x14ac:dyDescent="0.3">
      <c r="A2077" t="s">
        <v>2382</v>
      </c>
      <c r="B2077" t="s">
        <v>2052</v>
      </c>
      <c r="C2077" t="s">
        <v>308</v>
      </c>
      <c r="D2077" t="s">
        <v>2395</v>
      </c>
      <c r="E2077" t="s">
        <v>2080</v>
      </c>
      <c r="H2077" t="s">
        <v>25</v>
      </c>
      <c r="I2077" t="s">
        <v>2081</v>
      </c>
      <c r="L2077" t="s">
        <v>312</v>
      </c>
      <c r="M2077" t="s">
        <v>2082</v>
      </c>
      <c r="P2077" t="s">
        <v>2083</v>
      </c>
      <c r="Q2077" t="s">
        <v>2084</v>
      </c>
    </row>
    <row r="2078" spans="1:17" x14ac:dyDescent="0.3">
      <c r="A2078" t="s">
        <v>2382</v>
      </c>
      <c r="B2078" t="s">
        <v>2052</v>
      </c>
      <c r="C2078" t="s">
        <v>308</v>
      </c>
      <c r="D2078" t="s">
        <v>2396</v>
      </c>
      <c r="E2078" t="s">
        <v>2086</v>
      </c>
      <c r="H2078" t="s">
        <v>25</v>
      </c>
      <c r="I2078" t="s">
        <v>2087</v>
      </c>
      <c r="L2078" t="s">
        <v>312</v>
      </c>
      <c r="M2078" t="s">
        <v>2082</v>
      </c>
      <c r="P2078" t="s">
        <v>2083</v>
      </c>
      <c r="Q2078" t="s">
        <v>2084</v>
      </c>
    </row>
    <row r="2079" spans="1:17" x14ac:dyDescent="0.3">
      <c r="A2079" t="s">
        <v>2382</v>
      </c>
      <c r="B2079" t="s">
        <v>2052</v>
      </c>
      <c r="C2079" t="s">
        <v>22</v>
      </c>
      <c r="D2079" t="s">
        <v>23</v>
      </c>
      <c r="E2079" t="s">
        <v>28</v>
      </c>
      <c r="F2079" t="s">
        <v>25</v>
      </c>
      <c r="G2079" t="s">
        <v>2397</v>
      </c>
      <c r="H2079" t="s">
        <v>2089</v>
      </c>
      <c r="I2079" t="s">
        <v>2090</v>
      </c>
    </row>
    <row r="2080" spans="1:17" x14ac:dyDescent="0.3">
      <c r="A2080" t="s">
        <v>2382</v>
      </c>
      <c r="B2080" t="s">
        <v>2052</v>
      </c>
      <c r="C2080" t="s">
        <v>1692</v>
      </c>
      <c r="D2080" t="s">
        <v>93</v>
      </c>
      <c r="E2080" t="s">
        <v>37</v>
      </c>
    </row>
    <row r="2081" spans="1:13" x14ac:dyDescent="0.3">
      <c r="A2081" t="s">
        <v>2382</v>
      </c>
      <c r="B2081" t="s">
        <v>2052</v>
      </c>
      <c r="C2081" t="s">
        <v>380</v>
      </c>
      <c r="D2081" t="s">
        <v>9</v>
      </c>
      <c r="E2081" t="s">
        <v>10</v>
      </c>
    </row>
    <row r="2082" spans="1:13" x14ac:dyDescent="0.3">
      <c r="A2082" t="s">
        <v>2382</v>
      </c>
      <c r="B2082" t="s">
        <v>2052</v>
      </c>
      <c r="C2082" t="s">
        <v>16</v>
      </c>
      <c r="D2082" t="s">
        <v>93</v>
      </c>
      <c r="E2082" t="s">
        <v>37</v>
      </c>
    </row>
    <row r="2083" spans="1:13" x14ac:dyDescent="0.3">
      <c r="A2083" t="s">
        <v>2382</v>
      </c>
      <c r="B2083" t="s">
        <v>2052</v>
      </c>
      <c r="C2083" t="s">
        <v>11</v>
      </c>
      <c r="D2083" t="s">
        <v>12</v>
      </c>
      <c r="E2083" t="s">
        <v>13</v>
      </c>
      <c r="H2083" t="s">
        <v>382</v>
      </c>
      <c r="I2083" t="s">
        <v>2398</v>
      </c>
      <c r="L2083" t="s">
        <v>14</v>
      </c>
      <c r="M2083" t="s">
        <v>2398</v>
      </c>
    </row>
    <row r="2084" spans="1:13" x14ac:dyDescent="0.3">
      <c r="A2084" t="s">
        <v>2382</v>
      </c>
      <c r="B2084" t="s">
        <v>2052</v>
      </c>
      <c r="C2084" t="s">
        <v>308</v>
      </c>
      <c r="D2084" t="s">
        <v>2399</v>
      </c>
      <c r="E2084" t="s">
        <v>341</v>
      </c>
      <c r="H2084" t="s">
        <v>25</v>
      </c>
      <c r="I2084" t="s">
        <v>2093</v>
      </c>
      <c r="L2084" t="s">
        <v>312</v>
      </c>
      <c r="M2084" t="s">
        <v>343</v>
      </c>
    </row>
    <row r="2085" spans="1:13" x14ac:dyDescent="0.3">
      <c r="A2085" t="s">
        <v>2382</v>
      </c>
      <c r="B2085" t="s">
        <v>2052</v>
      </c>
      <c r="C2085" t="s">
        <v>308</v>
      </c>
      <c r="D2085" t="s">
        <v>2400</v>
      </c>
      <c r="E2085" t="s">
        <v>2095</v>
      </c>
      <c r="H2085" t="s">
        <v>25</v>
      </c>
      <c r="I2085" t="s">
        <v>2096</v>
      </c>
      <c r="L2085" t="s">
        <v>312</v>
      </c>
      <c r="M2085" t="s">
        <v>343</v>
      </c>
    </row>
    <row r="2086" spans="1:13" x14ac:dyDescent="0.3">
      <c r="A2086" t="s">
        <v>2383</v>
      </c>
      <c r="B2086" t="s">
        <v>282</v>
      </c>
      <c r="C2086" t="s">
        <v>384</v>
      </c>
      <c r="D2086" t="s">
        <v>12</v>
      </c>
      <c r="E2086" t="s">
        <v>12</v>
      </c>
      <c r="H2086" t="s">
        <v>376</v>
      </c>
      <c r="I2086">
        <v>0.73</v>
      </c>
      <c r="L2086" t="s">
        <v>312</v>
      </c>
      <c r="M2086" t="s">
        <v>385</v>
      </c>
    </row>
    <row r="2087" spans="1:13" x14ac:dyDescent="0.3">
      <c r="A2087" t="s">
        <v>2383</v>
      </c>
      <c r="B2087" t="s">
        <v>282</v>
      </c>
      <c r="C2087" t="s">
        <v>280</v>
      </c>
      <c r="D2087" t="s">
        <v>2401</v>
      </c>
      <c r="E2087" t="s">
        <v>387</v>
      </c>
      <c r="H2087" t="s">
        <v>25</v>
      </c>
      <c r="I2087" t="s">
        <v>388</v>
      </c>
    </row>
    <row r="2088" spans="1:13" x14ac:dyDescent="0.3">
      <c r="A2088" t="s">
        <v>2402</v>
      </c>
      <c r="B2088" t="s">
        <v>390</v>
      </c>
      <c r="C2088" t="s">
        <v>11</v>
      </c>
      <c r="D2088" t="s">
        <v>12</v>
      </c>
      <c r="E2088" t="s">
        <v>391</v>
      </c>
      <c r="H2088" t="s">
        <v>392</v>
      </c>
      <c r="I2088" t="s">
        <v>393</v>
      </c>
      <c r="L2088" t="s">
        <v>394</v>
      </c>
      <c r="M2088" t="s">
        <v>2398</v>
      </c>
    </row>
    <row r="2089" spans="1:13" x14ac:dyDescent="0.3">
      <c r="A2089" t="s">
        <v>2403</v>
      </c>
      <c r="B2089" t="s">
        <v>396</v>
      </c>
      <c r="C2089" t="s">
        <v>11</v>
      </c>
      <c r="D2089" t="s">
        <v>12</v>
      </c>
      <c r="E2089" t="s">
        <v>391</v>
      </c>
      <c r="H2089" t="s">
        <v>392</v>
      </c>
      <c r="I2089" t="s">
        <v>397</v>
      </c>
      <c r="L2089" t="s">
        <v>394</v>
      </c>
      <c r="M2089" t="s">
        <v>2398</v>
      </c>
    </row>
    <row r="2090" spans="1:13" x14ac:dyDescent="0.3">
      <c r="A2090" t="s">
        <v>2392</v>
      </c>
      <c r="B2090" t="s">
        <v>2071</v>
      </c>
      <c r="C2090" t="s">
        <v>11</v>
      </c>
      <c r="D2090" t="s">
        <v>12</v>
      </c>
      <c r="E2090" t="s">
        <v>391</v>
      </c>
      <c r="H2090" t="s">
        <v>392</v>
      </c>
      <c r="I2090" t="s">
        <v>2100</v>
      </c>
      <c r="L2090" t="s">
        <v>394</v>
      </c>
      <c r="M2090" t="s">
        <v>2398</v>
      </c>
    </row>
    <row r="2091" spans="1:13" x14ac:dyDescent="0.3">
      <c r="A2091" t="s">
        <v>2384</v>
      </c>
      <c r="B2091" t="s">
        <v>399</v>
      </c>
      <c r="C2091" t="s">
        <v>308</v>
      </c>
      <c r="D2091" t="s">
        <v>2402</v>
      </c>
      <c r="E2091" t="s">
        <v>390</v>
      </c>
      <c r="H2091" t="s">
        <v>25</v>
      </c>
      <c r="I2091" t="s">
        <v>2101</v>
      </c>
      <c r="L2091" t="s">
        <v>312</v>
      </c>
      <c r="M2091" t="s">
        <v>411</v>
      </c>
    </row>
    <row r="2092" spans="1:13" x14ac:dyDescent="0.3">
      <c r="A2092" t="s">
        <v>2384</v>
      </c>
      <c r="B2092" t="s">
        <v>399</v>
      </c>
      <c r="C2092" t="s">
        <v>308</v>
      </c>
      <c r="D2092" t="s">
        <v>2403</v>
      </c>
      <c r="E2092" t="s">
        <v>396</v>
      </c>
      <c r="H2092" t="s">
        <v>25</v>
      </c>
      <c r="I2092" t="s">
        <v>2102</v>
      </c>
      <c r="L2092" t="s">
        <v>312</v>
      </c>
      <c r="M2092" t="s">
        <v>413</v>
      </c>
    </row>
    <row r="2093" spans="1:13" x14ac:dyDescent="0.3">
      <c r="A2093" t="s">
        <v>2404</v>
      </c>
      <c r="B2093" t="s">
        <v>501</v>
      </c>
      <c r="C2093" t="s">
        <v>11</v>
      </c>
      <c r="D2093" t="s">
        <v>12</v>
      </c>
      <c r="E2093" t="s">
        <v>391</v>
      </c>
      <c r="H2093" t="s">
        <v>392</v>
      </c>
      <c r="I2093" t="s">
        <v>2104</v>
      </c>
      <c r="L2093" t="s">
        <v>394</v>
      </c>
      <c r="M2093" t="s">
        <v>2398</v>
      </c>
    </row>
    <row r="2094" spans="1:13" x14ac:dyDescent="0.3">
      <c r="A2094" t="s">
        <v>2405</v>
      </c>
      <c r="B2094" t="s">
        <v>498</v>
      </c>
      <c r="C2094" t="s">
        <v>11</v>
      </c>
      <c r="D2094" t="s">
        <v>12</v>
      </c>
      <c r="E2094" t="s">
        <v>391</v>
      </c>
      <c r="H2094" t="s">
        <v>392</v>
      </c>
      <c r="I2094" t="s">
        <v>2106</v>
      </c>
      <c r="L2094" t="s">
        <v>394</v>
      </c>
      <c r="M2094" t="s">
        <v>2398</v>
      </c>
    </row>
    <row r="2095" spans="1:13" x14ac:dyDescent="0.3">
      <c r="A2095" t="s">
        <v>2385</v>
      </c>
      <c r="B2095" t="s">
        <v>488</v>
      </c>
      <c r="C2095" t="s">
        <v>308</v>
      </c>
      <c r="D2095" t="s">
        <v>2404</v>
      </c>
      <c r="E2095" t="s">
        <v>501</v>
      </c>
      <c r="H2095" t="s">
        <v>25</v>
      </c>
      <c r="I2095" t="s">
        <v>2107</v>
      </c>
      <c r="L2095" t="s">
        <v>312</v>
      </c>
      <c r="M2095" t="s">
        <v>2108</v>
      </c>
    </row>
    <row r="2096" spans="1:13" x14ac:dyDescent="0.3">
      <c r="A2096" t="s">
        <v>2385</v>
      </c>
      <c r="B2096" t="s">
        <v>488</v>
      </c>
      <c r="C2096" t="s">
        <v>308</v>
      </c>
      <c r="D2096" t="s">
        <v>2405</v>
      </c>
      <c r="E2096" t="s">
        <v>498</v>
      </c>
      <c r="H2096" t="s">
        <v>25</v>
      </c>
      <c r="I2096" t="s">
        <v>2109</v>
      </c>
      <c r="L2096" t="s">
        <v>312</v>
      </c>
      <c r="M2096" t="s">
        <v>385</v>
      </c>
    </row>
    <row r="2097" spans="1:13" x14ac:dyDescent="0.3">
      <c r="A2097" t="s">
        <v>2393</v>
      </c>
      <c r="B2097" t="s">
        <v>2074</v>
      </c>
      <c r="C2097" t="s">
        <v>11</v>
      </c>
      <c r="D2097" t="s">
        <v>12</v>
      </c>
      <c r="E2097" t="s">
        <v>391</v>
      </c>
      <c r="H2097" t="s">
        <v>392</v>
      </c>
      <c r="I2097" t="s">
        <v>2110</v>
      </c>
      <c r="L2097" t="s">
        <v>394</v>
      </c>
      <c r="M2097" t="s">
        <v>2398</v>
      </c>
    </row>
    <row r="2098" spans="1:13" x14ac:dyDescent="0.3">
      <c r="A2098" t="s">
        <v>2399</v>
      </c>
      <c r="B2098" t="s">
        <v>341</v>
      </c>
      <c r="C2098" t="s">
        <v>11</v>
      </c>
      <c r="D2098" t="s">
        <v>12</v>
      </c>
      <c r="E2098" t="s">
        <v>391</v>
      </c>
      <c r="H2098" t="s">
        <v>392</v>
      </c>
      <c r="I2098" t="s">
        <v>2406</v>
      </c>
      <c r="L2098" t="s">
        <v>394</v>
      </c>
      <c r="M2098" t="s">
        <v>2398</v>
      </c>
    </row>
    <row r="2099" spans="1:13" x14ac:dyDescent="0.3">
      <c r="A2099" t="s">
        <v>2390</v>
      </c>
      <c r="B2099" t="s">
        <v>348</v>
      </c>
      <c r="C2099" t="s">
        <v>11</v>
      </c>
      <c r="D2099" t="s">
        <v>12</v>
      </c>
      <c r="E2099" t="s">
        <v>391</v>
      </c>
      <c r="H2099" t="s">
        <v>392</v>
      </c>
      <c r="I2099" t="s">
        <v>2407</v>
      </c>
      <c r="L2099" t="s">
        <v>394</v>
      </c>
      <c r="M2099" t="s">
        <v>2398</v>
      </c>
    </row>
    <row r="2100" spans="1:13" x14ac:dyDescent="0.3">
      <c r="A2100" t="s">
        <v>2391</v>
      </c>
      <c r="B2100" t="s">
        <v>2068</v>
      </c>
      <c r="C2100" t="s">
        <v>11</v>
      </c>
      <c r="D2100" t="s">
        <v>12</v>
      </c>
      <c r="E2100" t="s">
        <v>391</v>
      </c>
      <c r="H2100" t="s">
        <v>392</v>
      </c>
      <c r="I2100" t="s">
        <v>2408</v>
      </c>
      <c r="L2100" t="s">
        <v>394</v>
      </c>
      <c r="M2100" t="s">
        <v>2398</v>
      </c>
    </row>
    <row r="2101" spans="1:13" x14ac:dyDescent="0.3">
      <c r="A2101" t="s">
        <v>2387</v>
      </c>
      <c r="B2101" t="s">
        <v>2060</v>
      </c>
      <c r="C2101" t="s">
        <v>11</v>
      </c>
      <c r="D2101" t="s">
        <v>12</v>
      </c>
      <c r="E2101" t="s">
        <v>391</v>
      </c>
      <c r="H2101" t="s">
        <v>392</v>
      </c>
      <c r="I2101" t="s">
        <v>2409</v>
      </c>
      <c r="L2101" t="s">
        <v>394</v>
      </c>
      <c r="M2101" t="s">
        <v>2398</v>
      </c>
    </row>
    <row r="2102" spans="1:13" x14ac:dyDescent="0.3">
      <c r="A2102" t="s">
        <v>2386</v>
      </c>
      <c r="B2102" t="s">
        <v>303</v>
      </c>
      <c r="C2102" t="s">
        <v>280</v>
      </c>
      <c r="D2102" t="s">
        <v>2410</v>
      </c>
      <c r="E2102" t="s">
        <v>478</v>
      </c>
      <c r="H2102" t="s">
        <v>25</v>
      </c>
      <c r="I2102" t="s">
        <v>515</v>
      </c>
    </row>
    <row r="2103" spans="1:13" x14ac:dyDescent="0.3">
      <c r="A2103" t="s">
        <v>2410</v>
      </c>
      <c r="B2103" t="s">
        <v>478</v>
      </c>
      <c r="C2103" t="s">
        <v>308</v>
      </c>
      <c r="D2103" t="s">
        <v>2411</v>
      </c>
      <c r="E2103" t="s">
        <v>2117</v>
      </c>
      <c r="H2103" t="s">
        <v>25</v>
      </c>
      <c r="I2103" t="s">
        <v>2118</v>
      </c>
      <c r="L2103" t="s">
        <v>312</v>
      </c>
      <c r="M2103" t="s">
        <v>343</v>
      </c>
    </row>
    <row r="2104" spans="1:13" x14ac:dyDescent="0.3">
      <c r="A2104" t="s">
        <v>2410</v>
      </c>
      <c r="B2104" t="s">
        <v>478</v>
      </c>
      <c r="C2104" t="s">
        <v>308</v>
      </c>
      <c r="D2104" t="s">
        <v>2412</v>
      </c>
      <c r="E2104" t="s">
        <v>2120</v>
      </c>
      <c r="H2104" t="s">
        <v>25</v>
      </c>
      <c r="I2104" t="s">
        <v>2121</v>
      </c>
      <c r="L2104" t="s">
        <v>312</v>
      </c>
      <c r="M2104" t="s">
        <v>343</v>
      </c>
    </row>
    <row r="2105" spans="1:13" x14ac:dyDescent="0.3">
      <c r="A2105" t="s">
        <v>2411</v>
      </c>
      <c r="B2105" t="s">
        <v>2117</v>
      </c>
      <c r="C2105" t="s">
        <v>11</v>
      </c>
      <c r="D2105" t="s">
        <v>12</v>
      </c>
      <c r="E2105" t="s">
        <v>391</v>
      </c>
      <c r="H2105" t="s">
        <v>392</v>
      </c>
      <c r="I2105" t="s">
        <v>2413</v>
      </c>
      <c r="L2105" t="s">
        <v>394</v>
      </c>
      <c r="M2105" t="s">
        <v>2398</v>
      </c>
    </row>
    <row r="2106" spans="1:13" x14ac:dyDescent="0.3">
      <c r="A2106" t="s">
        <v>2395</v>
      </c>
      <c r="B2106" t="s">
        <v>2080</v>
      </c>
      <c r="C2106" t="s">
        <v>11</v>
      </c>
      <c r="D2106" t="s">
        <v>12</v>
      </c>
      <c r="E2106" t="s">
        <v>391</v>
      </c>
      <c r="H2106" t="s">
        <v>392</v>
      </c>
      <c r="I2106" t="s">
        <v>2123</v>
      </c>
      <c r="L2106" t="s">
        <v>394</v>
      </c>
      <c r="M2106" t="s">
        <v>2398</v>
      </c>
    </row>
    <row r="2107" spans="1:13" x14ac:dyDescent="0.3">
      <c r="A2107" t="s">
        <v>2412</v>
      </c>
      <c r="B2107" t="s">
        <v>2120</v>
      </c>
      <c r="C2107" t="s">
        <v>11</v>
      </c>
      <c r="D2107" t="s">
        <v>12</v>
      </c>
      <c r="E2107" t="s">
        <v>391</v>
      </c>
      <c r="H2107" t="s">
        <v>392</v>
      </c>
      <c r="I2107" t="s">
        <v>2414</v>
      </c>
      <c r="L2107" t="s">
        <v>394</v>
      </c>
      <c r="M2107" t="s">
        <v>2398</v>
      </c>
    </row>
    <row r="2108" spans="1:13" x14ac:dyDescent="0.3">
      <c r="A2108" t="s">
        <v>2396</v>
      </c>
      <c r="B2108" t="s">
        <v>2086</v>
      </c>
      <c r="C2108" t="s">
        <v>11</v>
      </c>
      <c r="D2108" t="s">
        <v>12</v>
      </c>
      <c r="E2108" t="s">
        <v>391</v>
      </c>
      <c r="H2108" t="s">
        <v>392</v>
      </c>
      <c r="I2108" t="s">
        <v>2125</v>
      </c>
      <c r="L2108" t="s">
        <v>394</v>
      </c>
      <c r="M2108" t="s">
        <v>2398</v>
      </c>
    </row>
    <row r="2109" spans="1:13" x14ac:dyDescent="0.3">
      <c r="A2109" t="s">
        <v>2400</v>
      </c>
      <c r="B2109" t="s">
        <v>2095</v>
      </c>
      <c r="C2109" t="s">
        <v>11</v>
      </c>
      <c r="D2109" t="s">
        <v>12</v>
      </c>
      <c r="E2109" t="s">
        <v>391</v>
      </c>
      <c r="H2109" t="s">
        <v>392</v>
      </c>
      <c r="I2109" t="s">
        <v>2415</v>
      </c>
      <c r="L2109" t="s">
        <v>394</v>
      </c>
      <c r="M2109" t="s">
        <v>2398</v>
      </c>
    </row>
    <row r="2110" spans="1:13" x14ac:dyDescent="0.3">
      <c r="A2110" t="s">
        <v>2389</v>
      </c>
      <c r="B2110" t="s">
        <v>1138</v>
      </c>
      <c r="C2110" t="s">
        <v>11</v>
      </c>
      <c r="D2110" t="s">
        <v>12</v>
      </c>
      <c r="E2110" t="s">
        <v>391</v>
      </c>
      <c r="H2110" t="s">
        <v>392</v>
      </c>
      <c r="I2110" t="s">
        <v>2416</v>
      </c>
      <c r="L2110" t="s">
        <v>394</v>
      </c>
      <c r="M2110" t="s">
        <v>2398</v>
      </c>
    </row>
    <row r="2111" spans="1:13" x14ac:dyDescent="0.3">
      <c r="A2111" t="s">
        <v>2394</v>
      </c>
      <c r="B2111" t="s">
        <v>2077</v>
      </c>
      <c r="C2111" t="s">
        <v>11</v>
      </c>
      <c r="D2111" t="s">
        <v>12</v>
      </c>
      <c r="E2111" t="s">
        <v>391</v>
      </c>
      <c r="H2111" t="s">
        <v>392</v>
      </c>
      <c r="I2111" t="s">
        <v>2128</v>
      </c>
      <c r="L2111" t="s">
        <v>394</v>
      </c>
      <c r="M2111" t="s">
        <v>2398</v>
      </c>
    </row>
    <row r="2112" spans="1:13" x14ac:dyDescent="0.3">
      <c r="A2112" t="s">
        <v>2388</v>
      </c>
      <c r="B2112" t="s">
        <v>2060</v>
      </c>
      <c r="C2112" t="s">
        <v>11</v>
      </c>
      <c r="D2112" t="s">
        <v>12</v>
      </c>
      <c r="E2112" t="s">
        <v>391</v>
      </c>
      <c r="H2112" t="s">
        <v>392</v>
      </c>
      <c r="I2112" t="s">
        <v>2417</v>
      </c>
      <c r="L2112" t="s">
        <v>394</v>
      </c>
      <c r="M2112" t="s">
        <v>2398</v>
      </c>
    </row>
    <row r="2113" spans="1:17" x14ac:dyDescent="0.3">
      <c r="A2113" t="s">
        <v>2418</v>
      </c>
      <c r="B2113" t="s">
        <v>2052</v>
      </c>
      <c r="C2113" t="s">
        <v>280</v>
      </c>
      <c r="D2113" t="s">
        <v>2419</v>
      </c>
      <c r="E2113" t="s">
        <v>282</v>
      </c>
      <c r="H2113" t="s">
        <v>25</v>
      </c>
      <c r="I2113" t="s">
        <v>283</v>
      </c>
    </row>
    <row r="2114" spans="1:17" x14ac:dyDescent="0.3">
      <c r="A2114" t="s">
        <v>2418</v>
      </c>
      <c r="B2114" t="s">
        <v>2052</v>
      </c>
      <c r="C2114" t="s">
        <v>280</v>
      </c>
      <c r="D2114" t="s">
        <v>2420</v>
      </c>
      <c r="E2114" t="s">
        <v>399</v>
      </c>
      <c r="H2114" t="s">
        <v>25</v>
      </c>
      <c r="I2114" t="s">
        <v>2055</v>
      </c>
    </row>
    <row r="2115" spans="1:17" x14ac:dyDescent="0.3">
      <c r="A2115" t="s">
        <v>2418</v>
      </c>
      <c r="B2115" t="s">
        <v>2052</v>
      </c>
      <c r="C2115" t="s">
        <v>280</v>
      </c>
      <c r="D2115" t="s">
        <v>2421</v>
      </c>
      <c r="E2115" t="s">
        <v>488</v>
      </c>
      <c r="H2115" t="s">
        <v>25</v>
      </c>
      <c r="I2115" t="s">
        <v>2057</v>
      </c>
    </row>
    <row r="2116" spans="1:17" x14ac:dyDescent="0.3">
      <c r="A2116" t="s">
        <v>2418</v>
      </c>
      <c r="B2116" t="s">
        <v>2052</v>
      </c>
      <c r="C2116" t="s">
        <v>280</v>
      </c>
      <c r="D2116" t="s">
        <v>2422</v>
      </c>
      <c r="E2116" t="s">
        <v>303</v>
      </c>
      <c r="H2116" t="s">
        <v>25</v>
      </c>
      <c r="I2116" t="s">
        <v>304</v>
      </c>
    </row>
    <row r="2117" spans="1:17" x14ac:dyDescent="0.3">
      <c r="A2117" t="s">
        <v>2418</v>
      </c>
      <c r="B2117" t="s">
        <v>2052</v>
      </c>
      <c r="C2117" t="s">
        <v>308</v>
      </c>
      <c r="D2117" t="s">
        <v>2423</v>
      </c>
      <c r="E2117" t="s">
        <v>2060</v>
      </c>
      <c r="H2117" t="s">
        <v>25</v>
      </c>
      <c r="I2117" t="s">
        <v>2061</v>
      </c>
      <c r="L2117" t="s">
        <v>312</v>
      </c>
      <c r="M2117" t="s">
        <v>1687</v>
      </c>
    </row>
    <row r="2118" spans="1:17" x14ac:dyDescent="0.3">
      <c r="A2118" t="s">
        <v>2418</v>
      </c>
      <c r="B2118" t="s">
        <v>2052</v>
      </c>
      <c r="C2118" t="s">
        <v>308</v>
      </c>
      <c r="D2118" t="s">
        <v>2424</v>
      </c>
      <c r="E2118" t="s">
        <v>2060</v>
      </c>
      <c r="H2118" t="s">
        <v>25</v>
      </c>
      <c r="I2118" t="s">
        <v>2063</v>
      </c>
      <c r="L2118" t="s">
        <v>312</v>
      </c>
      <c r="M2118" t="s">
        <v>1687</v>
      </c>
    </row>
    <row r="2119" spans="1:17" x14ac:dyDescent="0.3">
      <c r="A2119" t="s">
        <v>2418</v>
      </c>
      <c r="B2119" t="s">
        <v>2052</v>
      </c>
      <c r="C2119" t="s">
        <v>308</v>
      </c>
      <c r="D2119" t="s">
        <v>2425</v>
      </c>
      <c r="E2119" t="s">
        <v>1138</v>
      </c>
      <c r="H2119" t="s">
        <v>25</v>
      </c>
      <c r="I2119" t="s">
        <v>2065</v>
      </c>
      <c r="L2119" t="s">
        <v>312</v>
      </c>
      <c r="M2119" t="s">
        <v>317</v>
      </c>
    </row>
    <row r="2120" spans="1:17" x14ac:dyDescent="0.3">
      <c r="A2120" t="s">
        <v>2418</v>
      </c>
      <c r="B2120" t="s">
        <v>2052</v>
      </c>
      <c r="C2120" t="s">
        <v>308</v>
      </c>
      <c r="D2120" t="s">
        <v>2426</v>
      </c>
      <c r="E2120" t="s">
        <v>348</v>
      </c>
      <c r="H2120" t="s">
        <v>25</v>
      </c>
      <c r="I2120" t="s">
        <v>349</v>
      </c>
      <c r="L2120" t="s">
        <v>312</v>
      </c>
      <c r="M2120" t="s">
        <v>317</v>
      </c>
    </row>
    <row r="2121" spans="1:17" x14ac:dyDescent="0.3">
      <c r="A2121" t="s">
        <v>2418</v>
      </c>
      <c r="B2121" t="s">
        <v>2052</v>
      </c>
      <c r="C2121" t="s">
        <v>308</v>
      </c>
      <c r="D2121" t="s">
        <v>2427</v>
      </c>
      <c r="E2121" t="s">
        <v>2068</v>
      </c>
      <c r="H2121" t="s">
        <v>25</v>
      </c>
      <c r="I2121" t="s">
        <v>2069</v>
      </c>
      <c r="L2121" t="s">
        <v>312</v>
      </c>
      <c r="M2121" t="s">
        <v>317</v>
      </c>
    </row>
    <row r="2122" spans="1:17" x14ac:dyDescent="0.3">
      <c r="A2122" t="s">
        <v>2418</v>
      </c>
      <c r="B2122" t="s">
        <v>2052</v>
      </c>
      <c r="C2122" t="s">
        <v>308</v>
      </c>
      <c r="D2122" t="s">
        <v>2428</v>
      </c>
      <c r="E2122" t="s">
        <v>2071</v>
      </c>
      <c r="H2122" t="s">
        <v>25</v>
      </c>
      <c r="I2122" t="s">
        <v>2072</v>
      </c>
      <c r="L2122" t="s">
        <v>312</v>
      </c>
      <c r="M2122" t="s">
        <v>1687</v>
      </c>
    </row>
    <row r="2123" spans="1:17" x14ac:dyDescent="0.3">
      <c r="A2123" t="s">
        <v>2418</v>
      </c>
      <c r="B2123" t="s">
        <v>2052</v>
      </c>
      <c r="C2123" t="s">
        <v>308</v>
      </c>
      <c r="D2123" t="s">
        <v>2429</v>
      </c>
      <c r="E2123" t="s">
        <v>2074</v>
      </c>
      <c r="H2123" t="s">
        <v>25</v>
      </c>
      <c r="I2123" t="s">
        <v>2075</v>
      </c>
      <c r="L2123" t="s">
        <v>312</v>
      </c>
      <c r="M2123" t="s">
        <v>1687</v>
      </c>
    </row>
    <row r="2124" spans="1:17" x14ac:dyDescent="0.3">
      <c r="A2124" t="s">
        <v>2418</v>
      </c>
      <c r="B2124" t="s">
        <v>2052</v>
      </c>
      <c r="C2124" t="s">
        <v>308</v>
      </c>
      <c r="D2124" t="s">
        <v>2430</v>
      </c>
      <c r="E2124" t="s">
        <v>2077</v>
      </c>
      <c r="H2124" t="s">
        <v>25</v>
      </c>
      <c r="I2124" t="s">
        <v>2078</v>
      </c>
      <c r="L2124" t="s">
        <v>312</v>
      </c>
      <c r="M2124" t="s">
        <v>1687</v>
      </c>
    </row>
    <row r="2125" spans="1:17" x14ac:dyDescent="0.3">
      <c r="A2125" t="s">
        <v>2418</v>
      </c>
      <c r="B2125" t="s">
        <v>2052</v>
      </c>
      <c r="C2125" t="s">
        <v>308</v>
      </c>
      <c r="D2125" t="s">
        <v>2431</v>
      </c>
      <c r="E2125" t="s">
        <v>2080</v>
      </c>
      <c r="H2125" t="s">
        <v>25</v>
      </c>
      <c r="I2125" t="s">
        <v>2081</v>
      </c>
      <c r="L2125" t="s">
        <v>312</v>
      </c>
      <c r="M2125" t="s">
        <v>2082</v>
      </c>
      <c r="P2125" t="s">
        <v>2083</v>
      </c>
      <c r="Q2125" t="s">
        <v>2084</v>
      </c>
    </row>
    <row r="2126" spans="1:17" x14ac:dyDescent="0.3">
      <c r="A2126" t="s">
        <v>2418</v>
      </c>
      <c r="B2126" t="s">
        <v>2052</v>
      </c>
      <c r="C2126" t="s">
        <v>308</v>
      </c>
      <c r="D2126" t="s">
        <v>2432</v>
      </c>
      <c r="E2126" t="s">
        <v>2086</v>
      </c>
      <c r="H2126" t="s">
        <v>25</v>
      </c>
      <c r="I2126" t="s">
        <v>2087</v>
      </c>
      <c r="L2126" t="s">
        <v>312</v>
      </c>
      <c r="M2126" t="s">
        <v>2082</v>
      </c>
      <c r="P2126" t="s">
        <v>2083</v>
      </c>
      <c r="Q2126" t="s">
        <v>2084</v>
      </c>
    </row>
    <row r="2127" spans="1:17" x14ac:dyDescent="0.3">
      <c r="A2127" t="s">
        <v>2418</v>
      </c>
      <c r="B2127" t="s">
        <v>2052</v>
      </c>
      <c r="C2127" t="s">
        <v>22</v>
      </c>
      <c r="D2127" t="s">
        <v>23</v>
      </c>
      <c r="E2127" t="s">
        <v>28</v>
      </c>
      <c r="F2127" t="s">
        <v>25</v>
      </c>
      <c r="G2127" t="s">
        <v>2433</v>
      </c>
      <c r="H2127" t="s">
        <v>2089</v>
      </c>
      <c r="I2127" t="s">
        <v>2090</v>
      </c>
    </row>
    <row r="2128" spans="1:17" x14ac:dyDescent="0.3">
      <c r="A2128" t="s">
        <v>2418</v>
      </c>
      <c r="B2128" t="s">
        <v>2052</v>
      </c>
      <c r="C2128" t="s">
        <v>1692</v>
      </c>
      <c r="D2128" t="s">
        <v>57</v>
      </c>
      <c r="E2128" t="s">
        <v>37</v>
      </c>
    </row>
    <row r="2129" spans="1:13" x14ac:dyDescent="0.3">
      <c r="A2129" t="s">
        <v>2418</v>
      </c>
      <c r="B2129" t="s">
        <v>2052</v>
      </c>
      <c r="C2129" t="s">
        <v>380</v>
      </c>
      <c r="D2129" t="s">
        <v>9</v>
      </c>
      <c r="E2129" t="s">
        <v>10</v>
      </c>
    </row>
    <row r="2130" spans="1:13" x14ac:dyDescent="0.3">
      <c r="A2130" t="s">
        <v>2418</v>
      </c>
      <c r="B2130" t="s">
        <v>2052</v>
      </c>
      <c r="C2130" t="s">
        <v>16</v>
      </c>
      <c r="D2130" t="s">
        <v>57</v>
      </c>
      <c r="E2130" t="s">
        <v>37</v>
      </c>
    </row>
    <row r="2131" spans="1:13" x14ac:dyDescent="0.3">
      <c r="A2131" t="s">
        <v>2418</v>
      </c>
      <c r="B2131" t="s">
        <v>2052</v>
      </c>
      <c r="C2131" t="s">
        <v>11</v>
      </c>
      <c r="D2131" t="s">
        <v>12</v>
      </c>
      <c r="E2131" t="s">
        <v>13</v>
      </c>
      <c r="H2131" t="s">
        <v>382</v>
      </c>
      <c r="I2131" t="s">
        <v>2434</v>
      </c>
      <c r="L2131" t="s">
        <v>14</v>
      </c>
      <c r="M2131" t="s">
        <v>2434</v>
      </c>
    </row>
    <row r="2132" spans="1:13" x14ac:dyDescent="0.3">
      <c r="A2132" t="s">
        <v>2418</v>
      </c>
      <c r="B2132" t="s">
        <v>2052</v>
      </c>
      <c r="C2132" t="s">
        <v>308</v>
      </c>
      <c r="D2132" t="s">
        <v>2435</v>
      </c>
      <c r="E2132" t="s">
        <v>341</v>
      </c>
      <c r="H2132" t="s">
        <v>25</v>
      </c>
      <c r="I2132" t="s">
        <v>2093</v>
      </c>
      <c r="L2132" t="s">
        <v>312</v>
      </c>
      <c r="M2132" t="s">
        <v>343</v>
      </c>
    </row>
    <row r="2133" spans="1:13" x14ac:dyDescent="0.3">
      <c r="A2133" t="s">
        <v>2418</v>
      </c>
      <c r="B2133" t="s">
        <v>2052</v>
      </c>
      <c r="C2133" t="s">
        <v>308</v>
      </c>
      <c r="D2133" t="s">
        <v>2436</v>
      </c>
      <c r="E2133" t="s">
        <v>2095</v>
      </c>
      <c r="H2133" t="s">
        <v>25</v>
      </c>
      <c r="I2133" t="s">
        <v>2096</v>
      </c>
      <c r="L2133" t="s">
        <v>312</v>
      </c>
      <c r="M2133" t="s">
        <v>343</v>
      </c>
    </row>
    <row r="2134" spans="1:13" x14ac:dyDescent="0.3">
      <c r="A2134" t="s">
        <v>2419</v>
      </c>
      <c r="B2134" t="s">
        <v>282</v>
      </c>
      <c r="C2134" t="s">
        <v>384</v>
      </c>
      <c r="D2134" t="s">
        <v>12</v>
      </c>
      <c r="E2134" t="s">
        <v>12</v>
      </c>
      <c r="H2134" t="s">
        <v>376</v>
      </c>
      <c r="I2134">
        <v>0.73</v>
      </c>
      <c r="L2134" t="s">
        <v>312</v>
      </c>
      <c r="M2134" t="s">
        <v>385</v>
      </c>
    </row>
    <row r="2135" spans="1:13" x14ac:dyDescent="0.3">
      <c r="A2135" t="s">
        <v>2419</v>
      </c>
      <c r="B2135" t="s">
        <v>282</v>
      </c>
      <c r="C2135" t="s">
        <v>280</v>
      </c>
      <c r="D2135" t="s">
        <v>2437</v>
      </c>
      <c r="E2135" t="s">
        <v>387</v>
      </c>
      <c r="H2135" t="s">
        <v>25</v>
      </c>
      <c r="I2135" t="s">
        <v>388</v>
      </c>
    </row>
    <row r="2136" spans="1:13" x14ac:dyDescent="0.3">
      <c r="A2136" t="s">
        <v>2438</v>
      </c>
      <c r="B2136" t="s">
        <v>390</v>
      </c>
      <c r="C2136" t="s">
        <v>11</v>
      </c>
      <c r="D2136" t="s">
        <v>12</v>
      </c>
      <c r="E2136" t="s">
        <v>391</v>
      </c>
      <c r="H2136" t="s">
        <v>392</v>
      </c>
      <c r="I2136" t="s">
        <v>393</v>
      </c>
      <c r="L2136" t="s">
        <v>394</v>
      </c>
      <c r="M2136" t="s">
        <v>2434</v>
      </c>
    </row>
    <row r="2137" spans="1:13" x14ac:dyDescent="0.3">
      <c r="A2137" t="s">
        <v>2439</v>
      </c>
      <c r="B2137" t="s">
        <v>396</v>
      </c>
      <c r="C2137" t="s">
        <v>11</v>
      </c>
      <c r="D2137" t="s">
        <v>12</v>
      </c>
      <c r="E2137" t="s">
        <v>391</v>
      </c>
      <c r="H2137" t="s">
        <v>392</v>
      </c>
      <c r="I2137" t="s">
        <v>397</v>
      </c>
      <c r="L2137" t="s">
        <v>394</v>
      </c>
      <c r="M2137" t="s">
        <v>2434</v>
      </c>
    </row>
    <row r="2138" spans="1:13" x14ac:dyDescent="0.3">
      <c r="A2138" t="s">
        <v>2428</v>
      </c>
      <c r="B2138" t="s">
        <v>2071</v>
      </c>
      <c r="C2138" t="s">
        <v>11</v>
      </c>
      <c r="D2138" t="s">
        <v>12</v>
      </c>
      <c r="E2138" t="s">
        <v>391</v>
      </c>
      <c r="H2138" t="s">
        <v>392</v>
      </c>
      <c r="I2138" t="s">
        <v>2100</v>
      </c>
      <c r="L2138" t="s">
        <v>394</v>
      </c>
      <c r="M2138" t="s">
        <v>2434</v>
      </c>
    </row>
    <row r="2139" spans="1:13" x14ac:dyDescent="0.3">
      <c r="A2139" t="s">
        <v>2420</v>
      </c>
      <c r="B2139" t="s">
        <v>399</v>
      </c>
      <c r="C2139" t="s">
        <v>308</v>
      </c>
      <c r="D2139" t="s">
        <v>2438</v>
      </c>
      <c r="E2139" t="s">
        <v>390</v>
      </c>
      <c r="H2139" t="s">
        <v>25</v>
      </c>
      <c r="I2139" t="s">
        <v>2101</v>
      </c>
      <c r="L2139" t="s">
        <v>312</v>
      </c>
      <c r="M2139" t="s">
        <v>411</v>
      </c>
    </row>
    <row r="2140" spans="1:13" x14ac:dyDescent="0.3">
      <c r="A2140" t="s">
        <v>2420</v>
      </c>
      <c r="B2140" t="s">
        <v>399</v>
      </c>
      <c r="C2140" t="s">
        <v>308</v>
      </c>
      <c r="D2140" t="s">
        <v>2439</v>
      </c>
      <c r="E2140" t="s">
        <v>396</v>
      </c>
      <c r="H2140" t="s">
        <v>25</v>
      </c>
      <c r="I2140" t="s">
        <v>2102</v>
      </c>
      <c r="L2140" t="s">
        <v>312</v>
      </c>
      <c r="M2140" t="s">
        <v>413</v>
      </c>
    </row>
    <row r="2141" spans="1:13" x14ac:dyDescent="0.3">
      <c r="A2141" t="s">
        <v>2440</v>
      </c>
      <c r="B2141" t="s">
        <v>501</v>
      </c>
      <c r="C2141" t="s">
        <v>11</v>
      </c>
      <c r="D2141" t="s">
        <v>12</v>
      </c>
      <c r="E2141" t="s">
        <v>391</v>
      </c>
      <c r="H2141" t="s">
        <v>392</v>
      </c>
      <c r="I2141" t="s">
        <v>2104</v>
      </c>
      <c r="L2141" t="s">
        <v>394</v>
      </c>
      <c r="M2141" t="s">
        <v>2434</v>
      </c>
    </row>
    <row r="2142" spans="1:13" x14ac:dyDescent="0.3">
      <c r="A2142" t="s">
        <v>2441</v>
      </c>
      <c r="B2142" t="s">
        <v>498</v>
      </c>
      <c r="C2142" t="s">
        <v>11</v>
      </c>
      <c r="D2142" t="s">
        <v>12</v>
      </c>
      <c r="E2142" t="s">
        <v>391</v>
      </c>
      <c r="H2142" t="s">
        <v>392</v>
      </c>
      <c r="I2142" t="s">
        <v>2106</v>
      </c>
      <c r="L2142" t="s">
        <v>394</v>
      </c>
      <c r="M2142" t="s">
        <v>2434</v>
      </c>
    </row>
    <row r="2143" spans="1:13" x14ac:dyDescent="0.3">
      <c r="A2143" t="s">
        <v>2421</v>
      </c>
      <c r="B2143" t="s">
        <v>488</v>
      </c>
      <c r="C2143" t="s">
        <v>308</v>
      </c>
      <c r="D2143" t="s">
        <v>2440</v>
      </c>
      <c r="E2143" t="s">
        <v>501</v>
      </c>
      <c r="H2143" t="s">
        <v>25</v>
      </c>
      <c r="I2143" t="s">
        <v>2107</v>
      </c>
      <c r="L2143" t="s">
        <v>312</v>
      </c>
      <c r="M2143" t="s">
        <v>2108</v>
      </c>
    </row>
    <row r="2144" spans="1:13" x14ac:dyDescent="0.3">
      <c r="A2144" t="s">
        <v>2421</v>
      </c>
      <c r="B2144" t="s">
        <v>488</v>
      </c>
      <c r="C2144" t="s">
        <v>308</v>
      </c>
      <c r="D2144" t="s">
        <v>2441</v>
      </c>
      <c r="E2144" t="s">
        <v>498</v>
      </c>
      <c r="H2144" t="s">
        <v>25</v>
      </c>
      <c r="I2144" t="s">
        <v>2109</v>
      </c>
      <c r="L2144" t="s">
        <v>312</v>
      </c>
      <c r="M2144" t="s">
        <v>385</v>
      </c>
    </row>
    <row r="2145" spans="1:13" x14ac:dyDescent="0.3">
      <c r="A2145" t="s">
        <v>2429</v>
      </c>
      <c r="B2145" t="s">
        <v>2074</v>
      </c>
      <c r="C2145" t="s">
        <v>11</v>
      </c>
      <c r="D2145" t="s">
        <v>12</v>
      </c>
      <c r="E2145" t="s">
        <v>391</v>
      </c>
      <c r="H2145" t="s">
        <v>392</v>
      </c>
      <c r="I2145" t="s">
        <v>2110</v>
      </c>
      <c r="L2145" t="s">
        <v>394</v>
      </c>
      <c r="M2145" t="s">
        <v>2434</v>
      </c>
    </row>
    <row r="2146" spans="1:13" x14ac:dyDescent="0.3">
      <c r="A2146" t="s">
        <v>2435</v>
      </c>
      <c r="B2146" t="s">
        <v>341</v>
      </c>
      <c r="C2146" t="s">
        <v>11</v>
      </c>
      <c r="D2146" t="s">
        <v>12</v>
      </c>
      <c r="E2146" t="s">
        <v>391</v>
      </c>
      <c r="H2146" t="s">
        <v>392</v>
      </c>
      <c r="I2146" t="s">
        <v>2442</v>
      </c>
      <c r="L2146" t="s">
        <v>394</v>
      </c>
      <c r="M2146" t="s">
        <v>2434</v>
      </c>
    </row>
    <row r="2147" spans="1:13" x14ac:dyDescent="0.3">
      <c r="A2147" t="s">
        <v>2426</v>
      </c>
      <c r="B2147" t="s">
        <v>348</v>
      </c>
      <c r="C2147" t="s">
        <v>11</v>
      </c>
      <c r="D2147" t="s">
        <v>12</v>
      </c>
      <c r="E2147" t="s">
        <v>391</v>
      </c>
      <c r="H2147" t="s">
        <v>392</v>
      </c>
      <c r="I2147" t="s">
        <v>2443</v>
      </c>
      <c r="L2147" t="s">
        <v>394</v>
      </c>
      <c r="M2147" t="s">
        <v>2434</v>
      </c>
    </row>
    <row r="2148" spans="1:13" x14ac:dyDescent="0.3">
      <c r="A2148" t="s">
        <v>2427</v>
      </c>
      <c r="B2148" t="s">
        <v>2068</v>
      </c>
      <c r="C2148" t="s">
        <v>11</v>
      </c>
      <c r="D2148" t="s">
        <v>12</v>
      </c>
      <c r="E2148" t="s">
        <v>391</v>
      </c>
      <c r="H2148" t="s">
        <v>392</v>
      </c>
      <c r="I2148" t="s">
        <v>2444</v>
      </c>
      <c r="L2148" t="s">
        <v>394</v>
      </c>
      <c r="M2148" t="s">
        <v>2434</v>
      </c>
    </row>
    <row r="2149" spans="1:13" x14ac:dyDescent="0.3">
      <c r="A2149" t="s">
        <v>2423</v>
      </c>
      <c r="B2149" t="s">
        <v>2060</v>
      </c>
      <c r="C2149" t="s">
        <v>11</v>
      </c>
      <c r="D2149" t="s">
        <v>12</v>
      </c>
      <c r="E2149" t="s">
        <v>391</v>
      </c>
      <c r="H2149" t="s">
        <v>392</v>
      </c>
      <c r="I2149" t="s">
        <v>2445</v>
      </c>
      <c r="L2149" t="s">
        <v>394</v>
      </c>
      <c r="M2149" t="s">
        <v>2434</v>
      </c>
    </row>
    <row r="2150" spans="1:13" x14ac:dyDescent="0.3">
      <c r="A2150" t="s">
        <v>2422</v>
      </c>
      <c r="B2150" t="s">
        <v>303</v>
      </c>
      <c r="C2150" t="s">
        <v>280</v>
      </c>
      <c r="D2150" t="s">
        <v>2446</v>
      </c>
      <c r="E2150" t="s">
        <v>478</v>
      </c>
      <c r="H2150" t="s">
        <v>25</v>
      </c>
      <c r="I2150" t="s">
        <v>515</v>
      </c>
    </row>
    <row r="2151" spans="1:13" x14ac:dyDescent="0.3">
      <c r="A2151" t="s">
        <v>2446</v>
      </c>
      <c r="B2151" t="s">
        <v>478</v>
      </c>
      <c r="C2151" t="s">
        <v>308</v>
      </c>
      <c r="D2151" t="s">
        <v>2447</v>
      </c>
      <c r="E2151" t="s">
        <v>2117</v>
      </c>
      <c r="H2151" t="s">
        <v>25</v>
      </c>
      <c r="I2151" t="s">
        <v>2118</v>
      </c>
      <c r="L2151" t="s">
        <v>312</v>
      </c>
      <c r="M2151" t="s">
        <v>343</v>
      </c>
    </row>
    <row r="2152" spans="1:13" x14ac:dyDescent="0.3">
      <c r="A2152" t="s">
        <v>2446</v>
      </c>
      <c r="B2152" t="s">
        <v>478</v>
      </c>
      <c r="C2152" t="s">
        <v>308</v>
      </c>
      <c r="D2152" t="s">
        <v>2448</v>
      </c>
      <c r="E2152" t="s">
        <v>2120</v>
      </c>
      <c r="H2152" t="s">
        <v>25</v>
      </c>
      <c r="I2152" t="s">
        <v>2121</v>
      </c>
      <c r="L2152" t="s">
        <v>312</v>
      </c>
      <c r="M2152" t="s">
        <v>343</v>
      </c>
    </row>
    <row r="2153" spans="1:13" x14ac:dyDescent="0.3">
      <c r="A2153" t="s">
        <v>2447</v>
      </c>
      <c r="B2153" t="s">
        <v>2117</v>
      </c>
      <c r="C2153" t="s">
        <v>11</v>
      </c>
      <c r="D2153" t="s">
        <v>12</v>
      </c>
      <c r="E2153" t="s">
        <v>391</v>
      </c>
      <c r="H2153" t="s">
        <v>392</v>
      </c>
      <c r="I2153" t="s">
        <v>2449</v>
      </c>
      <c r="L2153" t="s">
        <v>394</v>
      </c>
      <c r="M2153" t="s">
        <v>2434</v>
      </c>
    </row>
    <row r="2154" spans="1:13" x14ac:dyDescent="0.3">
      <c r="A2154" t="s">
        <v>2431</v>
      </c>
      <c r="B2154" t="s">
        <v>2080</v>
      </c>
      <c r="C2154" t="s">
        <v>11</v>
      </c>
      <c r="D2154" t="s">
        <v>12</v>
      </c>
      <c r="E2154" t="s">
        <v>391</v>
      </c>
      <c r="H2154" t="s">
        <v>392</v>
      </c>
      <c r="I2154" t="s">
        <v>2123</v>
      </c>
      <c r="L2154" t="s">
        <v>394</v>
      </c>
      <c r="M2154" t="s">
        <v>2434</v>
      </c>
    </row>
    <row r="2155" spans="1:13" x14ac:dyDescent="0.3">
      <c r="A2155" t="s">
        <v>2448</v>
      </c>
      <c r="B2155" t="s">
        <v>2120</v>
      </c>
      <c r="C2155" t="s">
        <v>11</v>
      </c>
      <c r="D2155" t="s">
        <v>12</v>
      </c>
      <c r="E2155" t="s">
        <v>391</v>
      </c>
      <c r="H2155" t="s">
        <v>392</v>
      </c>
      <c r="I2155" t="s">
        <v>2450</v>
      </c>
      <c r="L2155" t="s">
        <v>394</v>
      </c>
      <c r="M2155" t="s">
        <v>2434</v>
      </c>
    </row>
    <row r="2156" spans="1:13" x14ac:dyDescent="0.3">
      <c r="A2156" t="s">
        <v>2432</v>
      </c>
      <c r="B2156" t="s">
        <v>2086</v>
      </c>
      <c r="C2156" t="s">
        <v>11</v>
      </c>
      <c r="D2156" t="s">
        <v>12</v>
      </c>
      <c r="E2156" t="s">
        <v>391</v>
      </c>
      <c r="H2156" t="s">
        <v>392</v>
      </c>
      <c r="I2156" t="s">
        <v>2125</v>
      </c>
      <c r="L2156" t="s">
        <v>394</v>
      </c>
      <c r="M2156" t="s">
        <v>2434</v>
      </c>
    </row>
    <row r="2157" spans="1:13" x14ac:dyDescent="0.3">
      <c r="A2157" t="s">
        <v>2436</v>
      </c>
      <c r="B2157" t="s">
        <v>2095</v>
      </c>
      <c r="C2157" t="s">
        <v>11</v>
      </c>
      <c r="D2157" t="s">
        <v>12</v>
      </c>
      <c r="E2157" t="s">
        <v>391</v>
      </c>
      <c r="H2157" t="s">
        <v>392</v>
      </c>
      <c r="I2157" t="s">
        <v>2451</v>
      </c>
      <c r="L2157" t="s">
        <v>394</v>
      </c>
      <c r="M2157" t="s">
        <v>2434</v>
      </c>
    </row>
    <row r="2158" spans="1:13" x14ac:dyDescent="0.3">
      <c r="A2158" t="s">
        <v>2425</v>
      </c>
      <c r="B2158" t="s">
        <v>1138</v>
      </c>
      <c r="C2158" t="s">
        <v>11</v>
      </c>
      <c r="D2158" t="s">
        <v>12</v>
      </c>
      <c r="E2158" t="s">
        <v>391</v>
      </c>
      <c r="H2158" t="s">
        <v>392</v>
      </c>
      <c r="I2158" t="s">
        <v>2452</v>
      </c>
      <c r="L2158" t="s">
        <v>394</v>
      </c>
      <c r="M2158" t="s">
        <v>2434</v>
      </c>
    </row>
    <row r="2159" spans="1:13" x14ac:dyDescent="0.3">
      <c r="A2159" t="s">
        <v>2430</v>
      </c>
      <c r="B2159" t="s">
        <v>2077</v>
      </c>
      <c r="C2159" t="s">
        <v>11</v>
      </c>
      <c r="D2159" t="s">
        <v>12</v>
      </c>
      <c r="E2159" t="s">
        <v>391</v>
      </c>
      <c r="H2159" t="s">
        <v>392</v>
      </c>
      <c r="I2159" t="s">
        <v>2128</v>
      </c>
      <c r="L2159" t="s">
        <v>394</v>
      </c>
      <c r="M2159" t="s">
        <v>2434</v>
      </c>
    </row>
    <row r="2160" spans="1:13" x14ac:dyDescent="0.3">
      <c r="A2160" t="s">
        <v>2424</v>
      </c>
      <c r="B2160" t="s">
        <v>2060</v>
      </c>
      <c r="C2160" t="s">
        <v>11</v>
      </c>
      <c r="D2160" t="s">
        <v>12</v>
      </c>
      <c r="E2160" t="s">
        <v>391</v>
      </c>
      <c r="H2160" t="s">
        <v>392</v>
      </c>
      <c r="I2160" t="s">
        <v>2453</v>
      </c>
      <c r="L2160" t="s">
        <v>394</v>
      </c>
      <c r="M2160" t="s">
        <v>2434</v>
      </c>
    </row>
    <row r="2161" spans="1:17" x14ac:dyDescent="0.3">
      <c r="A2161" t="s">
        <v>2454</v>
      </c>
      <c r="B2161" t="s">
        <v>2052</v>
      </c>
      <c r="C2161" t="s">
        <v>280</v>
      </c>
      <c r="D2161" t="s">
        <v>2455</v>
      </c>
      <c r="E2161" t="s">
        <v>282</v>
      </c>
      <c r="H2161" t="s">
        <v>25</v>
      </c>
      <c r="I2161" t="s">
        <v>283</v>
      </c>
    </row>
    <row r="2162" spans="1:17" x14ac:dyDescent="0.3">
      <c r="A2162" t="s">
        <v>2454</v>
      </c>
      <c r="B2162" t="s">
        <v>2052</v>
      </c>
      <c r="C2162" t="s">
        <v>280</v>
      </c>
      <c r="D2162" t="s">
        <v>2456</v>
      </c>
      <c r="E2162" t="s">
        <v>399</v>
      </c>
      <c r="H2162" t="s">
        <v>25</v>
      </c>
      <c r="I2162" t="s">
        <v>2055</v>
      </c>
    </row>
    <row r="2163" spans="1:17" x14ac:dyDescent="0.3">
      <c r="A2163" t="s">
        <v>2454</v>
      </c>
      <c r="B2163" t="s">
        <v>2052</v>
      </c>
      <c r="C2163" t="s">
        <v>280</v>
      </c>
      <c r="D2163" t="s">
        <v>2457</v>
      </c>
      <c r="E2163" t="s">
        <v>488</v>
      </c>
      <c r="H2163" t="s">
        <v>25</v>
      </c>
      <c r="I2163" t="s">
        <v>2057</v>
      </c>
    </row>
    <row r="2164" spans="1:17" x14ac:dyDescent="0.3">
      <c r="A2164" t="s">
        <v>2454</v>
      </c>
      <c r="B2164" t="s">
        <v>2052</v>
      </c>
      <c r="C2164" t="s">
        <v>280</v>
      </c>
      <c r="D2164" t="s">
        <v>2458</v>
      </c>
      <c r="E2164" t="s">
        <v>303</v>
      </c>
      <c r="H2164" t="s">
        <v>25</v>
      </c>
      <c r="I2164" t="s">
        <v>304</v>
      </c>
    </row>
    <row r="2165" spans="1:17" x14ac:dyDescent="0.3">
      <c r="A2165" t="s">
        <v>2454</v>
      </c>
      <c r="B2165" t="s">
        <v>2052</v>
      </c>
      <c r="C2165" t="s">
        <v>308</v>
      </c>
      <c r="D2165" t="s">
        <v>2459</v>
      </c>
      <c r="E2165" t="s">
        <v>2060</v>
      </c>
      <c r="H2165" t="s">
        <v>25</v>
      </c>
      <c r="I2165" t="s">
        <v>2061</v>
      </c>
      <c r="L2165" t="s">
        <v>312</v>
      </c>
      <c r="M2165" t="s">
        <v>1687</v>
      </c>
    </row>
    <row r="2166" spans="1:17" x14ac:dyDescent="0.3">
      <c r="A2166" t="s">
        <v>2454</v>
      </c>
      <c r="B2166" t="s">
        <v>2052</v>
      </c>
      <c r="C2166" t="s">
        <v>308</v>
      </c>
      <c r="D2166" t="s">
        <v>2460</v>
      </c>
      <c r="E2166" t="s">
        <v>2060</v>
      </c>
      <c r="H2166" t="s">
        <v>25</v>
      </c>
      <c r="I2166" t="s">
        <v>2063</v>
      </c>
      <c r="L2166" t="s">
        <v>312</v>
      </c>
      <c r="M2166" t="s">
        <v>1687</v>
      </c>
    </row>
    <row r="2167" spans="1:17" x14ac:dyDescent="0.3">
      <c r="A2167" t="s">
        <v>2454</v>
      </c>
      <c r="B2167" t="s">
        <v>2052</v>
      </c>
      <c r="C2167" t="s">
        <v>308</v>
      </c>
      <c r="D2167" t="s">
        <v>2461</v>
      </c>
      <c r="E2167" t="s">
        <v>1138</v>
      </c>
      <c r="H2167" t="s">
        <v>25</v>
      </c>
      <c r="I2167" t="s">
        <v>2065</v>
      </c>
      <c r="L2167" t="s">
        <v>312</v>
      </c>
      <c r="M2167" t="s">
        <v>317</v>
      </c>
    </row>
    <row r="2168" spans="1:17" x14ac:dyDescent="0.3">
      <c r="A2168" t="s">
        <v>2454</v>
      </c>
      <c r="B2168" t="s">
        <v>2052</v>
      </c>
      <c r="C2168" t="s">
        <v>308</v>
      </c>
      <c r="D2168" t="s">
        <v>2462</v>
      </c>
      <c r="E2168" t="s">
        <v>348</v>
      </c>
      <c r="H2168" t="s">
        <v>25</v>
      </c>
      <c r="I2168" t="s">
        <v>349</v>
      </c>
      <c r="L2168" t="s">
        <v>312</v>
      </c>
      <c r="M2168" t="s">
        <v>317</v>
      </c>
    </row>
    <row r="2169" spans="1:17" x14ac:dyDescent="0.3">
      <c r="A2169" t="s">
        <v>2454</v>
      </c>
      <c r="B2169" t="s">
        <v>2052</v>
      </c>
      <c r="C2169" t="s">
        <v>308</v>
      </c>
      <c r="D2169" t="s">
        <v>2463</v>
      </c>
      <c r="E2169" t="s">
        <v>2068</v>
      </c>
      <c r="H2169" t="s">
        <v>25</v>
      </c>
      <c r="I2169" t="s">
        <v>2069</v>
      </c>
      <c r="L2169" t="s">
        <v>312</v>
      </c>
      <c r="M2169" t="s">
        <v>317</v>
      </c>
    </row>
    <row r="2170" spans="1:17" x14ac:dyDescent="0.3">
      <c r="A2170" t="s">
        <v>2454</v>
      </c>
      <c r="B2170" t="s">
        <v>2052</v>
      </c>
      <c r="C2170" t="s">
        <v>308</v>
      </c>
      <c r="D2170" t="s">
        <v>2464</v>
      </c>
      <c r="E2170" t="s">
        <v>2071</v>
      </c>
      <c r="H2170" t="s">
        <v>25</v>
      </c>
      <c r="I2170" t="s">
        <v>2072</v>
      </c>
      <c r="L2170" t="s">
        <v>312</v>
      </c>
      <c r="M2170" t="s">
        <v>1687</v>
      </c>
    </row>
    <row r="2171" spans="1:17" x14ac:dyDescent="0.3">
      <c r="A2171" t="s">
        <v>2454</v>
      </c>
      <c r="B2171" t="s">
        <v>2052</v>
      </c>
      <c r="C2171" t="s">
        <v>308</v>
      </c>
      <c r="D2171" t="s">
        <v>2465</v>
      </c>
      <c r="E2171" t="s">
        <v>2074</v>
      </c>
      <c r="H2171" t="s">
        <v>25</v>
      </c>
      <c r="I2171" t="s">
        <v>2075</v>
      </c>
      <c r="L2171" t="s">
        <v>312</v>
      </c>
      <c r="M2171" t="s">
        <v>1687</v>
      </c>
    </row>
    <row r="2172" spans="1:17" x14ac:dyDescent="0.3">
      <c r="A2172" t="s">
        <v>2454</v>
      </c>
      <c r="B2172" t="s">
        <v>2052</v>
      </c>
      <c r="C2172" t="s">
        <v>308</v>
      </c>
      <c r="D2172" t="s">
        <v>2466</v>
      </c>
      <c r="E2172" t="s">
        <v>2077</v>
      </c>
      <c r="H2172" t="s">
        <v>25</v>
      </c>
      <c r="I2172" t="s">
        <v>2078</v>
      </c>
      <c r="L2172" t="s">
        <v>312</v>
      </c>
      <c r="M2172" t="s">
        <v>1687</v>
      </c>
    </row>
    <row r="2173" spans="1:17" x14ac:dyDescent="0.3">
      <c r="A2173" t="s">
        <v>2454</v>
      </c>
      <c r="B2173" t="s">
        <v>2052</v>
      </c>
      <c r="C2173" t="s">
        <v>308</v>
      </c>
      <c r="D2173" t="s">
        <v>2467</v>
      </c>
      <c r="E2173" t="s">
        <v>2080</v>
      </c>
      <c r="H2173" t="s">
        <v>25</v>
      </c>
      <c r="I2173" t="s">
        <v>2081</v>
      </c>
      <c r="L2173" t="s">
        <v>312</v>
      </c>
      <c r="M2173" t="s">
        <v>2082</v>
      </c>
      <c r="P2173" t="s">
        <v>2083</v>
      </c>
      <c r="Q2173" t="s">
        <v>2084</v>
      </c>
    </row>
    <row r="2174" spans="1:17" x14ac:dyDescent="0.3">
      <c r="A2174" t="s">
        <v>2454</v>
      </c>
      <c r="B2174" t="s">
        <v>2052</v>
      </c>
      <c r="C2174" t="s">
        <v>308</v>
      </c>
      <c r="D2174" t="s">
        <v>2468</v>
      </c>
      <c r="E2174" t="s">
        <v>2086</v>
      </c>
      <c r="H2174" t="s">
        <v>25</v>
      </c>
      <c r="I2174" t="s">
        <v>2087</v>
      </c>
      <c r="L2174" t="s">
        <v>312</v>
      </c>
      <c r="M2174" t="s">
        <v>2082</v>
      </c>
      <c r="P2174" t="s">
        <v>2083</v>
      </c>
      <c r="Q2174" t="s">
        <v>2084</v>
      </c>
    </row>
    <row r="2175" spans="1:17" x14ac:dyDescent="0.3">
      <c r="A2175" t="s">
        <v>2454</v>
      </c>
      <c r="B2175" t="s">
        <v>2052</v>
      </c>
      <c r="C2175" t="s">
        <v>22</v>
      </c>
      <c r="D2175" t="s">
        <v>23</v>
      </c>
      <c r="E2175" t="s">
        <v>28</v>
      </c>
      <c r="F2175" t="s">
        <v>25</v>
      </c>
      <c r="G2175" t="s">
        <v>2469</v>
      </c>
      <c r="H2175" t="s">
        <v>2089</v>
      </c>
      <c r="I2175" t="s">
        <v>2090</v>
      </c>
    </row>
    <row r="2176" spans="1:17" x14ac:dyDescent="0.3">
      <c r="A2176" t="s">
        <v>2454</v>
      </c>
      <c r="B2176" t="s">
        <v>2052</v>
      </c>
      <c r="C2176" t="s">
        <v>1692</v>
      </c>
      <c r="D2176" t="s">
        <v>234</v>
      </c>
      <c r="E2176" t="s">
        <v>37</v>
      </c>
    </row>
    <row r="2177" spans="1:13" x14ac:dyDescent="0.3">
      <c r="A2177" t="s">
        <v>2454</v>
      </c>
      <c r="B2177" t="s">
        <v>2052</v>
      </c>
      <c r="C2177" t="s">
        <v>380</v>
      </c>
      <c r="D2177" t="s">
        <v>9</v>
      </c>
      <c r="E2177" t="s">
        <v>10</v>
      </c>
    </row>
    <row r="2178" spans="1:13" x14ac:dyDescent="0.3">
      <c r="A2178" t="s">
        <v>2454</v>
      </c>
      <c r="B2178" t="s">
        <v>2052</v>
      </c>
      <c r="C2178" t="s">
        <v>16</v>
      </c>
      <c r="D2178" t="s">
        <v>234</v>
      </c>
      <c r="E2178" t="s">
        <v>37</v>
      </c>
    </row>
    <row r="2179" spans="1:13" x14ac:dyDescent="0.3">
      <c r="A2179" t="s">
        <v>2454</v>
      </c>
      <c r="B2179" t="s">
        <v>2052</v>
      </c>
      <c r="C2179" t="s">
        <v>11</v>
      </c>
      <c r="D2179" t="s">
        <v>12</v>
      </c>
      <c r="E2179" t="s">
        <v>13</v>
      </c>
      <c r="H2179" t="s">
        <v>382</v>
      </c>
      <c r="I2179" t="s">
        <v>2470</v>
      </c>
      <c r="L2179" t="s">
        <v>14</v>
      </c>
      <c r="M2179" t="s">
        <v>2470</v>
      </c>
    </row>
    <row r="2180" spans="1:13" x14ac:dyDescent="0.3">
      <c r="A2180" t="s">
        <v>2454</v>
      </c>
      <c r="B2180" t="s">
        <v>2052</v>
      </c>
      <c r="C2180" t="s">
        <v>308</v>
      </c>
      <c r="D2180" t="s">
        <v>2471</v>
      </c>
      <c r="E2180" t="s">
        <v>341</v>
      </c>
      <c r="H2180" t="s">
        <v>25</v>
      </c>
      <c r="I2180" t="s">
        <v>2093</v>
      </c>
      <c r="L2180" t="s">
        <v>312</v>
      </c>
      <c r="M2180" t="s">
        <v>343</v>
      </c>
    </row>
    <row r="2181" spans="1:13" x14ac:dyDescent="0.3">
      <c r="A2181" t="s">
        <v>2454</v>
      </c>
      <c r="B2181" t="s">
        <v>2052</v>
      </c>
      <c r="C2181" t="s">
        <v>308</v>
      </c>
      <c r="D2181" t="s">
        <v>2472</v>
      </c>
      <c r="E2181" t="s">
        <v>2095</v>
      </c>
      <c r="H2181" t="s">
        <v>25</v>
      </c>
      <c r="I2181" t="s">
        <v>2096</v>
      </c>
      <c r="L2181" t="s">
        <v>312</v>
      </c>
      <c r="M2181" t="s">
        <v>343</v>
      </c>
    </row>
    <row r="2182" spans="1:13" x14ac:dyDescent="0.3">
      <c r="A2182" t="s">
        <v>2455</v>
      </c>
      <c r="B2182" t="s">
        <v>282</v>
      </c>
      <c r="C2182" t="s">
        <v>384</v>
      </c>
      <c r="D2182" t="s">
        <v>12</v>
      </c>
      <c r="E2182" t="s">
        <v>12</v>
      </c>
      <c r="H2182" t="s">
        <v>376</v>
      </c>
      <c r="I2182">
        <v>2.0099999999999998</v>
      </c>
      <c r="L2182" t="s">
        <v>312</v>
      </c>
      <c r="M2182" t="s">
        <v>385</v>
      </c>
    </row>
    <row r="2183" spans="1:13" x14ac:dyDescent="0.3">
      <c r="A2183" t="s">
        <v>2455</v>
      </c>
      <c r="B2183" t="s">
        <v>282</v>
      </c>
      <c r="C2183" t="s">
        <v>280</v>
      </c>
      <c r="D2183" t="s">
        <v>2473</v>
      </c>
      <c r="E2183" t="s">
        <v>387</v>
      </c>
      <c r="H2183" t="s">
        <v>25</v>
      </c>
      <c r="I2183" t="s">
        <v>388</v>
      </c>
    </row>
    <row r="2184" spans="1:13" x14ac:dyDescent="0.3">
      <c r="A2184" t="s">
        <v>2474</v>
      </c>
      <c r="B2184" t="s">
        <v>390</v>
      </c>
      <c r="C2184" t="s">
        <v>11</v>
      </c>
      <c r="D2184" t="s">
        <v>12</v>
      </c>
      <c r="E2184" t="s">
        <v>391</v>
      </c>
      <c r="H2184" t="s">
        <v>392</v>
      </c>
      <c r="I2184" t="s">
        <v>393</v>
      </c>
      <c r="L2184" t="s">
        <v>394</v>
      </c>
      <c r="M2184" t="s">
        <v>2470</v>
      </c>
    </row>
    <row r="2185" spans="1:13" x14ac:dyDescent="0.3">
      <c r="A2185" t="s">
        <v>2475</v>
      </c>
      <c r="B2185" t="s">
        <v>396</v>
      </c>
      <c r="C2185" t="s">
        <v>11</v>
      </c>
      <c r="D2185" t="s">
        <v>12</v>
      </c>
      <c r="E2185" t="s">
        <v>391</v>
      </c>
      <c r="H2185" t="s">
        <v>392</v>
      </c>
      <c r="I2185" t="s">
        <v>397</v>
      </c>
      <c r="L2185" t="s">
        <v>394</v>
      </c>
      <c r="M2185" t="s">
        <v>2470</v>
      </c>
    </row>
    <row r="2186" spans="1:13" x14ac:dyDescent="0.3">
      <c r="A2186" t="s">
        <v>2464</v>
      </c>
      <c r="B2186" t="s">
        <v>2071</v>
      </c>
      <c r="C2186" t="s">
        <v>11</v>
      </c>
      <c r="D2186" t="s">
        <v>12</v>
      </c>
      <c r="E2186" t="s">
        <v>391</v>
      </c>
      <c r="H2186" t="s">
        <v>392</v>
      </c>
      <c r="I2186" t="s">
        <v>2100</v>
      </c>
      <c r="L2186" t="s">
        <v>394</v>
      </c>
      <c r="M2186" t="s">
        <v>2470</v>
      </c>
    </row>
    <row r="2187" spans="1:13" x14ac:dyDescent="0.3">
      <c r="A2187" t="s">
        <v>2456</v>
      </c>
      <c r="B2187" t="s">
        <v>399</v>
      </c>
      <c r="C2187" t="s">
        <v>308</v>
      </c>
      <c r="D2187" t="s">
        <v>2474</v>
      </c>
      <c r="E2187" t="s">
        <v>390</v>
      </c>
      <c r="H2187" t="s">
        <v>25</v>
      </c>
      <c r="I2187" t="s">
        <v>2101</v>
      </c>
      <c r="L2187" t="s">
        <v>312</v>
      </c>
      <c r="M2187" t="s">
        <v>411</v>
      </c>
    </row>
    <row r="2188" spans="1:13" x14ac:dyDescent="0.3">
      <c r="A2188" t="s">
        <v>2456</v>
      </c>
      <c r="B2188" t="s">
        <v>399</v>
      </c>
      <c r="C2188" t="s">
        <v>308</v>
      </c>
      <c r="D2188" t="s">
        <v>2475</v>
      </c>
      <c r="E2188" t="s">
        <v>396</v>
      </c>
      <c r="H2188" t="s">
        <v>25</v>
      </c>
      <c r="I2188" t="s">
        <v>2102</v>
      </c>
      <c r="L2188" t="s">
        <v>312</v>
      </c>
      <c r="M2188" t="s">
        <v>413</v>
      </c>
    </row>
    <row r="2189" spans="1:13" x14ac:dyDescent="0.3">
      <c r="A2189" t="s">
        <v>2476</v>
      </c>
      <c r="B2189" t="s">
        <v>501</v>
      </c>
      <c r="C2189" t="s">
        <v>11</v>
      </c>
      <c r="D2189" t="s">
        <v>12</v>
      </c>
      <c r="E2189" t="s">
        <v>391</v>
      </c>
      <c r="H2189" t="s">
        <v>392</v>
      </c>
      <c r="I2189" t="s">
        <v>2104</v>
      </c>
      <c r="L2189" t="s">
        <v>394</v>
      </c>
      <c r="M2189" t="s">
        <v>2470</v>
      </c>
    </row>
    <row r="2190" spans="1:13" x14ac:dyDescent="0.3">
      <c r="A2190" t="s">
        <v>2477</v>
      </c>
      <c r="B2190" t="s">
        <v>498</v>
      </c>
      <c r="C2190" t="s">
        <v>11</v>
      </c>
      <c r="D2190" t="s">
        <v>12</v>
      </c>
      <c r="E2190" t="s">
        <v>391</v>
      </c>
      <c r="H2190" t="s">
        <v>392</v>
      </c>
      <c r="I2190" t="s">
        <v>2106</v>
      </c>
      <c r="L2190" t="s">
        <v>394</v>
      </c>
      <c r="M2190" t="s">
        <v>2470</v>
      </c>
    </row>
    <row r="2191" spans="1:13" x14ac:dyDescent="0.3">
      <c r="A2191" t="s">
        <v>2457</v>
      </c>
      <c r="B2191" t="s">
        <v>488</v>
      </c>
      <c r="C2191" t="s">
        <v>308</v>
      </c>
      <c r="D2191" t="s">
        <v>2476</v>
      </c>
      <c r="E2191" t="s">
        <v>501</v>
      </c>
      <c r="H2191" t="s">
        <v>25</v>
      </c>
      <c r="I2191" t="s">
        <v>2107</v>
      </c>
      <c r="L2191" t="s">
        <v>312</v>
      </c>
      <c r="M2191" t="s">
        <v>2108</v>
      </c>
    </row>
    <row r="2192" spans="1:13" x14ac:dyDescent="0.3">
      <c r="A2192" t="s">
        <v>2457</v>
      </c>
      <c r="B2192" t="s">
        <v>488</v>
      </c>
      <c r="C2192" t="s">
        <v>308</v>
      </c>
      <c r="D2192" t="s">
        <v>2477</v>
      </c>
      <c r="E2192" t="s">
        <v>498</v>
      </c>
      <c r="H2192" t="s">
        <v>25</v>
      </c>
      <c r="I2192" t="s">
        <v>2109</v>
      </c>
      <c r="L2192" t="s">
        <v>312</v>
      </c>
      <c r="M2192" t="s">
        <v>385</v>
      </c>
    </row>
    <row r="2193" spans="1:13" x14ac:dyDescent="0.3">
      <c r="A2193" t="s">
        <v>2465</v>
      </c>
      <c r="B2193" t="s">
        <v>2074</v>
      </c>
      <c r="C2193" t="s">
        <v>11</v>
      </c>
      <c r="D2193" t="s">
        <v>12</v>
      </c>
      <c r="E2193" t="s">
        <v>391</v>
      </c>
      <c r="H2193" t="s">
        <v>392</v>
      </c>
      <c r="I2193" t="s">
        <v>2110</v>
      </c>
      <c r="L2193" t="s">
        <v>394</v>
      </c>
      <c r="M2193" t="s">
        <v>2470</v>
      </c>
    </row>
    <row r="2194" spans="1:13" x14ac:dyDescent="0.3">
      <c r="A2194" t="s">
        <v>2471</v>
      </c>
      <c r="B2194" t="s">
        <v>341</v>
      </c>
      <c r="C2194" t="s">
        <v>11</v>
      </c>
      <c r="D2194" t="s">
        <v>12</v>
      </c>
      <c r="E2194" t="s">
        <v>391</v>
      </c>
      <c r="H2194" t="s">
        <v>392</v>
      </c>
      <c r="I2194" t="s">
        <v>2478</v>
      </c>
      <c r="L2194" t="s">
        <v>394</v>
      </c>
      <c r="M2194" t="s">
        <v>2470</v>
      </c>
    </row>
    <row r="2195" spans="1:13" x14ac:dyDescent="0.3">
      <c r="A2195" t="s">
        <v>2462</v>
      </c>
      <c r="B2195" t="s">
        <v>348</v>
      </c>
      <c r="C2195" t="s">
        <v>11</v>
      </c>
      <c r="D2195" t="s">
        <v>12</v>
      </c>
      <c r="E2195" t="s">
        <v>391</v>
      </c>
      <c r="H2195" t="s">
        <v>392</v>
      </c>
      <c r="I2195" t="s">
        <v>2479</v>
      </c>
      <c r="L2195" t="s">
        <v>394</v>
      </c>
      <c r="M2195" t="s">
        <v>2470</v>
      </c>
    </row>
    <row r="2196" spans="1:13" x14ac:dyDescent="0.3">
      <c r="A2196" t="s">
        <v>2463</v>
      </c>
      <c r="B2196" t="s">
        <v>2068</v>
      </c>
      <c r="C2196" t="s">
        <v>11</v>
      </c>
      <c r="D2196" t="s">
        <v>12</v>
      </c>
      <c r="E2196" t="s">
        <v>391</v>
      </c>
      <c r="H2196" t="s">
        <v>392</v>
      </c>
      <c r="I2196" t="s">
        <v>2480</v>
      </c>
      <c r="L2196" t="s">
        <v>394</v>
      </c>
      <c r="M2196" t="s">
        <v>2470</v>
      </c>
    </row>
    <row r="2197" spans="1:13" x14ac:dyDescent="0.3">
      <c r="A2197" t="s">
        <v>2459</v>
      </c>
      <c r="B2197" t="s">
        <v>2060</v>
      </c>
      <c r="C2197" t="s">
        <v>11</v>
      </c>
      <c r="D2197" t="s">
        <v>12</v>
      </c>
      <c r="E2197" t="s">
        <v>391</v>
      </c>
      <c r="H2197" t="s">
        <v>392</v>
      </c>
      <c r="I2197" t="s">
        <v>2481</v>
      </c>
      <c r="L2197" t="s">
        <v>394</v>
      </c>
      <c r="M2197" t="s">
        <v>2470</v>
      </c>
    </row>
    <row r="2198" spans="1:13" x14ac:dyDescent="0.3">
      <c r="A2198" t="s">
        <v>2458</v>
      </c>
      <c r="B2198" t="s">
        <v>303</v>
      </c>
      <c r="C2198" t="s">
        <v>280</v>
      </c>
      <c r="D2198" t="s">
        <v>2482</v>
      </c>
      <c r="E2198" t="s">
        <v>478</v>
      </c>
      <c r="H2198" t="s">
        <v>25</v>
      </c>
      <c r="I2198" t="s">
        <v>515</v>
      </c>
    </row>
    <row r="2199" spans="1:13" x14ac:dyDescent="0.3">
      <c r="A2199" t="s">
        <v>2482</v>
      </c>
      <c r="B2199" t="s">
        <v>478</v>
      </c>
      <c r="C2199" t="s">
        <v>308</v>
      </c>
      <c r="D2199" t="s">
        <v>2483</v>
      </c>
      <c r="E2199" t="s">
        <v>2117</v>
      </c>
      <c r="H2199" t="s">
        <v>25</v>
      </c>
      <c r="I2199" t="s">
        <v>2118</v>
      </c>
      <c r="L2199" t="s">
        <v>312</v>
      </c>
      <c r="M2199" t="s">
        <v>343</v>
      </c>
    </row>
    <row r="2200" spans="1:13" x14ac:dyDescent="0.3">
      <c r="A2200" t="s">
        <v>2482</v>
      </c>
      <c r="B2200" t="s">
        <v>478</v>
      </c>
      <c r="C2200" t="s">
        <v>308</v>
      </c>
      <c r="D2200" t="s">
        <v>2484</v>
      </c>
      <c r="E2200" t="s">
        <v>2120</v>
      </c>
      <c r="H2200" t="s">
        <v>25</v>
      </c>
      <c r="I2200" t="s">
        <v>2121</v>
      </c>
      <c r="L2200" t="s">
        <v>312</v>
      </c>
      <c r="M2200" t="s">
        <v>343</v>
      </c>
    </row>
    <row r="2201" spans="1:13" x14ac:dyDescent="0.3">
      <c r="A2201" t="s">
        <v>2483</v>
      </c>
      <c r="B2201" t="s">
        <v>2117</v>
      </c>
      <c r="C2201" t="s">
        <v>11</v>
      </c>
      <c r="D2201" t="s">
        <v>12</v>
      </c>
      <c r="E2201" t="s">
        <v>391</v>
      </c>
      <c r="H2201" t="s">
        <v>392</v>
      </c>
      <c r="I2201" t="s">
        <v>2485</v>
      </c>
      <c r="L2201" t="s">
        <v>394</v>
      </c>
      <c r="M2201" t="s">
        <v>2470</v>
      </c>
    </row>
    <row r="2202" spans="1:13" x14ac:dyDescent="0.3">
      <c r="A2202" t="s">
        <v>2467</v>
      </c>
      <c r="B2202" t="s">
        <v>2080</v>
      </c>
      <c r="C2202" t="s">
        <v>11</v>
      </c>
      <c r="D2202" t="s">
        <v>12</v>
      </c>
      <c r="E2202" t="s">
        <v>391</v>
      </c>
      <c r="H2202" t="s">
        <v>392</v>
      </c>
      <c r="I2202" t="s">
        <v>2123</v>
      </c>
      <c r="L2202" t="s">
        <v>394</v>
      </c>
      <c r="M2202" t="s">
        <v>2470</v>
      </c>
    </row>
    <row r="2203" spans="1:13" x14ac:dyDescent="0.3">
      <c r="A2203" t="s">
        <v>2484</v>
      </c>
      <c r="B2203" t="s">
        <v>2120</v>
      </c>
      <c r="C2203" t="s">
        <v>11</v>
      </c>
      <c r="D2203" t="s">
        <v>12</v>
      </c>
      <c r="E2203" t="s">
        <v>391</v>
      </c>
      <c r="H2203" t="s">
        <v>392</v>
      </c>
      <c r="I2203" t="s">
        <v>2486</v>
      </c>
      <c r="L2203" t="s">
        <v>394</v>
      </c>
      <c r="M2203" t="s">
        <v>2470</v>
      </c>
    </row>
    <row r="2204" spans="1:13" x14ac:dyDescent="0.3">
      <c r="A2204" t="s">
        <v>2468</v>
      </c>
      <c r="B2204" t="s">
        <v>2086</v>
      </c>
      <c r="C2204" t="s">
        <v>11</v>
      </c>
      <c r="D2204" t="s">
        <v>12</v>
      </c>
      <c r="E2204" t="s">
        <v>391</v>
      </c>
      <c r="H2204" t="s">
        <v>392</v>
      </c>
      <c r="I2204" t="s">
        <v>2125</v>
      </c>
      <c r="L2204" t="s">
        <v>394</v>
      </c>
      <c r="M2204" t="s">
        <v>2470</v>
      </c>
    </row>
    <row r="2205" spans="1:13" x14ac:dyDescent="0.3">
      <c r="A2205" t="s">
        <v>2472</v>
      </c>
      <c r="B2205" t="s">
        <v>2095</v>
      </c>
      <c r="C2205" t="s">
        <v>11</v>
      </c>
      <c r="D2205" t="s">
        <v>12</v>
      </c>
      <c r="E2205" t="s">
        <v>391</v>
      </c>
      <c r="H2205" t="s">
        <v>392</v>
      </c>
      <c r="I2205" t="s">
        <v>2487</v>
      </c>
      <c r="L2205" t="s">
        <v>394</v>
      </c>
      <c r="M2205" t="s">
        <v>2470</v>
      </c>
    </row>
    <row r="2206" spans="1:13" x14ac:dyDescent="0.3">
      <c r="A2206" t="s">
        <v>2461</v>
      </c>
      <c r="B2206" t="s">
        <v>1138</v>
      </c>
      <c r="C2206" t="s">
        <v>11</v>
      </c>
      <c r="D2206" t="s">
        <v>12</v>
      </c>
      <c r="E2206" t="s">
        <v>391</v>
      </c>
      <c r="H2206" t="s">
        <v>392</v>
      </c>
      <c r="I2206" t="s">
        <v>2488</v>
      </c>
      <c r="L2206" t="s">
        <v>394</v>
      </c>
      <c r="M2206" t="s">
        <v>2470</v>
      </c>
    </row>
    <row r="2207" spans="1:13" x14ac:dyDescent="0.3">
      <c r="A2207" t="s">
        <v>2466</v>
      </c>
      <c r="B2207" t="s">
        <v>2077</v>
      </c>
      <c r="C2207" t="s">
        <v>11</v>
      </c>
      <c r="D2207" t="s">
        <v>12</v>
      </c>
      <c r="E2207" t="s">
        <v>391</v>
      </c>
      <c r="H2207" t="s">
        <v>392</v>
      </c>
      <c r="I2207" t="s">
        <v>2128</v>
      </c>
      <c r="L2207" t="s">
        <v>394</v>
      </c>
      <c r="M2207" t="s">
        <v>2470</v>
      </c>
    </row>
    <row r="2208" spans="1:13" x14ac:dyDescent="0.3">
      <c r="A2208" t="s">
        <v>2460</v>
      </c>
      <c r="B2208" t="s">
        <v>2060</v>
      </c>
      <c r="C2208" t="s">
        <v>11</v>
      </c>
      <c r="D2208" t="s">
        <v>12</v>
      </c>
      <c r="E2208" t="s">
        <v>391</v>
      </c>
      <c r="H2208" t="s">
        <v>392</v>
      </c>
      <c r="I2208" t="s">
        <v>2489</v>
      </c>
      <c r="L2208" t="s">
        <v>394</v>
      </c>
      <c r="M2208" t="s">
        <v>2470</v>
      </c>
    </row>
    <row r="2209" spans="1:17" x14ac:dyDescent="0.3">
      <c r="A2209" t="s">
        <v>2490</v>
      </c>
      <c r="B2209" t="s">
        <v>2491</v>
      </c>
      <c r="C2209" t="s">
        <v>280</v>
      </c>
      <c r="D2209" t="s">
        <v>2492</v>
      </c>
      <c r="E2209" t="s">
        <v>478</v>
      </c>
      <c r="H2209" t="s">
        <v>25</v>
      </c>
      <c r="I2209" t="s">
        <v>2493</v>
      </c>
    </row>
    <row r="2210" spans="1:17" x14ac:dyDescent="0.3">
      <c r="A2210" t="s">
        <v>2490</v>
      </c>
      <c r="B2210" t="s">
        <v>2491</v>
      </c>
      <c r="C2210" t="s">
        <v>308</v>
      </c>
      <c r="D2210" t="s">
        <v>2494</v>
      </c>
      <c r="E2210" t="s">
        <v>2080</v>
      </c>
      <c r="H2210" t="s">
        <v>25</v>
      </c>
      <c r="I2210" t="s">
        <v>2081</v>
      </c>
      <c r="L2210" t="s">
        <v>312</v>
      </c>
      <c r="M2210" t="s">
        <v>2082</v>
      </c>
      <c r="P2210" t="s">
        <v>2083</v>
      </c>
      <c r="Q2210" t="s">
        <v>2084</v>
      </c>
    </row>
    <row r="2211" spans="1:17" x14ac:dyDescent="0.3">
      <c r="A2211" t="s">
        <v>2490</v>
      </c>
      <c r="B2211" t="s">
        <v>2491</v>
      </c>
      <c r="C2211" t="s">
        <v>308</v>
      </c>
      <c r="D2211" t="s">
        <v>2495</v>
      </c>
      <c r="E2211" t="s">
        <v>2086</v>
      </c>
      <c r="H2211" t="s">
        <v>25</v>
      </c>
      <c r="I2211" t="s">
        <v>2087</v>
      </c>
      <c r="L2211" t="s">
        <v>312</v>
      </c>
      <c r="M2211" t="s">
        <v>2082</v>
      </c>
      <c r="P2211" t="s">
        <v>2083</v>
      </c>
      <c r="Q2211" t="s">
        <v>2084</v>
      </c>
    </row>
    <row r="2212" spans="1:17" x14ac:dyDescent="0.3">
      <c r="A2212" t="s">
        <v>2490</v>
      </c>
      <c r="B2212" t="s">
        <v>2491</v>
      </c>
      <c r="C2212" t="s">
        <v>22</v>
      </c>
      <c r="D2212" t="s">
        <v>23</v>
      </c>
      <c r="E2212" t="s">
        <v>24</v>
      </c>
      <c r="F2212" t="s">
        <v>25</v>
      </c>
      <c r="G2212" t="s">
        <v>2496</v>
      </c>
      <c r="J2212" t="s">
        <v>19</v>
      </c>
      <c r="K2212" t="s">
        <v>2497</v>
      </c>
    </row>
    <row r="2213" spans="1:17" x14ac:dyDescent="0.3">
      <c r="A2213" t="s">
        <v>2490</v>
      </c>
      <c r="B2213" t="s">
        <v>2491</v>
      </c>
      <c r="C2213" t="s">
        <v>2498</v>
      </c>
      <c r="D2213" t="s">
        <v>12</v>
      </c>
      <c r="E2213" t="s">
        <v>12</v>
      </c>
      <c r="H2213" t="s">
        <v>376</v>
      </c>
      <c r="I2213">
        <v>0.86</v>
      </c>
      <c r="L2213" t="s">
        <v>312</v>
      </c>
      <c r="M2213" t="s">
        <v>385</v>
      </c>
    </row>
    <row r="2214" spans="1:17" x14ac:dyDescent="0.3">
      <c r="A2214" t="s">
        <v>2490</v>
      </c>
      <c r="B2214" t="s">
        <v>2491</v>
      </c>
      <c r="C2214" t="s">
        <v>1692</v>
      </c>
      <c r="D2214" t="s">
        <v>2499</v>
      </c>
      <c r="E2214" t="s">
        <v>37</v>
      </c>
    </row>
    <row r="2215" spans="1:17" x14ac:dyDescent="0.3">
      <c r="A2215" t="s">
        <v>2490</v>
      </c>
      <c r="B2215" t="s">
        <v>2491</v>
      </c>
      <c r="C2215" t="s">
        <v>16</v>
      </c>
      <c r="D2215" t="s">
        <v>2499</v>
      </c>
      <c r="E2215" t="s">
        <v>37</v>
      </c>
      <c r="F2215" t="s">
        <v>2089</v>
      </c>
      <c r="G2215" t="s">
        <v>2500</v>
      </c>
      <c r="J2215" t="s">
        <v>2501</v>
      </c>
      <c r="K2215" t="s">
        <v>2502</v>
      </c>
    </row>
    <row r="2216" spans="1:17" x14ac:dyDescent="0.3">
      <c r="A2216" t="s">
        <v>2490</v>
      </c>
      <c r="B2216" t="s">
        <v>2491</v>
      </c>
      <c r="C2216" t="s">
        <v>11</v>
      </c>
      <c r="D2216" t="s">
        <v>12</v>
      </c>
      <c r="E2216" t="s">
        <v>13</v>
      </c>
      <c r="H2216" t="s">
        <v>382</v>
      </c>
      <c r="I2216" t="s">
        <v>2503</v>
      </c>
      <c r="L2216" t="s">
        <v>14</v>
      </c>
      <c r="M2216" t="s">
        <v>2503</v>
      </c>
    </row>
    <row r="2217" spans="1:17" x14ac:dyDescent="0.3">
      <c r="A2217" t="s">
        <v>2492</v>
      </c>
      <c r="B2217" t="s">
        <v>478</v>
      </c>
      <c r="C2217" t="s">
        <v>308</v>
      </c>
      <c r="D2217" t="s">
        <v>2504</v>
      </c>
      <c r="E2217" t="s">
        <v>1809</v>
      </c>
      <c r="H2217" t="s">
        <v>25</v>
      </c>
      <c r="I2217" t="s">
        <v>1810</v>
      </c>
      <c r="L2217" t="s">
        <v>312</v>
      </c>
      <c r="M2217" t="s">
        <v>343</v>
      </c>
    </row>
    <row r="2218" spans="1:17" x14ac:dyDescent="0.3">
      <c r="A2218" t="s">
        <v>2492</v>
      </c>
      <c r="B2218" t="s">
        <v>478</v>
      </c>
      <c r="C2218" t="s">
        <v>308</v>
      </c>
      <c r="D2218" t="s">
        <v>2505</v>
      </c>
      <c r="E2218" t="s">
        <v>1798</v>
      </c>
      <c r="H2218" t="s">
        <v>25</v>
      </c>
      <c r="I2218" t="s">
        <v>1799</v>
      </c>
      <c r="L2218" t="s">
        <v>312</v>
      </c>
      <c r="M2218" t="s">
        <v>343</v>
      </c>
    </row>
    <row r="2219" spans="1:17" x14ac:dyDescent="0.3">
      <c r="A2219" t="s">
        <v>2492</v>
      </c>
      <c r="B2219" t="s">
        <v>478</v>
      </c>
      <c r="C2219" t="s">
        <v>308</v>
      </c>
      <c r="D2219" t="s">
        <v>2506</v>
      </c>
      <c r="E2219" t="s">
        <v>481</v>
      </c>
      <c r="H2219" t="s">
        <v>25</v>
      </c>
      <c r="I2219" t="s">
        <v>1801</v>
      </c>
      <c r="L2219" t="s">
        <v>312</v>
      </c>
      <c r="M2219" t="s">
        <v>343</v>
      </c>
    </row>
    <row r="2220" spans="1:17" x14ac:dyDescent="0.3">
      <c r="A2220" t="s">
        <v>2492</v>
      </c>
      <c r="B2220" t="s">
        <v>478</v>
      </c>
      <c r="C2220" t="s">
        <v>308</v>
      </c>
      <c r="D2220" t="s">
        <v>2507</v>
      </c>
      <c r="E2220" t="s">
        <v>2095</v>
      </c>
      <c r="H2220" t="s">
        <v>25</v>
      </c>
      <c r="I2220" t="s">
        <v>2508</v>
      </c>
      <c r="L2220" t="s">
        <v>312</v>
      </c>
      <c r="M2220" t="s">
        <v>343</v>
      </c>
    </row>
    <row r="2221" spans="1:17" x14ac:dyDescent="0.3">
      <c r="A2221" t="s">
        <v>2492</v>
      </c>
      <c r="B2221" t="s">
        <v>478</v>
      </c>
      <c r="C2221" t="s">
        <v>308</v>
      </c>
      <c r="D2221" t="s">
        <v>2509</v>
      </c>
      <c r="E2221" t="s">
        <v>2510</v>
      </c>
      <c r="H2221" t="s">
        <v>25</v>
      </c>
      <c r="I2221" t="s">
        <v>2511</v>
      </c>
      <c r="L2221" t="s">
        <v>312</v>
      </c>
      <c r="M2221" t="s">
        <v>343</v>
      </c>
    </row>
    <row r="2222" spans="1:17" x14ac:dyDescent="0.3">
      <c r="A2222" t="s">
        <v>2492</v>
      </c>
      <c r="B2222" t="s">
        <v>478</v>
      </c>
      <c r="C2222" t="s">
        <v>308</v>
      </c>
      <c r="D2222" t="s">
        <v>2512</v>
      </c>
      <c r="E2222" t="s">
        <v>2513</v>
      </c>
      <c r="H2222" t="s">
        <v>25</v>
      </c>
      <c r="I2222" t="s">
        <v>2514</v>
      </c>
      <c r="L2222" t="s">
        <v>312</v>
      </c>
      <c r="M2222" t="s">
        <v>343</v>
      </c>
    </row>
    <row r="2223" spans="1:17" x14ac:dyDescent="0.3">
      <c r="A2223" t="s">
        <v>2492</v>
      </c>
      <c r="B2223" t="s">
        <v>478</v>
      </c>
      <c r="C2223" t="s">
        <v>308</v>
      </c>
      <c r="D2223" t="s">
        <v>2515</v>
      </c>
      <c r="E2223" t="s">
        <v>527</v>
      </c>
      <c r="H2223" t="s">
        <v>25</v>
      </c>
      <c r="I2223" t="s">
        <v>1954</v>
      </c>
      <c r="L2223" t="s">
        <v>312</v>
      </c>
      <c r="M2223" t="s">
        <v>343</v>
      </c>
    </row>
    <row r="2224" spans="1:17" x14ac:dyDescent="0.3">
      <c r="A2224" t="s">
        <v>2492</v>
      </c>
      <c r="B2224" t="s">
        <v>478</v>
      </c>
      <c r="C2224" t="s">
        <v>308</v>
      </c>
      <c r="D2224" t="s">
        <v>2516</v>
      </c>
      <c r="E2224" t="s">
        <v>2517</v>
      </c>
      <c r="H2224" t="s">
        <v>25</v>
      </c>
      <c r="I2224" t="s">
        <v>2118</v>
      </c>
      <c r="L2224" t="s">
        <v>312</v>
      </c>
      <c r="M2224" t="s">
        <v>343</v>
      </c>
    </row>
    <row r="2225" spans="1:13" x14ac:dyDescent="0.3">
      <c r="A2225" t="s">
        <v>2492</v>
      </c>
      <c r="B2225" t="s">
        <v>478</v>
      </c>
      <c r="C2225" t="s">
        <v>308</v>
      </c>
      <c r="D2225" t="s">
        <v>2518</v>
      </c>
      <c r="E2225" t="s">
        <v>2517</v>
      </c>
      <c r="H2225" t="s">
        <v>25</v>
      </c>
      <c r="I2225" t="s">
        <v>2121</v>
      </c>
      <c r="L2225" t="s">
        <v>312</v>
      </c>
      <c r="M2225" t="s">
        <v>343</v>
      </c>
    </row>
    <row r="2226" spans="1:13" x14ac:dyDescent="0.3">
      <c r="A2226" t="s">
        <v>2492</v>
      </c>
      <c r="B2226" t="s">
        <v>478</v>
      </c>
      <c r="C2226" t="s">
        <v>308</v>
      </c>
      <c r="D2226" t="s">
        <v>2519</v>
      </c>
      <c r="E2226" t="s">
        <v>484</v>
      </c>
      <c r="H2226" t="s">
        <v>25</v>
      </c>
      <c r="I2226" t="s">
        <v>2520</v>
      </c>
      <c r="L2226" t="s">
        <v>312</v>
      </c>
      <c r="M2226" t="s">
        <v>343</v>
      </c>
    </row>
    <row r="2227" spans="1:13" x14ac:dyDescent="0.3">
      <c r="A2227" t="s">
        <v>2504</v>
      </c>
      <c r="B2227" t="s">
        <v>1809</v>
      </c>
      <c r="C2227" t="s">
        <v>11</v>
      </c>
      <c r="D2227" t="s">
        <v>12</v>
      </c>
      <c r="E2227" t="s">
        <v>391</v>
      </c>
      <c r="H2227" t="s">
        <v>392</v>
      </c>
      <c r="I2227" t="s">
        <v>2521</v>
      </c>
      <c r="L2227" t="s">
        <v>394</v>
      </c>
      <c r="M2227" t="s">
        <v>2503</v>
      </c>
    </row>
    <row r="2228" spans="1:13" x14ac:dyDescent="0.3">
      <c r="A2228" t="s">
        <v>2505</v>
      </c>
      <c r="B2228" t="s">
        <v>1798</v>
      </c>
      <c r="C2228" t="s">
        <v>11</v>
      </c>
      <c r="D2228" t="s">
        <v>12</v>
      </c>
      <c r="E2228" t="s">
        <v>391</v>
      </c>
      <c r="H2228" t="s">
        <v>392</v>
      </c>
      <c r="I2228" t="s">
        <v>2522</v>
      </c>
      <c r="L2228" t="s">
        <v>394</v>
      </c>
      <c r="M2228" t="s">
        <v>2503</v>
      </c>
    </row>
    <row r="2229" spans="1:13" x14ac:dyDescent="0.3">
      <c r="A2229" t="s">
        <v>2506</v>
      </c>
      <c r="B2229" t="s">
        <v>481</v>
      </c>
      <c r="C2229" t="s">
        <v>11</v>
      </c>
      <c r="D2229" t="s">
        <v>12</v>
      </c>
      <c r="E2229" t="s">
        <v>391</v>
      </c>
      <c r="H2229" t="s">
        <v>392</v>
      </c>
      <c r="I2229" t="s">
        <v>2523</v>
      </c>
      <c r="L2229" t="s">
        <v>394</v>
      </c>
      <c r="M2229" t="s">
        <v>2503</v>
      </c>
    </row>
    <row r="2230" spans="1:13" x14ac:dyDescent="0.3">
      <c r="A2230" t="s">
        <v>2509</v>
      </c>
      <c r="B2230" t="s">
        <v>2510</v>
      </c>
      <c r="C2230" t="s">
        <v>11</v>
      </c>
      <c r="D2230" t="s">
        <v>12</v>
      </c>
      <c r="E2230" t="s">
        <v>391</v>
      </c>
      <c r="H2230" t="s">
        <v>392</v>
      </c>
      <c r="I2230" t="s">
        <v>2524</v>
      </c>
      <c r="L2230" t="s">
        <v>394</v>
      </c>
      <c r="M2230" t="s">
        <v>2503</v>
      </c>
    </row>
    <row r="2231" spans="1:13" x14ac:dyDescent="0.3">
      <c r="A2231" t="s">
        <v>2507</v>
      </c>
      <c r="B2231" t="s">
        <v>2095</v>
      </c>
      <c r="C2231" t="s">
        <v>11</v>
      </c>
      <c r="D2231" t="s">
        <v>12</v>
      </c>
      <c r="E2231" t="s">
        <v>391</v>
      </c>
      <c r="H2231" t="s">
        <v>392</v>
      </c>
      <c r="I2231" t="s">
        <v>2525</v>
      </c>
      <c r="L2231" t="s">
        <v>394</v>
      </c>
      <c r="M2231" t="s">
        <v>2503</v>
      </c>
    </row>
    <row r="2232" spans="1:13" x14ac:dyDescent="0.3">
      <c r="A2232" t="s">
        <v>2512</v>
      </c>
      <c r="B2232" t="s">
        <v>2513</v>
      </c>
      <c r="C2232" t="s">
        <v>11</v>
      </c>
      <c r="D2232" t="s">
        <v>12</v>
      </c>
      <c r="E2232" t="s">
        <v>391</v>
      </c>
      <c r="H2232" t="s">
        <v>392</v>
      </c>
      <c r="I2232" t="s">
        <v>2526</v>
      </c>
      <c r="L2232" t="s">
        <v>394</v>
      </c>
      <c r="M2232" t="s">
        <v>2503</v>
      </c>
    </row>
    <row r="2233" spans="1:13" x14ac:dyDescent="0.3">
      <c r="A2233" t="s">
        <v>2515</v>
      </c>
      <c r="B2233" t="s">
        <v>527</v>
      </c>
      <c r="C2233" t="s">
        <v>11</v>
      </c>
      <c r="D2233" t="s">
        <v>12</v>
      </c>
      <c r="E2233" t="s">
        <v>391</v>
      </c>
      <c r="H2233" t="s">
        <v>392</v>
      </c>
      <c r="I2233" t="s">
        <v>2527</v>
      </c>
      <c r="L2233" t="s">
        <v>394</v>
      </c>
      <c r="M2233" t="s">
        <v>2503</v>
      </c>
    </row>
    <row r="2234" spans="1:13" x14ac:dyDescent="0.3">
      <c r="A2234" t="s">
        <v>2516</v>
      </c>
      <c r="B2234" t="s">
        <v>2517</v>
      </c>
      <c r="C2234" t="s">
        <v>11</v>
      </c>
      <c r="D2234" t="s">
        <v>12</v>
      </c>
      <c r="E2234" t="s">
        <v>391</v>
      </c>
      <c r="H2234" t="s">
        <v>392</v>
      </c>
      <c r="I2234" t="s">
        <v>2528</v>
      </c>
      <c r="L2234" t="s">
        <v>394</v>
      </c>
      <c r="M2234" t="s">
        <v>2503</v>
      </c>
    </row>
    <row r="2235" spans="1:13" x14ac:dyDescent="0.3">
      <c r="A2235" t="s">
        <v>2518</v>
      </c>
      <c r="B2235" t="s">
        <v>2517</v>
      </c>
      <c r="C2235" t="s">
        <v>11</v>
      </c>
      <c r="D2235" t="s">
        <v>12</v>
      </c>
      <c r="E2235" t="s">
        <v>391</v>
      </c>
      <c r="H2235" t="s">
        <v>392</v>
      </c>
      <c r="I2235" t="s">
        <v>2529</v>
      </c>
      <c r="L2235" t="s">
        <v>394</v>
      </c>
      <c r="M2235" t="s">
        <v>2503</v>
      </c>
    </row>
    <row r="2236" spans="1:13" x14ac:dyDescent="0.3">
      <c r="A2236" t="s">
        <v>2519</v>
      </c>
      <c r="B2236" t="s">
        <v>484</v>
      </c>
      <c r="C2236" t="s">
        <v>11</v>
      </c>
      <c r="D2236" t="s">
        <v>12</v>
      </c>
      <c r="E2236" t="s">
        <v>391</v>
      </c>
      <c r="H2236" t="s">
        <v>392</v>
      </c>
      <c r="I2236" t="s">
        <v>2530</v>
      </c>
      <c r="L2236" t="s">
        <v>394</v>
      </c>
      <c r="M2236" t="s">
        <v>2503</v>
      </c>
    </row>
    <row r="2237" spans="1:13" x14ac:dyDescent="0.3">
      <c r="A2237" t="s">
        <v>2494</v>
      </c>
      <c r="B2237" t="s">
        <v>2080</v>
      </c>
      <c r="C2237" t="s">
        <v>11</v>
      </c>
      <c r="D2237" t="s">
        <v>12</v>
      </c>
      <c r="E2237" t="s">
        <v>391</v>
      </c>
      <c r="H2237" t="s">
        <v>392</v>
      </c>
      <c r="I2237" t="s">
        <v>2123</v>
      </c>
      <c r="L2237" t="s">
        <v>394</v>
      </c>
      <c r="M2237" t="s">
        <v>2503</v>
      </c>
    </row>
    <row r="2238" spans="1:13" x14ac:dyDescent="0.3">
      <c r="A2238" t="s">
        <v>2495</v>
      </c>
      <c r="B2238" t="s">
        <v>2086</v>
      </c>
      <c r="C2238" t="s">
        <v>11</v>
      </c>
      <c r="D2238" t="s">
        <v>12</v>
      </c>
      <c r="E2238" t="s">
        <v>391</v>
      </c>
      <c r="H2238" t="s">
        <v>392</v>
      </c>
      <c r="I2238" t="s">
        <v>2125</v>
      </c>
      <c r="L2238" t="s">
        <v>394</v>
      </c>
      <c r="M2238" t="s">
        <v>2503</v>
      </c>
    </row>
    <row r="2239" spans="1:13" x14ac:dyDescent="0.3">
      <c r="A2239" s="22" t="s">
        <v>2531</v>
      </c>
      <c r="B2239" s="22" t="s">
        <v>2491</v>
      </c>
      <c r="C2239" s="22" t="s">
        <v>280</v>
      </c>
      <c r="D2239" s="22" t="s">
        <v>2532</v>
      </c>
      <c r="E2239" s="22" t="s">
        <v>478</v>
      </c>
      <c r="H2239" t="s">
        <v>25</v>
      </c>
      <c r="I2239" t="s">
        <v>2493</v>
      </c>
    </row>
    <row r="2240" spans="1:13" x14ac:dyDescent="0.3">
      <c r="A2240" s="22" t="s">
        <v>2531</v>
      </c>
      <c r="B2240" s="22" t="s">
        <v>2491</v>
      </c>
      <c r="C2240" s="22" t="s">
        <v>280</v>
      </c>
      <c r="D2240" s="22" t="s">
        <v>2532</v>
      </c>
      <c r="E2240" s="22" t="s">
        <v>478</v>
      </c>
      <c r="H2240" t="s">
        <v>25</v>
      </c>
      <c r="I2240" t="s">
        <v>2493</v>
      </c>
    </row>
    <row r="2241" spans="1:17" x14ac:dyDescent="0.3">
      <c r="A2241" s="22" t="s">
        <v>2531</v>
      </c>
      <c r="B2241" s="22" t="s">
        <v>2491</v>
      </c>
      <c r="C2241" s="22" t="s">
        <v>308</v>
      </c>
      <c r="D2241" s="22" t="s">
        <v>2533</v>
      </c>
      <c r="E2241" s="22" t="s">
        <v>2080</v>
      </c>
      <c r="H2241" t="s">
        <v>25</v>
      </c>
      <c r="I2241" t="s">
        <v>2081</v>
      </c>
      <c r="L2241" t="s">
        <v>312</v>
      </c>
      <c r="M2241" t="s">
        <v>2082</v>
      </c>
      <c r="P2241" t="s">
        <v>2083</v>
      </c>
      <c r="Q2241" t="s">
        <v>2084</v>
      </c>
    </row>
    <row r="2242" spans="1:17" x14ac:dyDescent="0.3">
      <c r="A2242" s="22" t="s">
        <v>2531</v>
      </c>
      <c r="B2242" s="22" t="s">
        <v>2491</v>
      </c>
      <c r="C2242" s="22" t="s">
        <v>308</v>
      </c>
      <c r="D2242" s="22" t="s">
        <v>2534</v>
      </c>
      <c r="E2242" s="22" t="s">
        <v>2086</v>
      </c>
      <c r="H2242" t="s">
        <v>25</v>
      </c>
      <c r="I2242" t="s">
        <v>2087</v>
      </c>
      <c r="L2242" t="s">
        <v>312</v>
      </c>
      <c r="M2242" t="s">
        <v>2082</v>
      </c>
      <c r="P2242" t="s">
        <v>2083</v>
      </c>
      <c r="Q2242" t="s">
        <v>2084</v>
      </c>
    </row>
    <row r="2243" spans="1:17" x14ac:dyDescent="0.3">
      <c r="A2243" s="22" t="s">
        <v>2531</v>
      </c>
      <c r="B2243" s="22" t="s">
        <v>2491</v>
      </c>
      <c r="C2243" s="22" t="s">
        <v>308</v>
      </c>
      <c r="D2243" s="22" t="s">
        <v>2533</v>
      </c>
      <c r="E2243" s="22" t="s">
        <v>2080</v>
      </c>
      <c r="H2243" t="s">
        <v>25</v>
      </c>
      <c r="I2243" t="s">
        <v>2081</v>
      </c>
      <c r="L2243" t="s">
        <v>312</v>
      </c>
      <c r="M2243" t="s">
        <v>2082</v>
      </c>
      <c r="P2243" t="s">
        <v>2083</v>
      </c>
      <c r="Q2243" t="s">
        <v>2084</v>
      </c>
    </row>
    <row r="2244" spans="1:17" x14ac:dyDescent="0.3">
      <c r="A2244" s="22" t="s">
        <v>2531</v>
      </c>
      <c r="B2244" s="22" t="s">
        <v>2491</v>
      </c>
      <c r="C2244" s="22" t="s">
        <v>308</v>
      </c>
      <c r="D2244" s="22" t="s">
        <v>2534</v>
      </c>
      <c r="E2244" s="22" t="s">
        <v>2086</v>
      </c>
      <c r="H2244" t="s">
        <v>25</v>
      </c>
      <c r="I2244" t="s">
        <v>2087</v>
      </c>
      <c r="L2244" t="s">
        <v>312</v>
      </c>
      <c r="M2244" t="s">
        <v>2082</v>
      </c>
      <c r="P2244" t="s">
        <v>2083</v>
      </c>
      <c r="Q2244" t="s">
        <v>2084</v>
      </c>
    </row>
    <row r="2245" spans="1:17" x14ac:dyDescent="0.3">
      <c r="A2245" s="22" t="s">
        <v>2531</v>
      </c>
      <c r="B2245" s="22" t="s">
        <v>2491</v>
      </c>
      <c r="C2245" s="22" t="s">
        <v>22</v>
      </c>
      <c r="D2245" s="22" t="s">
        <v>23</v>
      </c>
      <c r="E2245" s="22" t="s">
        <v>24</v>
      </c>
      <c r="F2245" t="s">
        <v>25</v>
      </c>
      <c r="G2245" t="s">
        <v>2535</v>
      </c>
      <c r="J2245" t="s">
        <v>19</v>
      </c>
      <c r="K2245" t="s">
        <v>2497</v>
      </c>
    </row>
    <row r="2246" spans="1:17" x14ac:dyDescent="0.3">
      <c r="A2246" s="22" t="s">
        <v>2531</v>
      </c>
      <c r="B2246" s="22" t="s">
        <v>2491</v>
      </c>
      <c r="C2246" s="22" t="s">
        <v>22</v>
      </c>
      <c r="D2246" s="22" t="s">
        <v>23</v>
      </c>
      <c r="E2246" s="22" t="s">
        <v>24</v>
      </c>
      <c r="F2246" t="s">
        <v>25</v>
      </c>
      <c r="G2246" t="s">
        <v>2535</v>
      </c>
      <c r="J2246" t="s">
        <v>19</v>
      </c>
      <c r="K2246" t="s">
        <v>2497</v>
      </c>
    </row>
    <row r="2247" spans="1:17" x14ac:dyDescent="0.3">
      <c r="A2247" s="22" t="s">
        <v>2531</v>
      </c>
      <c r="B2247" s="22" t="s">
        <v>2491</v>
      </c>
      <c r="C2247" s="22" t="s">
        <v>2498</v>
      </c>
      <c r="D2247" s="22" t="s">
        <v>12</v>
      </c>
      <c r="E2247" s="22" t="s">
        <v>12</v>
      </c>
      <c r="H2247" t="s">
        <v>376</v>
      </c>
      <c r="I2247">
        <v>0.86</v>
      </c>
      <c r="L2247" t="s">
        <v>312</v>
      </c>
      <c r="M2247" t="s">
        <v>385</v>
      </c>
    </row>
    <row r="2248" spans="1:17" x14ac:dyDescent="0.3">
      <c r="A2248" s="22" t="s">
        <v>2531</v>
      </c>
      <c r="B2248" s="22" t="s">
        <v>2491</v>
      </c>
      <c r="C2248" s="22" t="s">
        <v>2498</v>
      </c>
      <c r="D2248" s="22" t="s">
        <v>12</v>
      </c>
      <c r="E2248" s="22" t="s">
        <v>12</v>
      </c>
      <c r="H2248" t="s">
        <v>376</v>
      </c>
      <c r="I2248">
        <v>0.86</v>
      </c>
      <c r="L2248" t="s">
        <v>312</v>
      </c>
      <c r="M2248" t="s">
        <v>385</v>
      </c>
    </row>
    <row r="2249" spans="1:17" x14ac:dyDescent="0.3">
      <c r="A2249" s="22" t="s">
        <v>2531</v>
      </c>
      <c r="B2249" s="22" t="s">
        <v>2491</v>
      </c>
      <c r="C2249" s="22" t="s">
        <v>1692</v>
      </c>
      <c r="D2249" s="22" t="s">
        <v>2499</v>
      </c>
      <c r="E2249" s="22" t="s">
        <v>37</v>
      </c>
    </row>
    <row r="2250" spans="1:17" x14ac:dyDescent="0.3">
      <c r="A2250" s="22" t="s">
        <v>2531</v>
      </c>
      <c r="B2250" s="22" t="s">
        <v>2491</v>
      </c>
      <c r="C2250" s="22" t="s">
        <v>1692</v>
      </c>
      <c r="D2250" s="22" t="s">
        <v>2499</v>
      </c>
      <c r="E2250" s="22" t="s">
        <v>37</v>
      </c>
    </row>
    <row r="2251" spans="1:17" x14ac:dyDescent="0.3">
      <c r="A2251" s="22" t="s">
        <v>2531</v>
      </c>
      <c r="B2251" s="22" t="s">
        <v>2491</v>
      </c>
      <c r="C2251" s="22" t="s">
        <v>16</v>
      </c>
      <c r="D2251" s="22" t="s">
        <v>2499</v>
      </c>
      <c r="E2251" s="22" t="s">
        <v>37</v>
      </c>
      <c r="F2251" t="s">
        <v>2089</v>
      </c>
      <c r="G2251" t="s">
        <v>2500</v>
      </c>
      <c r="J2251" t="s">
        <v>2501</v>
      </c>
      <c r="K2251" t="s">
        <v>2502</v>
      </c>
    </row>
    <row r="2252" spans="1:17" x14ac:dyDescent="0.3">
      <c r="A2252" s="22" t="s">
        <v>2531</v>
      </c>
      <c r="B2252" s="22" t="s">
        <v>2491</v>
      </c>
      <c r="C2252" s="22" t="s">
        <v>16</v>
      </c>
      <c r="D2252" s="22" t="s">
        <v>2499</v>
      </c>
      <c r="E2252" s="22" t="s">
        <v>37</v>
      </c>
      <c r="F2252" t="s">
        <v>2089</v>
      </c>
      <c r="G2252" t="s">
        <v>2500</v>
      </c>
      <c r="J2252" t="s">
        <v>2501</v>
      </c>
      <c r="K2252" t="s">
        <v>2502</v>
      </c>
    </row>
    <row r="2253" spans="1:17" x14ac:dyDescent="0.3">
      <c r="A2253" s="22" t="s">
        <v>2531</v>
      </c>
      <c r="B2253" s="22" t="s">
        <v>2491</v>
      </c>
      <c r="C2253" s="22" t="s">
        <v>11</v>
      </c>
      <c r="D2253" s="22" t="s">
        <v>12</v>
      </c>
      <c r="E2253" s="22" t="s">
        <v>13</v>
      </c>
      <c r="H2253" t="s">
        <v>382</v>
      </c>
      <c r="I2253" t="s">
        <v>2536</v>
      </c>
      <c r="L2253" t="s">
        <v>14</v>
      </c>
      <c r="M2253" t="s">
        <v>2536</v>
      </c>
    </row>
    <row r="2254" spans="1:17" x14ac:dyDescent="0.3">
      <c r="A2254" s="22" t="s">
        <v>2531</v>
      </c>
      <c r="B2254" s="22" t="s">
        <v>2491</v>
      </c>
      <c r="C2254" s="22" t="s">
        <v>11</v>
      </c>
      <c r="D2254" s="22" t="s">
        <v>12</v>
      </c>
      <c r="E2254" s="22" t="s">
        <v>13</v>
      </c>
      <c r="H2254" t="s">
        <v>382</v>
      </c>
      <c r="I2254" t="s">
        <v>2536</v>
      </c>
      <c r="L2254" t="s">
        <v>14</v>
      </c>
      <c r="M2254" t="s">
        <v>2536</v>
      </c>
    </row>
    <row r="2255" spans="1:17" x14ac:dyDescent="0.3">
      <c r="A2255" s="22" t="s">
        <v>2532</v>
      </c>
      <c r="B2255" s="22" t="s">
        <v>478</v>
      </c>
      <c r="C2255" s="22" t="s">
        <v>308</v>
      </c>
      <c r="D2255" s="22" t="s">
        <v>2537</v>
      </c>
      <c r="E2255" s="22" t="s">
        <v>1809</v>
      </c>
      <c r="H2255" t="s">
        <v>25</v>
      </c>
      <c r="I2255" t="s">
        <v>1810</v>
      </c>
      <c r="L2255" t="s">
        <v>312</v>
      </c>
      <c r="M2255" t="s">
        <v>343</v>
      </c>
    </row>
    <row r="2256" spans="1:17" x14ac:dyDescent="0.3">
      <c r="A2256" s="22" t="s">
        <v>2532</v>
      </c>
      <c r="B2256" s="22" t="s">
        <v>478</v>
      </c>
      <c r="C2256" s="22" t="s">
        <v>308</v>
      </c>
      <c r="D2256" s="22" t="s">
        <v>2538</v>
      </c>
      <c r="E2256" s="22" t="s">
        <v>481</v>
      </c>
      <c r="H2256" t="s">
        <v>25</v>
      </c>
      <c r="I2256" t="s">
        <v>1801</v>
      </c>
      <c r="L2256" t="s">
        <v>312</v>
      </c>
      <c r="M2256" t="s">
        <v>343</v>
      </c>
    </row>
    <row r="2257" spans="1:13" x14ac:dyDescent="0.3">
      <c r="A2257" s="22" t="s">
        <v>2532</v>
      </c>
      <c r="B2257" s="22" t="s">
        <v>478</v>
      </c>
      <c r="C2257" s="22" t="s">
        <v>308</v>
      </c>
      <c r="D2257" s="22" t="s">
        <v>2539</v>
      </c>
      <c r="E2257" s="22" t="s">
        <v>2540</v>
      </c>
      <c r="H2257" t="s">
        <v>25</v>
      </c>
      <c r="I2257" t="s">
        <v>2541</v>
      </c>
      <c r="L2257" t="s">
        <v>312</v>
      </c>
      <c r="M2257" t="s">
        <v>343</v>
      </c>
    </row>
    <row r="2258" spans="1:13" x14ac:dyDescent="0.3">
      <c r="A2258" s="22" t="s">
        <v>2532</v>
      </c>
      <c r="B2258" s="22" t="s">
        <v>478</v>
      </c>
      <c r="C2258" s="22" t="s">
        <v>308</v>
      </c>
      <c r="D2258" s="22" t="s">
        <v>2542</v>
      </c>
      <c r="E2258" s="22" t="s">
        <v>2513</v>
      </c>
      <c r="H2258" t="s">
        <v>25</v>
      </c>
      <c r="I2258" t="s">
        <v>2514</v>
      </c>
      <c r="L2258" t="s">
        <v>312</v>
      </c>
      <c r="M2258" t="s">
        <v>343</v>
      </c>
    </row>
    <row r="2259" spans="1:13" x14ac:dyDescent="0.3">
      <c r="A2259" s="22" t="s">
        <v>2532</v>
      </c>
      <c r="B2259" s="22" t="s">
        <v>478</v>
      </c>
      <c r="C2259" s="22" t="s">
        <v>308</v>
      </c>
      <c r="D2259" s="22" t="s">
        <v>2543</v>
      </c>
      <c r="E2259" s="22" t="s">
        <v>527</v>
      </c>
      <c r="H2259" t="s">
        <v>25</v>
      </c>
      <c r="I2259" t="s">
        <v>1954</v>
      </c>
      <c r="L2259" t="s">
        <v>312</v>
      </c>
      <c r="M2259" t="s">
        <v>343</v>
      </c>
    </row>
    <row r="2260" spans="1:13" x14ac:dyDescent="0.3">
      <c r="A2260" s="22" t="s">
        <v>2532</v>
      </c>
      <c r="B2260" s="22" t="s">
        <v>478</v>
      </c>
      <c r="C2260" s="22" t="s">
        <v>308</v>
      </c>
      <c r="D2260" s="22" t="s">
        <v>2544</v>
      </c>
      <c r="E2260" s="22" t="s">
        <v>2517</v>
      </c>
      <c r="H2260" t="s">
        <v>25</v>
      </c>
      <c r="I2260" t="s">
        <v>2118</v>
      </c>
      <c r="L2260" t="s">
        <v>312</v>
      </c>
      <c r="M2260" t="s">
        <v>343</v>
      </c>
    </row>
    <row r="2261" spans="1:13" x14ac:dyDescent="0.3">
      <c r="A2261" s="22" t="s">
        <v>2532</v>
      </c>
      <c r="B2261" s="22" t="s">
        <v>478</v>
      </c>
      <c r="C2261" s="22" t="s">
        <v>308</v>
      </c>
      <c r="D2261" s="22" t="s">
        <v>2545</v>
      </c>
      <c r="E2261" s="22" t="s">
        <v>2517</v>
      </c>
      <c r="H2261" t="s">
        <v>25</v>
      </c>
      <c r="I2261" t="s">
        <v>2121</v>
      </c>
      <c r="L2261" t="s">
        <v>312</v>
      </c>
      <c r="M2261" t="s">
        <v>343</v>
      </c>
    </row>
    <row r="2262" spans="1:13" x14ac:dyDescent="0.3">
      <c r="A2262" s="22" t="s">
        <v>2532</v>
      </c>
      <c r="B2262" s="22" t="s">
        <v>478</v>
      </c>
      <c r="C2262" s="22" t="s">
        <v>308</v>
      </c>
      <c r="D2262" s="22" t="s">
        <v>2546</v>
      </c>
      <c r="E2262" s="22" t="s">
        <v>484</v>
      </c>
      <c r="H2262" t="s">
        <v>25</v>
      </c>
      <c r="I2262" t="s">
        <v>2520</v>
      </c>
      <c r="L2262" t="s">
        <v>312</v>
      </c>
      <c r="M2262" t="s">
        <v>343</v>
      </c>
    </row>
    <row r="2263" spans="1:13" x14ac:dyDescent="0.3">
      <c r="A2263" s="22" t="s">
        <v>2532</v>
      </c>
      <c r="B2263" s="22" t="s">
        <v>478</v>
      </c>
      <c r="C2263" s="22" t="s">
        <v>308</v>
      </c>
      <c r="D2263" s="22" t="s">
        <v>2537</v>
      </c>
      <c r="E2263" s="22" t="s">
        <v>1809</v>
      </c>
      <c r="H2263" t="s">
        <v>25</v>
      </c>
      <c r="I2263" t="s">
        <v>1810</v>
      </c>
      <c r="L2263" t="s">
        <v>312</v>
      </c>
      <c r="M2263" t="s">
        <v>343</v>
      </c>
    </row>
    <row r="2264" spans="1:13" x14ac:dyDescent="0.3">
      <c r="A2264" s="22" t="s">
        <v>2532</v>
      </c>
      <c r="B2264" s="22" t="s">
        <v>478</v>
      </c>
      <c r="C2264" s="22" t="s">
        <v>308</v>
      </c>
      <c r="D2264" s="22" t="s">
        <v>2538</v>
      </c>
      <c r="E2264" s="22" t="s">
        <v>481</v>
      </c>
      <c r="H2264" t="s">
        <v>25</v>
      </c>
      <c r="I2264" t="s">
        <v>1801</v>
      </c>
      <c r="L2264" t="s">
        <v>312</v>
      </c>
      <c r="M2264" t="s">
        <v>343</v>
      </c>
    </row>
    <row r="2265" spans="1:13" x14ac:dyDescent="0.3">
      <c r="A2265" s="22" t="s">
        <v>2532</v>
      </c>
      <c r="B2265" s="22" t="s">
        <v>478</v>
      </c>
      <c r="C2265" s="22" t="s">
        <v>308</v>
      </c>
      <c r="D2265" s="22" t="s">
        <v>2539</v>
      </c>
      <c r="E2265" s="22" t="s">
        <v>2540</v>
      </c>
      <c r="H2265" t="s">
        <v>25</v>
      </c>
      <c r="I2265" t="s">
        <v>2541</v>
      </c>
      <c r="L2265" t="s">
        <v>312</v>
      </c>
      <c r="M2265" t="s">
        <v>343</v>
      </c>
    </row>
    <row r="2266" spans="1:13" x14ac:dyDescent="0.3">
      <c r="A2266" s="22" t="s">
        <v>2532</v>
      </c>
      <c r="B2266" s="22" t="s">
        <v>478</v>
      </c>
      <c r="C2266" s="22" t="s">
        <v>308</v>
      </c>
      <c r="D2266" s="22" t="s">
        <v>2542</v>
      </c>
      <c r="E2266" s="22" t="s">
        <v>2513</v>
      </c>
      <c r="H2266" t="s">
        <v>25</v>
      </c>
      <c r="I2266" t="s">
        <v>2514</v>
      </c>
      <c r="L2266" t="s">
        <v>312</v>
      </c>
      <c r="M2266" t="s">
        <v>343</v>
      </c>
    </row>
    <row r="2267" spans="1:13" x14ac:dyDescent="0.3">
      <c r="A2267" s="22" t="s">
        <v>2532</v>
      </c>
      <c r="B2267" s="22" t="s">
        <v>478</v>
      </c>
      <c r="C2267" s="22" t="s">
        <v>308</v>
      </c>
      <c r="D2267" s="22" t="s">
        <v>2543</v>
      </c>
      <c r="E2267" s="22" t="s">
        <v>527</v>
      </c>
      <c r="H2267" t="s">
        <v>25</v>
      </c>
      <c r="I2267" t="s">
        <v>1954</v>
      </c>
      <c r="L2267" t="s">
        <v>312</v>
      </c>
      <c r="M2267" t="s">
        <v>343</v>
      </c>
    </row>
    <row r="2268" spans="1:13" x14ac:dyDescent="0.3">
      <c r="A2268" s="22" t="s">
        <v>2532</v>
      </c>
      <c r="B2268" s="22" t="s">
        <v>478</v>
      </c>
      <c r="C2268" s="22" t="s">
        <v>308</v>
      </c>
      <c r="D2268" s="22" t="s">
        <v>2544</v>
      </c>
      <c r="E2268" s="22" t="s">
        <v>2517</v>
      </c>
      <c r="H2268" t="s">
        <v>25</v>
      </c>
      <c r="I2268" t="s">
        <v>2118</v>
      </c>
      <c r="L2268" t="s">
        <v>312</v>
      </c>
      <c r="M2268" t="s">
        <v>343</v>
      </c>
    </row>
    <row r="2269" spans="1:13" x14ac:dyDescent="0.3">
      <c r="A2269" s="22" t="s">
        <v>2532</v>
      </c>
      <c r="B2269" s="22" t="s">
        <v>478</v>
      </c>
      <c r="C2269" s="22" t="s">
        <v>308</v>
      </c>
      <c r="D2269" s="22" t="s">
        <v>2545</v>
      </c>
      <c r="E2269" s="22" t="s">
        <v>2517</v>
      </c>
      <c r="H2269" t="s">
        <v>25</v>
      </c>
      <c r="I2269" t="s">
        <v>2121</v>
      </c>
      <c r="L2269" t="s">
        <v>312</v>
      </c>
      <c r="M2269" t="s">
        <v>343</v>
      </c>
    </row>
    <row r="2270" spans="1:13" x14ac:dyDescent="0.3">
      <c r="A2270" s="22" t="s">
        <v>2532</v>
      </c>
      <c r="B2270" s="22" t="s">
        <v>478</v>
      </c>
      <c r="C2270" s="22" t="s">
        <v>308</v>
      </c>
      <c r="D2270" s="22" t="s">
        <v>2546</v>
      </c>
      <c r="E2270" s="22" t="s">
        <v>484</v>
      </c>
      <c r="H2270" t="s">
        <v>25</v>
      </c>
      <c r="I2270" t="s">
        <v>2520</v>
      </c>
      <c r="L2270" t="s">
        <v>312</v>
      </c>
      <c r="M2270" t="s">
        <v>343</v>
      </c>
    </row>
    <row r="2271" spans="1:13" x14ac:dyDescent="0.3">
      <c r="A2271" s="22" t="s">
        <v>2537</v>
      </c>
      <c r="B2271" s="22" t="s">
        <v>1809</v>
      </c>
      <c r="C2271" s="22" t="s">
        <v>11</v>
      </c>
      <c r="D2271" s="22" t="s">
        <v>12</v>
      </c>
      <c r="E2271" s="22" t="s">
        <v>391</v>
      </c>
      <c r="H2271" t="s">
        <v>392</v>
      </c>
      <c r="I2271" t="s">
        <v>2547</v>
      </c>
      <c r="L2271" t="s">
        <v>394</v>
      </c>
      <c r="M2271" t="s">
        <v>2536</v>
      </c>
    </row>
    <row r="2272" spans="1:13" x14ac:dyDescent="0.3">
      <c r="A2272" s="22" t="s">
        <v>2537</v>
      </c>
      <c r="B2272" s="22" t="s">
        <v>1809</v>
      </c>
      <c r="C2272" s="22" t="s">
        <v>11</v>
      </c>
      <c r="D2272" s="22" t="s">
        <v>12</v>
      </c>
      <c r="E2272" s="22" t="s">
        <v>391</v>
      </c>
      <c r="H2272" t="s">
        <v>392</v>
      </c>
      <c r="I2272" t="s">
        <v>2547</v>
      </c>
      <c r="L2272" t="s">
        <v>394</v>
      </c>
      <c r="M2272" t="s">
        <v>2536</v>
      </c>
    </row>
    <row r="2273" spans="1:13" x14ac:dyDescent="0.3">
      <c r="A2273" s="22" t="s">
        <v>2538</v>
      </c>
      <c r="B2273" s="22" t="s">
        <v>481</v>
      </c>
      <c r="C2273" s="22" t="s">
        <v>11</v>
      </c>
      <c r="D2273" s="22" t="s">
        <v>12</v>
      </c>
      <c r="E2273" s="22" t="s">
        <v>391</v>
      </c>
      <c r="H2273" t="s">
        <v>392</v>
      </c>
      <c r="I2273" t="s">
        <v>2548</v>
      </c>
      <c r="L2273" t="s">
        <v>394</v>
      </c>
      <c r="M2273" t="s">
        <v>2536</v>
      </c>
    </row>
    <row r="2274" spans="1:13" x14ac:dyDescent="0.3">
      <c r="A2274" s="22" t="s">
        <v>2538</v>
      </c>
      <c r="B2274" s="22" t="s">
        <v>481</v>
      </c>
      <c r="C2274" s="22" t="s">
        <v>11</v>
      </c>
      <c r="D2274" s="22" t="s">
        <v>12</v>
      </c>
      <c r="E2274" s="22" t="s">
        <v>391</v>
      </c>
      <c r="H2274" t="s">
        <v>392</v>
      </c>
      <c r="I2274" t="s">
        <v>2548</v>
      </c>
      <c r="L2274" t="s">
        <v>394</v>
      </c>
      <c r="M2274" t="s">
        <v>2536</v>
      </c>
    </row>
    <row r="2275" spans="1:13" x14ac:dyDescent="0.3">
      <c r="A2275" s="22" t="s">
        <v>2539</v>
      </c>
      <c r="B2275" s="22" t="s">
        <v>2540</v>
      </c>
      <c r="C2275" s="22" t="s">
        <v>11</v>
      </c>
      <c r="D2275" s="22" t="s">
        <v>12</v>
      </c>
      <c r="E2275" s="22" t="s">
        <v>391</v>
      </c>
      <c r="H2275" t="s">
        <v>392</v>
      </c>
      <c r="I2275" t="s">
        <v>2549</v>
      </c>
      <c r="L2275" t="s">
        <v>394</v>
      </c>
      <c r="M2275" t="s">
        <v>2536</v>
      </c>
    </row>
    <row r="2276" spans="1:13" x14ac:dyDescent="0.3">
      <c r="A2276" s="22" t="s">
        <v>2539</v>
      </c>
      <c r="B2276" s="22" t="s">
        <v>2540</v>
      </c>
      <c r="C2276" s="22" t="s">
        <v>11</v>
      </c>
      <c r="D2276" s="22" t="s">
        <v>12</v>
      </c>
      <c r="E2276" s="22" t="s">
        <v>391</v>
      </c>
      <c r="H2276" t="s">
        <v>392</v>
      </c>
      <c r="I2276" t="s">
        <v>2549</v>
      </c>
      <c r="L2276" t="s">
        <v>394</v>
      </c>
      <c r="M2276" t="s">
        <v>2536</v>
      </c>
    </row>
    <row r="2277" spans="1:13" x14ac:dyDescent="0.3">
      <c r="A2277" s="22" t="s">
        <v>2542</v>
      </c>
      <c r="B2277" s="22" t="s">
        <v>2513</v>
      </c>
      <c r="C2277" s="22" t="s">
        <v>11</v>
      </c>
      <c r="D2277" s="22" t="s">
        <v>12</v>
      </c>
      <c r="E2277" s="22" t="s">
        <v>391</v>
      </c>
      <c r="H2277" t="s">
        <v>392</v>
      </c>
      <c r="I2277" t="s">
        <v>2550</v>
      </c>
      <c r="L2277" t="s">
        <v>394</v>
      </c>
      <c r="M2277" t="s">
        <v>2536</v>
      </c>
    </row>
    <row r="2278" spans="1:13" x14ac:dyDescent="0.3">
      <c r="A2278" s="22" t="s">
        <v>2542</v>
      </c>
      <c r="B2278" s="22" t="s">
        <v>2513</v>
      </c>
      <c r="C2278" s="22" t="s">
        <v>11</v>
      </c>
      <c r="D2278" s="22" t="s">
        <v>12</v>
      </c>
      <c r="E2278" s="22" t="s">
        <v>391</v>
      </c>
      <c r="H2278" t="s">
        <v>392</v>
      </c>
      <c r="I2278" t="s">
        <v>2550</v>
      </c>
      <c r="L2278" t="s">
        <v>394</v>
      </c>
      <c r="M2278" t="s">
        <v>2536</v>
      </c>
    </row>
    <row r="2279" spans="1:13" x14ac:dyDescent="0.3">
      <c r="A2279" s="22" t="s">
        <v>2543</v>
      </c>
      <c r="B2279" s="22" t="s">
        <v>527</v>
      </c>
      <c r="C2279" s="22" t="s">
        <v>11</v>
      </c>
      <c r="D2279" s="22" t="s">
        <v>12</v>
      </c>
      <c r="E2279" s="22" t="s">
        <v>391</v>
      </c>
      <c r="H2279" t="s">
        <v>392</v>
      </c>
      <c r="I2279" t="s">
        <v>2551</v>
      </c>
      <c r="L2279" t="s">
        <v>394</v>
      </c>
      <c r="M2279" t="s">
        <v>2536</v>
      </c>
    </row>
    <row r="2280" spans="1:13" x14ac:dyDescent="0.3">
      <c r="A2280" s="22" t="s">
        <v>2543</v>
      </c>
      <c r="B2280" s="22" t="s">
        <v>527</v>
      </c>
      <c r="C2280" s="22" t="s">
        <v>11</v>
      </c>
      <c r="D2280" s="22" t="s">
        <v>12</v>
      </c>
      <c r="E2280" s="22" t="s">
        <v>391</v>
      </c>
      <c r="H2280" t="s">
        <v>392</v>
      </c>
      <c r="I2280" t="s">
        <v>2551</v>
      </c>
      <c r="L2280" t="s">
        <v>394</v>
      </c>
      <c r="M2280" t="s">
        <v>2536</v>
      </c>
    </row>
    <row r="2281" spans="1:13" x14ac:dyDescent="0.3">
      <c r="A2281" s="22" t="s">
        <v>2544</v>
      </c>
      <c r="B2281" s="22" t="s">
        <v>2517</v>
      </c>
      <c r="C2281" s="22" t="s">
        <v>11</v>
      </c>
      <c r="D2281" s="22" t="s">
        <v>12</v>
      </c>
      <c r="E2281" s="22" t="s">
        <v>391</v>
      </c>
      <c r="H2281" t="s">
        <v>392</v>
      </c>
      <c r="I2281" t="s">
        <v>2552</v>
      </c>
      <c r="L2281" t="s">
        <v>394</v>
      </c>
      <c r="M2281" t="s">
        <v>2536</v>
      </c>
    </row>
    <row r="2282" spans="1:13" x14ac:dyDescent="0.3">
      <c r="A2282" s="22" t="s">
        <v>2544</v>
      </c>
      <c r="B2282" s="22" t="s">
        <v>2517</v>
      </c>
      <c r="C2282" s="22" t="s">
        <v>11</v>
      </c>
      <c r="D2282" s="22" t="s">
        <v>12</v>
      </c>
      <c r="E2282" s="22" t="s">
        <v>391</v>
      </c>
      <c r="H2282" t="s">
        <v>392</v>
      </c>
      <c r="I2282" t="s">
        <v>2552</v>
      </c>
      <c r="L2282" t="s">
        <v>394</v>
      </c>
      <c r="M2282" t="s">
        <v>2536</v>
      </c>
    </row>
    <row r="2283" spans="1:13" x14ac:dyDescent="0.3">
      <c r="A2283" s="22" t="s">
        <v>2545</v>
      </c>
      <c r="B2283" s="22" t="s">
        <v>2517</v>
      </c>
      <c r="C2283" s="22" t="s">
        <v>11</v>
      </c>
      <c r="D2283" s="22" t="s">
        <v>12</v>
      </c>
      <c r="E2283" s="22" t="s">
        <v>391</v>
      </c>
      <c r="H2283" t="s">
        <v>392</v>
      </c>
      <c r="I2283" t="s">
        <v>2553</v>
      </c>
      <c r="L2283" t="s">
        <v>394</v>
      </c>
      <c r="M2283" t="s">
        <v>2536</v>
      </c>
    </row>
    <row r="2284" spans="1:13" x14ac:dyDescent="0.3">
      <c r="A2284" s="22" t="s">
        <v>2545</v>
      </c>
      <c r="B2284" s="22" t="s">
        <v>2517</v>
      </c>
      <c r="C2284" s="22" t="s">
        <v>11</v>
      </c>
      <c r="D2284" s="22" t="s">
        <v>12</v>
      </c>
      <c r="E2284" s="22" t="s">
        <v>391</v>
      </c>
      <c r="H2284" t="s">
        <v>392</v>
      </c>
      <c r="I2284" t="s">
        <v>2553</v>
      </c>
      <c r="L2284" t="s">
        <v>394</v>
      </c>
      <c r="M2284" t="s">
        <v>2536</v>
      </c>
    </row>
    <row r="2285" spans="1:13" x14ac:dyDescent="0.3">
      <c r="A2285" s="22" t="s">
        <v>2546</v>
      </c>
      <c r="B2285" s="22" t="s">
        <v>484</v>
      </c>
      <c r="C2285" s="22" t="s">
        <v>11</v>
      </c>
      <c r="D2285" s="22" t="s">
        <v>12</v>
      </c>
      <c r="E2285" s="22" t="s">
        <v>391</v>
      </c>
      <c r="H2285" t="s">
        <v>392</v>
      </c>
      <c r="I2285" t="s">
        <v>2554</v>
      </c>
      <c r="L2285" t="s">
        <v>394</v>
      </c>
      <c r="M2285" t="s">
        <v>2536</v>
      </c>
    </row>
    <row r="2286" spans="1:13" x14ac:dyDescent="0.3">
      <c r="A2286" s="22" t="s">
        <v>2546</v>
      </c>
      <c r="B2286" s="22" t="s">
        <v>484</v>
      </c>
      <c r="C2286" s="22" t="s">
        <v>11</v>
      </c>
      <c r="D2286" s="22" t="s">
        <v>12</v>
      </c>
      <c r="E2286" s="22" t="s">
        <v>391</v>
      </c>
      <c r="H2286" t="s">
        <v>392</v>
      </c>
      <c r="I2286" t="s">
        <v>2554</v>
      </c>
      <c r="L2286" t="s">
        <v>394</v>
      </c>
      <c r="M2286" t="s">
        <v>2536</v>
      </c>
    </row>
    <row r="2287" spans="1:13" x14ac:dyDescent="0.3">
      <c r="A2287" s="22" t="s">
        <v>2533</v>
      </c>
      <c r="B2287" s="22" t="s">
        <v>2080</v>
      </c>
      <c r="C2287" s="22" t="s">
        <v>11</v>
      </c>
      <c r="D2287" s="22" t="s">
        <v>12</v>
      </c>
      <c r="E2287" s="22" t="s">
        <v>391</v>
      </c>
      <c r="H2287" t="s">
        <v>392</v>
      </c>
      <c r="I2287" t="s">
        <v>2123</v>
      </c>
      <c r="L2287" t="s">
        <v>394</v>
      </c>
      <c r="M2287" t="s">
        <v>2536</v>
      </c>
    </row>
    <row r="2288" spans="1:13" x14ac:dyDescent="0.3">
      <c r="A2288" s="22" t="s">
        <v>2533</v>
      </c>
      <c r="B2288" s="22" t="s">
        <v>2080</v>
      </c>
      <c r="C2288" s="22" t="s">
        <v>11</v>
      </c>
      <c r="D2288" s="22" t="s">
        <v>12</v>
      </c>
      <c r="E2288" s="22" t="s">
        <v>391</v>
      </c>
      <c r="H2288" t="s">
        <v>392</v>
      </c>
      <c r="I2288" t="s">
        <v>2123</v>
      </c>
      <c r="L2288" t="s">
        <v>394</v>
      </c>
      <c r="M2288" t="s">
        <v>2536</v>
      </c>
    </row>
    <row r="2289" spans="1:17" x14ac:dyDescent="0.3">
      <c r="A2289" s="22" t="s">
        <v>2534</v>
      </c>
      <c r="B2289" s="22" t="s">
        <v>2086</v>
      </c>
      <c r="C2289" s="22" t="s">
        <v>11</v>
      </c>
      <c r="D2289" s="22" t="s">
        <v>12</v>
      </c>
      <c r="E2289" s="22" t="s">
        <v>391</v>
      </c>
      <c r="H2289" t="s">
        <v>392</v>
      </c>
      <c r="I2289" t="s">
        <v>2125</v>
      </c>
      <c r="L2289" t="s">
        <v>394</v>
      </c>
      <c r="M2289" t="s">
        <v>2536</v>
      </c>
    </row>
    <row r="2290" spans="1:17" x14ac:dyDescent="0.3">
      <c r="A2290" s="22" t="s">
        <v>2534</v>
      </c>
      <c r="B2290" s="22" t="s">
        <v>2086</v>
      </c>
      <c r="C2290" s="22" t="s">
        <v>11</v>
      </c>
      <c r="D2290" s="22" t="s">
        <v>12</v>
      </c>
      <c r="E2290" s="22" t="s">
        <v>391</v>
      </c>
      <c r="H2290" t="s">
        <v>392</v>
      </c>
      <c r="I2290" t="s">
        <v>2125</v>
      </c>
      <c r="L2290" t="s">
        <v>394</v>
      </c>
      <c r="M2290" t="s">
        <v>2536</v>
      </c>
    </row>
    <row r="2291" spans="1:17" x14ac:dyDescent="0.3">
      <c r="A2291" s="22" t="s">
        <v>2555</v>
      </c>
      <c r="B2291" s="22" t="s">
        <v>2491</v>
      </c>
      <c r="C2291" s="22" t="s">
        <v>280</v>
      </c>
      <c r="D2291" s="22" t="s">
        <v>2556</v>
      </c>
      <c r="E2291" s="22" t="s">
        <v>478</v>
      </c>
      <c r="H2291" t="s">
        <v>25</v>
      </c>
      <c r="I2291" t="s">
        <v>2493</v>
      </c>
    </row>
    <row r="2292" spans="1:17" x14ac:dyDescent="0.3">
      <c r="A2292" s="22" t="s">
        <v>2555</v>
      </c>
      <c r="B2292" s="22" t="s">
        <v>2491</v>
      </c>
      <c r="C2292" s="22" t="s">
        <v>280</v>
      </c>
      <c r="D2292" s="22" t="s">
        <v>2556</v>
      </c>
      <c r="E2292" s="22" t="s">
        <v>478</v>
      </c>
      <c r="H2292" t="s">
        <v>25</v>
      </c>
      <c r="I2292" t="s">
        <v>2493</v>
      </c>
    </row>
    <row r="2293" spans="1:17" x14ac:dyDescent="0.3">
      <c r="A2293" s="22" t="s">
        <v>2555</v>
      </c>
      <c r="B2293" s="22" t="s">
        <v>2491</v>
      </c>
      <c r="C2293" s="22" t="s">
        <v>308</v>
      </c>
      <c r="D2293" s="22" t="s">
        <v>2557</v>
      </c>
      <c r="E2293" s="22" t="s">
        <v>2080</v>
      </c>
      <c r="H2293" t="s">
        <v>25</v>
      </c>
      <c r="I2293" t="s">
        <v>2081</v>
      </c>
      <c r="L2293" t="s">
        <v>312</v>
      </c>
      <c r="M2293" t="s">
        <v>2082</v>
      </c>
      <c r="P2293" t="s">
        <v>2083</v>
      </c>
      <c r="Q2293" t="s">
        <v>2084</v>
      </c>
    </row>
    <row r="2294" spans="1:17" x14ac:dyDescent="0.3">
      <c r="A2294" s="22" t="s">
        <v>2555</v>
      </c>
      <c r="B2294" s="22" t="s">
        <v>2491</v>
      </c>
      <c r="C2294" s="22" t="s">
        <v>308</v>
      </c>
      <c r="D2294" s="22" t="s">
        <v>2558</v>
      </c>
      <c r="E2294" s="22" t="s">
        <v>2086</v>
      </c>
      <c r="H2294" t="s">
        <v>25</v>
      </c>
      <c r="I2294" t="s">
        <v>2087</v>
      </c>
      <c r="L2294" t="s">
        <v>312</v>
      </c>
      <c r="M2294" t="s">
        <v>2082</v>
      </c>
      <c r="P2294" t="s">
        <v>2083</v>
      </c>
      <c r="Q2294" t="s">
        <v>2084</v>
      </c>
    </row>
    <row r="2295" spans="1:17" x14ac:dyDescent="0.3">
      <c r="A2295" s="22" t="s">
        <v>2555</v>
      </c>
      <c r="B2295" s="22" t="s">
        <v>2491</v>
      </c>
      <c r="C2295" s="22" t="s">
        <v>308</v>
      </c>
      <c r="D2295" s="22" t="s">
        <v>2557</v>
      </c>
      <c r="E2295" s="22" t="s">
        <v>2080</v>
      </c>
      <c r="H2295" t="s">
        <v>25</v>
      </c>
      <c r="I2295" t="s">
        <v>2081</v>
      </c>
      <c r="L2295" t="s">
        <v>312</v>
      </c>
      <c r="M2295" t="s">
        <v>2082</v>
      </c>
      <c r="P2295" t="s">
        <v>2083</v>
      </c>
      <c r="Q2295" t="s">
        <v>2084</v>
      </c>
    </row>
    <row r="2296" spans="1:17" x14ac:dyDescent="0.3">
      <c r="A2296" s="22" t="s">
        <v>2555</v>
      </c>
      <c r="B2296" s="22" t="s">
        <v>2491</v>
      </c>
      <c r="C2296" s="22" t="s">
        <v>308</v>
      </c>
      <c r="D2296" s="22" t="s">
        <v>2558</v>
      </c>
      <c r="E2296" s="22" t="s">
        <v>2086</v>
      </c>
      <c r="H2296" t="s">
        <v>25</v>
      </c>
      <c r="I2296" t="s">
        <v>2087</v>
      </c>
      <c r="L2296" t="s">
        <v>312</v>
      </c>
      <c r="M2296" t="s">
        <v>2082</v>
      </c>
      <c r="P2296" t="s">
        <v>2083</v>
      </c>
      <c r="Q2296" t="s">
        <v>2084</v>
      </c>
    </row>
    <row r="2297" spans="1:17" x14ac:dyDescent="0.3">
      <c r="A2297" s="22" t="s">
        <v>2555</v>
      </c>
      <c r="B2297" s="22" t="s">
        <v>2491</v>
      </c>
      <c r="C2297" s="22" t="s">
        <v>22</v>
      </c>
      <c r="D2297" s="22" t="s">
        <v>23</v>
      </c>
      <c r="E2297" s="22" t="s">
        <v>24</v>
      </c>
      <c r="F2297" t="s">
        <v>25</v>
      </c>
      <c r="G2297" t="s">
        <v>2559</v>
      </c>
      <c r="J2297" t="s">
        <v>19</v>
      </c>
      <c r="K2297" t="s">
        <v>2497</v>
      </c>
    </row>
    <row r="2298" spans="1:17" x14ac:dyDescent="0.3">
      <c r="A2298" s="22" t="s">
        <v>2555</v>
      </c>
      <c r="B2298" s="22" t="s">
        <v>2491</v>
      </c>
      <c r="C2298" s="22" t="s">
        <v>22</v>
      </c>
      <c r="D2298" s="22" t="s">
        <v>23</v>
      </c>
      <c r="E2298" s="22" t="s">
        <v>24</v>
      </c>
      <c r="F2298" t="s">
        <v>25</v>
      </c>
      <c r="G2298" t="s">
        <v>2559</v>
      </c>
      <c r="J2298" t="s">
        <v>19</v>
      </c>
      <c r="K2298" t="s">
        <v>2497</v>
      </c>
    </row>
    <row r="2299" spans="1:17" x14ac:dyDescent="0.3">
      <c r="A2299" s="22" t="s">
        <v>2555</v>
      </c>
      <c r="B2299" s="22" t="s">
        <v>2491</v>
      </c>
      <c r="C2299" s="22" t="s">
        <v>2498</v>
      </c>
      <c r="D2299" s="22" t="s">
        <v>12</v>
      </c>
      <c r="E2299" s="22" t="s">
        <v>12</v>
      </c>
      <c r="H2299" t="s">
        <v>376</v>
      </c>
      <c r="I2299">
        <v>0.86</v>
      </c>
      <c r="L2299" t="s">
        <v>312</v>
      </c>
      <c r="M2299" t="s">
        <v>385</v>
      </c>
    </row>
    <row r="2300" spans="1:17" x14ac:dyDescent="0.3">
      <c r="A2300" s="22" t="s">
        <v>2555</v>
      </c>
      <c r="B2300" s="22" t="s">
        <v>2491</v>
      </c>
      <c r="C2300" s="22" t="s">
        <v>2498</v>
      </c>
      <c r="D2300" s="22" t="s">
        <v>12</v>
      </c>
      <c r="E2300" s="22" t="s">
        <v>12</v>
      </c>
      <c r="H2300" t="s">
        <v>376</v>
      </c>
      <c r="I2300">
        <v>0.86</v>
      </c>
      <c r="L2300" t="s">
        <v>312</v>
      </c>
      <c r="M2300" t="s">
        <v>385</v>
      </c>
    </row>
    <row r="2301" spans="1:17" x14ac:dyDescent="0.3">
      <c r="A2301" s="22" t="s">
        <v>2555</v>
      </c>
      <c r="B2301" s="22" t="s">
        <v>2491</v>
      </c>
      <c r="C2301" s="22" t="s">
        <v>1692</v>
      </c>
      <c r="D2301" s="22" t="s">
        <v>2499</v>
      </c>
      <c r="E2301" s="22" t="s">
        <v>37</v>
      </c>
    </row>
    <row r="2302" spans="1:17" x14ac:dyDescent="0.3">
      <c r="A2302" s="22" t="s">
        <v>2555</v>
      </c>
      <c r="B2302" s="22" t="s">
        <v>2491</v>
      </c>
      <c r="C2302" s="22" t="s">
        <v>1692</v>
      </c>
      <c r="D2302" s="22" t="s">
        <v>2499</v>
      </c>
      <c r="E2302" s="22" t="s">
        <v>37</v>
      </c>
    </row>
    <row r="2303" spans="1:17" x14ac:dyDescent="0.3">
      <c r="A2303" s="22" t="s">
        <v>2555</v>
      </c>
      <c r="B2303" s="22" t="s">
        <v>2491</v>
      </c>
      <c r="C2303" s="22" t="s">
        <v>16</v>
      </c>
      <c r="D2303" s="22" t="s">
        <v>2499</v>
      </c>
      <c r="E2303" s="22" t="s">
        <v>37</v>
      </c>
      <c r="F2303" t="s">
        <v>2089</v>
      </c>
      <c r="G2303" t="s">
        <v>2500</v>
      </c>
      <c r="J2303" t="s">
        <v>2501</v>
      </c>
      <c r="K2303" t="s">
        <v>2502</v>
      </c>
    </row>
    <row r="2304" spans="1:17" x14ac:dyDescent="0.3">
      <c r="A2304" s="22" t="s">
        <v>2555</v>
      </c>
      <c r="B2304" s="22" t="s">
        <v>2491</v>
      </c>
      <c r="C2304" s="22" t="s">
        <v>16</v>
      </c>
      <c r="D2304" s="22" t="s">
        <v>2499</v>
      </c>
      <c r="E2304" s="22" t="s">
        <v>37</v>
      </c>
      <c r="F2304" t="s">
        <v>2089</v>
      </c>
      <c r="G2304" t="s">
        <v>2500</v>
      </c>
      <c r="J2304" t="s">
        <v>2501</v>
      </c>
      <c r="K2304" t="s">
        <v>2502</v>
      </c>
    </row>
    <row r="2305" spans="1:13" x14ac:dyDescent="0.3">
      <c r="A2305" s="22" t="s">
        <v>2555</v>
      </c>
      <c r="B2305" s="22" t="s">
        <v>2491</v>
      </c>
      <c r="C2305" s="22" t="s">
        <v>11</v>
      </c>
      <c r="D2305" s="22" t="s">
        <v>12</v>
      </c>
      <c r="E2305" s="22" t="s">
        <v>13</v>
      </c>
      <c r="H2305" t="s">
        <v>382</v>
      </c>
      <c r="I2305" t="s">
        <v>2560</v>
      </c>
      <c r="L2305" t="s">
        <v>14</v>
      </c>
      <c r="M2305" t="s">
        <v>2560</v>
      </c>
    </row>
    <row r="2306" spans="1:13" x14ac:dyDescent="0.3">
      <c r="A2306" s="22" t="s">
        <v>2555</v>
      </c>
      <c r="B2306" s="22" t="s">
        <v>2491</v>
      </c>
      <c r="C2306" s="22" t="s">
        <v>11</v>
      </c>
      <c r="D2306" s="22" t="s">
        <v>12</v>
      </c>
      <c r="E2306" s="22" t="s">
        <v>13</v>
      </c>
      <c r="H2306" t="s">
        <v>382</v>
      </c>
      <c r="I2306" t="s">
        <v>2560</v>
      </c>
      <c r="L2306" t="s">
        <v>14</v>
      </c>
      <c r="M2306" t="s">
        <v>2560</v>
      </c>
    </row>
    <row r="2307" spans="1:13" x14ac:dyDescent="0.3">
      <c r="A2307" s="22" t="s">
        <v>2556</v>
      </c>
      <c r="B2307" s="22" t="s">
        <v>478</v>
      </c>
      <c r="C2307" s="22" t="s">
        <v>308</v>
      </c>
      <c r="D2307" s="22" t="s">
        <v>2561</v>
      </c>
      <c r="E2307" s="22" t="s">
        <v>1809</v>
      </c>
      <c r="H2307" t="s">
        <v>25</v>
      </c>
      <c r="I2307" t="s">
        <v>1810</v>
      </c>
      <c r="L2307" t="s">
        <v>312</v>
      </c>
      <c r="M2307" t="s">
        <v>343</v>
      </c>
    </row>
    <row r="2308" spans="1:13" x14ac:dyDescent="0.3">
      <c r="A2308" s="22" t="s">
        <v>2556</v>
      </c>
      <c r="B2308" s="22" t="s">
        <v>478</v>
      </c>
      <c r="C2308" s="22" t="s">
        <v>308</v>
      </c>
      <c r="D2308" s="22" t="s">
        <v>2562</v>
      </c>
      <c r="E2308" s="22" t="s">
        <v>481</v>
      </c>
      <c r="H2308" t="s">
        <v>25</v>
      </c>
      <c r="I2308" t="s">
        <v>1801</v>
      </c>
      <c r="L2308" t="s">
        <v>312</v>
      </c>
      <c r="M2308" t="s">
        <v>343</v>
      </c>
    </row>
    <row r="2309" spans="1:13" x14ac:dyDescent="0.3">
      <c r="A2309" s="22" t="s">
        <v>2556</v>
      </c>
      <c r="B2309" s="22" t="s">
        <v>478</v>
      </c>
      <c r="C2309" s="22" t="s">
        <v>308</v>
      </c>
      <c r="D2309" s="22" t="s">
        <v>2563</v>
      </c>
      <c r="E2309" s="22" t="s">
        <v>2540</v>
      </c>
      <c r="H2309" t="s">
        <v>25</v>
      </c>
      <c r="I2309" t="s">
        <v>2541</v>
      </c>
      <c r="L2309" t="s">
        <v>312</v>
      </c>
      <c r="M2309" t="s">
        <v>343</v>
      </c>
    </row>
    <row r="2310" spans="1:13" x14ac:dyDescent="0.3">
      <c r="A2310" s="22" t="s">
        <v>2556</v>
      </c>
      <c r="B2310" s="22" t="s">
        <v>478</v>
      </c>
      <c r="C2310" s="22" t="s">
        <v>308</v>
      </c>
      <c r="D2310" s="22" t="s">
        <v>2564</v>
      </c>
      <c r="E2310" s="22" t="s">
        <v>2513</v>
      </c>
      <c r="H2310" t="s">
        <v>25</v>
      </c>
      <c r="I2310" t="s">
        <v>2514</v>
      </c>
      <c r="L2310" t="s">
        <v>312</v>
      </c>
      <c r="M2310" t="s">
        <v>343</v>
      </c>
    </row>
    <row r="2311" spans="1:13" x14ac:dyDescent="0.3">
      <c r="A2311" s="22" t="s">
        <v>2556</v>
      </c>
      <c r="B2311" s="22" t="s">
        <v>478</v>
      </c>
      <c r="C2311" s="22" t="s">
        <v>308</v>
      </c>
      <c r="D2311" s="22" t="s">
        <v>2565</v>
      </c>
      <c r="E2311" s="22" t="s">
        <v>527</v>
      </c>
      <c r="H2311" t="s">
        <v>25</v>
      </c>
      <c r="I2311" t="s">
        <v>1954</v>
      </c>
      <c r="L2311" t="s">
        <v>312</v>
      </c>
      <c r="M2311" t="s">
        <v>343</v>
      </c>
    </row>
    <row r="2312" spans="1:13" x14ac:dyDescent="0.3">
      <c r="A2312" s="22" t="s">
        <v>2556</v>
      </c>
      <c r="B2312" s="22" t="s">
        <v>478</v>
      </c>
      <c r="C2312" s="22" t="s">
        <v>308</v>
      </c>
      <c r="D2312" s="22" t="s">
        <v>2566</v>
      </c>
      <c r="E2312" s="22" t="s">
        <v>2517</v>
      </c>
      <c r="H2312" t="s">
        <v>25</v>
      </c>
      <c r="I2312" t="s">
        <v>2118</v>
      </c>
      <c r="L2312" t="s">
        <v>312</v>
      </c>
      <c r="M2312" t="s">
        <v>343</v>
      </c>
    </row>
    <row r="2313" spans="1:13" x14ac:dyDescent="0.3">
      <c r="A2313" s="22" t="s">
        <v>2556</v>
      </c>
      <c r="B2313" s="22" t="s">
        <v>478</v>
      </c>
      <c r="C2313" s="22" t="s">
        <v>308</v>
      </c>
      <c r="D2313" s="22" t="s">
        <v>2567</v>
      </c>
      <c r="E2313" s="22" t="s">
        <v>2517</v>
      </c>
      <c r="H2313" t="s">
        <v>25</v>
      </c>
      <c r="I2313" t="s">
        <v>2121</v>
      </c>
      <c r="L2313" t="s">
        <v>312</v>
      </c>
      <c r="M2313" t="s">
        <v>343</v>
      </c>
    </row>
    <row r="2314" spans="1:13" x14ac:dyDescent="0.3">
      <c r="A2314" s="22" t="s">
        <v>2556</v>
      </c>
      <c r="B2314" s="22" t="s">
        <v>478</v>
      </c>
      <c r="C2314" s="22" t="s">
        <v>308</v>
      </c>
      <c r="D2314" s="22" t="s">
        <v>2568</v>
      </c>
      <c r="E2314" s="22" t="s">
        <v>484</v>
      </c>
      <c r="H2314" t="s">
        <v>25</v>
      </c>
      <c r="I2314" t="s">
        <v>2520</v>
      </c>
      <c r="L2314" t="s">
        <v>312</v>
      </c>
      <c r="M2314" t="s">
        <v>343</v>
      </c>
    </row>
    <row r="2315" spans="1:13" x14ac:dyDescent="0.3">
      <c r="A2315" s="22" t="s">
        <v>2556</v>
      </c>
      <c r="B2315" s="22" t="s">
        <v>478</v>
      </c>
      <c r="C2315" s="22" t="s">
        <v>308</v>
      </c>
      <c r="D2315" s="22" t="s">
        <v>2561</v>
      </c>
      <c r="E2315" s="22" t="s">
        <v>1809</v>
      </c>
      <c r="H2315" t="s">
        <v>25</v>
      </c>
      <c r="I2315" t="s">
        <v>1810</v>
      </c>
      <c r="L2315" t="s">
        <v>312</v>
      </c>
      <c r="M2315" t="s">
        <v>343</v>
      </c>
    </row>
    <row r="2316" spans="1:13" x14ac:dyDescent="0.3">
      <c r="A2316" s="22" t="s">
        <v>2556</v>
      </c>
      <c r="B2316" s="22" t="s">
        <v>478</v>
      </c>
      <c r="C2316" s="22" t="s">
        <v>308</v>
      </c>
      <c r="D2316" s="22" t="s">
        <v>2562</v>
      </c>
      <c r="E2316" s="22" t="s">
        <v>481</v>
      </c>
      <c r="H2316" t="s">
        <v>25</v>
      </c>
      <c r="I2316" t="s">
        <v>1801</v>
      </c>
      <c r="L2316" t="s">
        <v>312</v>
      </c>
      <c r="M2316" t="s">
        <v>343</v>
      </c>
    </row>
    <row r="2317" spans="1:13" x14ac:dyDescent="0.3">
      <c r="A2317" s="22" t="s">
        <v>2556</v>
      </c>
      <c r="B2317" s="22" t="s">
        <v>478</v>
      </c>
      <c r="C2317" s="22" t="s">
        <v>308</v>
      </c>
      <c r="D2317" s="22" t="s">
        <v>2563</v>
      </c>
      <c r="E2317" s="22" t="s">
        <v>2540</v>
      </c>
      <c r="H2317" t="s">
        <v>25</v>
      </c>
      <c r="I2317" t="s">
        <v>2541</v>
      </c>
      <c r="L2317" t="s">
        <v>312</v>
      </c>
      <c r="M2317" t="s">
        <v>343</v>
      </c>
    </row>
    <row r="2318" spans="1:13" x14ac:dyDescent="0.3">
      <c r="A2318" s="22" t="s">
        <v>2556</v>
      </c>
      <c r="B2318" s="22" t="s">
        <v>478</v>
      </c>
      <c r="C2318" s="22" t="s">
        <v>308</v>
      </c>
      <c r="D2318" s="22" t="s">
        <v>2564</v>
      </c>
      <c r="E2318" s="22" t="s">
        <v>2513</v>
      </c>
      <c r="H2318" t="s">
        <v>25</v>
      </c>
      <c r="I2318" t="s">
        <v>2514</v>
      </c>
      <c r="L2318" t="s">
        <v>312</v>
      </c>
      <c r="M2318" t="s">
        <v>343</v>
      </c>
    </row>
    <row r="2319" spans="1:13" x14ac:dyDescent="0.3">
      <c r="A2319" s="22" t="s">
        <v>2556</v>
      </c>
      <c r="B2319" s="22" t="s">
        <v>478</v>
      </c>
      <c r="C2319" s="22" t="s">
        <v>308</v>
      </c>
      <c r="D2319" s="22" t="s">
        <v>2565</v>
      </c>
      <c r="E2319" s="22" t="s">
        <v>527</v>
      </c>
      <c r="H2319" t="s">
        <v>25</v>
      </c>
      <c r="I2319" t="s">
        <v>1954</v>
      </c>
      <c r="L2319" t="s">
        <v>312</v>
      </c>
      <c r="M2319" t="s">
        <v>343</v>
      </c>
    </row>
    <row r="2320" spans="1:13" x14ac:dyDescent="0.3">
      <c r="A2320" s="22" t="s">
        <v>2556</v>
      </c>
      <c r="B2320" s="22" t="s">
        <v>478</v>
      </c>
      <c r="C2320" s="22" t="s">
        <v>308</v>
      </c>
      <c r="D2320" s="22" t="s">
        <v>2566</v>
      </c>
      <c r="E2320" s="22" t="s">
        <v>2517</v>
      </c>
      <c r="H2320" t="s">
        <v>25</v>
      </c>
      <c r="I2320" t="s">
        <v>2118</v>
      </c>
      <c r="L2320" t="s">
        <v>312</v>
      </c>
      <c r="M2320" t="s">
        <v>343</v>
      </c>
    </row>
    <row r="2321" spans="1:13" x14ac:dyDescent="0.3">
      <c r="A2321" s="22" t="s">
        <v>2556</v>
      </c>
      <c r="B2321" s="22" t="s">
        <v>478</v>
      </c>
      <c r="C2321" s="22" t="s">
        <v>308</v>
      </c>
      <c r="D2321" s="22" t="s">
        <v>2567</v>
      </c>
      <c r="E2321" s="22" t="s">
        <v>2517</v>
      </c>
      <c r="H2321" t="s">
        <v>25</v>
      </c>
      <c r="I2321" t="s">
        <v>2121</v>
      </c>
      <c r="L2321" t="s">
        <v>312</v>
      </c>
      <c r="M2321" t="s">
        <v>343</v>
      </c>
    </row>
    <row r="2322" spans="1:13" x14ac:dyDescent="0.3">
      <c r="A2322" s="22" t="s">
        <v>2556</v>
      </c>
      <c r="B2322" s="22" t="s">
        <v>478</v>
      </c>
      <c r="C2322" s="22" t="s">
        <v>308</v>
      </c>
      <c r="D2322" s="22" t="s">
        <v>2568</v>
      </c>
      <c r="E2322" s="22" t="s">
        <v>484</v>
      </c>
      <c r="H2322" t="s">
        <v>25</v>
      </c>
      <c r="I2322" t="s">
        <v>2520</v>
      </c>
      <c r="L2322" t="s">
        <v>312</v>
      </c>
      <c r="M2322" t="s">
        <v>343</v>
      </c>
    </row>
    <row r="2323" spans="1:13" x14ac:dyDescent="0.3">
      <c r="A2323" s="22" t="s">
        <v>2561</v>
      </c>
      <c r="B2323" s="22" t="s">
        <v>1809</v>
      </c>
      <c r="C2323" s="22" t="s">
        <v>11</v>
      </c>
      <c r="D2323" s="22" t="s">
        <v>12</v>
      </c>
      <c r="E2323" s="22" t="s">
        <v>391</v>
      </c>
      <c r="H2323" t="s">
        <v>392</v>
      </c>
      <c r="I2323" t="s">
        <v>2569</v>
      </c>
      <c r="L2323" t="s">
        <v>394</v>
      </c>
      <c r="M2323" t="s">
        <v>2560</v>
      </c>
    </row>
    <row r="2324" spans="1:13" x14ac:dyDescent="0.3">
      <c r="A2324" s="22" t="s">
        <v>2561</v>
      </c>
      <c r="B2324" s="22" t="s">
        <v>1809</v>
      </c>
      <c r="C2324" s="22" t="s">
        <v>11</v>
      </c>
      <c r="D2324" s="22" t="s">
        <v>12</v>
      </c>
      <c r="E2324" s="22" t="s">
        <v>391</v>
      </c>
      <c r="H2324" t="s">
        <v>392</v>
      </c>
      <c r="I2324" t="s">
        <v>2569</v>
      </c>
      <c r="L2324" t="s">
        <v>394</v>
      </c>
      <c r="M2324" t="s">
        <v>2560</v>
      </c>
    </row>
    <row r="2325" spans="1:13" x14ac:dyDescent="0.3">
      <c r="A2325" s="22" t="s">
        <v>2562</v>
      </c>
      <c r="B2325" s="22" t="s">
        <v>481</v>
      </c>
      <c r="C2325" s="22" t="s">
        <v>11</v>
      </c>
      <c r="D2325" s="22" t="s">
        <v>12</v>
      </c>
      <c r="E2325" s="22" t="s">
        <v>391</v>
      </c>
      <c r="H2325" t="s">
        <v>392</v>
      </c>
      <c r="I2325" t="s">
        <v>2570</v>
      </c>
      <c r="L2325" t="s">
        <v>394</v>
      </c>
      <c r="M2325" t="s">
        <v>2560</v>
      </c>
    </row>
    <row r="2326" spans="1:13" x14ac:dyDescent="0.3">
      <c r="A2326" s="22" t="s">
        <v>2562</v>
      </c>
      <c r="B2326" s="22" t="s">
        <v>481</v>
      </c>
      <c r="C2326" s="22" t="s">
        <v>11</v>
      </c>
      <c r="D2326" s="22" t="s">
        <v>12</v>
      </c>
      <c r="E2326" s="22" t="s">
        <v>391</v>
      </c>
      <c r="H2326" t="s">
        <v>392</v>
      </c>
      <c r="I2326" t="s">
        <v>2570</v>
      </c>
      <c r="L2326" t="s">
        <v>394</v>
      </c>
      <c r="M2326" t="s">
        <v>2560</v>
      </c>
    </row>
    <row r="2327" spans="1:13" x14ac:dyDescent="0.3">
      <c r="A2327" s="22" t="s">
        <v>2563</v>
      </c>
      <c r="B2327" s="22" t="s">
        <v>2540</v>
      </c>
      <c r="C2327" s="22" t="s">
        <v>11</v>
      </c>
      <c r="D2327" s="22" t="s">
        <v>12</v>
      </c>
      <c r="E2327" s="22" t="s">
        <v>391</v>
      </c>
      <c r="H2327" t="s">
        <v>392</v>
      </c>
      <c r="I2327" t="s">
        <v>2571</v>
      </c>
      <c r="L2327" t="s">
        <v>394</v>
      </c>
      <c r="M2327" t="s">
        <v>2560</v>
      </c>
    </row>
    <row r="2328" spans="1:13" x14ac:dyDescent="0.3">
      <c r="A2328" s="22" t="s">
        <v>2563</v>
      </c>
      <c r="B2328" s="22" t="s">
        <v>2540</v>
      </c>
      <c r="C2328" s="22" t="s">
        <v>11</v>
      </c>
      <c r="D2328" s="22" t="s">
        <v>12</v>
      </c>
      <c r="E2328" s="22" t="s">
        <v>391</v>
      </c>
      <c r="H2328" t="s">
        <v>392</v>
      </c>
      <c r="I2328" t="s">
        <v>2571</v>
      </c>
      <c r="L2328" t="s">
        <v>394</v>
      </c>
      <c r="M2328" t="s">
        <v>2560</v>
      </c>
    </row>
    <row r="2329" spans="1:13" x14ac:dyDescent="0.3">
      <c r="A2329" s="22" t="s">
        <v>2564</v>
      </c>
      <c r="B2329" s="22" t="s">
        <v>2513</v>
      </c>
      <c r="C2329" s="22" t="s">
        <v>11</v>
      </c>
      <c r="D2329" s="22" t="s">
        <v>12</v>
      </c>
      <c r="E2329" s="22" t="s">
        <v>391</v>
      </c>
      <c r="H2329" t="s">
        <v>392</v>
      </c>
      <c r="I2329" t="s">
        <v>2572</v>
      </c>
      <c r="L2329" t="s">
        <v>394</v>
      </c>
      <c r="M2329" t="s">
        <v>2560</v>
      </c>
    </row>
    <row r="2330" spans="1:13" x14ac:dyDescent="0.3">
      <c r="A2330" s="22" t="s">
        <v>2564</v>
      </c>
      <c r="B2330" s="22" t="s">
        <v>2513</v>
      </c>
      <c r="C2330" s="22" t="s">
        <v>11</v>
      </c>
      <c r="D2330" s="22" t="s">
        <v>12</v>
      </c>
      <c r="E2330" s="22" t="s">
        <v>391</v>
      </c>
      <c r="H2330" t="s">
        <v>392</v>
      </c>
      <c r="I2330" t="s">
        <v>2572</v>
      </c>
      <c r="L2330" t="s">
        <v>394</v>
      </c>
      <c r="M2330" t="s">
        <v>2560</v>
      </c>
    </row>
    <row r="2331" spans="1:13" x14ac:dyDescent="0.3">
      <c r="A2331" s="22" t="s">
        <v>2565</v>
      </c>
      <c r="B2331" s="22" t="s">
        <v>527</v>
      </c>
      <c r="C2331" s="22" t="s">
        <v>11</v>
      </c>
      <c r="D2331" s="22" t="s">
        <v>12</v>
      </c>
      <c r="E2331" s="22" t="s">
        <v>391</v>
      </c>
      <c r="H2331" t="s">
        <v>392</v>
      </c>
      <c r="I2331" t="s">
        <v>2573</v>
      </c>
      <c r="L2331" t="s">
        <v>394</v>
      </c>
      <c r="M2331" t="s">
        <v>2560</v>
      </c>
    </row>
    <row r="2332" spans="1:13" x14ac:dyDescent="0.3">
      <c r="A2332" s="22" t="s">
        <v>2565</v>
      </c>
      <c r="B2332" s="22" t="s">
        <v>527</v>
      </c>
      <c r="C2332" s="22" t="s">
        <v>11</v>
      </c>
      <c r="D2332" s="22" t="s">
        <v>12</v>
      </c>
      <c r="E2332" s="22" t="s">
        <v>391</v>
      </c>
      <c r="H2332" t="s">
        <v>392</v>
      </c>
      <c r="I2332" t="s">
        <v>2573</v>
      </c>
      <c r="L2332" t="s">
        <v>394</v>
      </c>
      <c r="M2332" t="s">
        <v>2560</v>
      </c>
    </row>
    <row r="2333" spans="1:13" x14ac:dyDescent="0.3">
      <c r="A2333" s="22" t="s">
        <v>2566</v>
      </c>
      <c r="B2333" s="22" t="s">
        <v>2517</v>
      </c>
      <c r="C2333" s="22" t="s">
        <v>11</v>
      </c>
      <c r="D2333" s="22" t="s">
        <v>12</v>
      </c>
      <c r="E2333" s="22" t="s">
        <v>391</v>
      </c>
      <c r="H2333" t="s">
        <v>392</v>
      </c>
      <c r="I2333" t="s">
        <v>2574</v>
      </c>
      <c r="L2333" t="s">
        <v>394</v>
      </c>
      <c r="M2333" t="s">
        <v>2560</v>
      </c>
    </row>
    <row r="2334" spans="1:13" x14ac:dyDescent="0.3">
      <c r="A2334" s="22" t="s">
        <v>2566</v>
      </c>
      <c r="B2334" s="22" t="s">
        <v>2517</v>
      </c>
      <c r="C2334" s="22" t="s">
        <v>11</v>
      </c>
      <c r="D2334" s="22" t="s">
        <v>12</v>
      </c>
      <c r="E2334" s="22" t="s">
        <v>391</v>
      </c>
      <c r="H2334" t="s">
        <v>392</v>
      </c>
      <c r="I2334" t="s">
        <v>2574</v>
      </c>
      <c r="L2334" t="s">
        <v>394</v>
      </c>
      <c r="M2334" t="s">
        <v>2560</v>
      </c>
    </row>
    <row r="2335" spans="1:13" x14ac:dyDescent="0.3">
      <c r="A2335" s="22" t="s">
        <v>2567</v>
      </c>
      <c r="B2335" s="22" t="s">
        <v>2517</v>
      </c>
      <c r="C2335" s="22" t="s">
        <v>11</v>
      </c>
      <c r="D2335" s="22" t="s">
        <v>12</v>
      </c>
      <c r="E2335" s="22" t="s">
        <v>391</v>
      </c>
      <c r="H2335" t="s">
        <v>392</v>
      </c>
      <c r="I2335" t="s">
        <v>2575</v>
      </c>
      <c r="L2335" t="s">
        <v>394</v>
      </c>
      <c r="M2335" t="s">
        <v>2560</v>
      </c>
    </row>
    <row r="2336" spans="1:13" x14ac:dyDescent="0.3">
      <c r="A2336" s="22" t="s">
        <v>2567</v>
      </c>
      <c r="B2336" s="22" t="s">
        <v>2517</v>
      </c>
      <c r="C2336" s="22" t="s">
        <v>11</v>
      </c>
      <c r="D2336" s="22" t="s">
        <v>12</v>
      </c>
      <c r="E2336" s="22" t="s">
        <v>391</v>
      </c>
      <c r="H2336" t="s">
        <v>392</v>
      </c>
      <c r="I2336" t="s">
        <v>2575</v>
      </c>
      <c r="L2336" t="s">
        <v>394</v>
      </c>
      <c r="M2336" t="s">
        <v>2560</v>
      </c>
    </row>
    <row r="2337" spans="1:13" x14ac:dyDescent="0.3">
      <c r="A2337" s="22" t="s">
        <v>2568</v>
      </c>
      <c r="B2337" s="22" t="s">
        <v>484</v>
      </c>
      <c r="C2337" s="22" t="s">
        <v>11</v>
      </c>
      <c r="D2337" s="22" t="s">
        <v>12</v>
      </c>
      <c r="E2337" s="22" t="s">
        <v>391</v>
      </c>
      <c r="H2337" t="s">
        <v>392</v>
      </c>
      <c r="I2337" t="s">
        <v>2576</v>
      </c>
      <c r="L2337" t="s">
        <v>394</v>
      </c>
      <c r="M2337" t="s">
        <v>2560</v>
      </c>
    </row>
    <row r="2338" spans="1:13" x14ac:dyDescent="0.3">
      <c r="A2338" s="22" t="s">
        <v>2568</v>
      </c>
      <c r="B2338" s="22" t="s">
        <v>484</v>
      </c>
      <c r="C2338" s="22" t="s">
        <v>11</v>
      </c>
      <c r="D2338" s="22" t="s">
        <v>12</v>
      </c>
      <c r="E2338" s="22" t="s">
        <v>391</v>
      </c>
      <c r="H2338" t="s">
        <v>392</v>
      </c>
      <c r="I2338" t="s">
        <v>2576</v>
      </c>
      <c r="L2338" t="s">
        <v>394</v>
      </c>
      <c r="M2338" t="s">
        <v>2560</v>
      </c>
    </row>
    <row r="2339" spans="1:13" x14ac:dyDescent="0.3">
      <c r="A2339" s="22" t="s">
        <v>2557</v>
      </c>
      <c r="B2339" s="22" t="s">
        <v>2080</v>
      </c>
      <c r="C2339" s="22" t="s">
        <v>11</v>
      </c>
      <c r="D2339" s="22" t="s">
        <v>12</v>
      </c>
      <c r="E2339" s="22" t="s">
        <v>391</v>
      </c>
      <c r="H2339" t="s">
        <v>392</v>
      </c>
      <c r="I2339" t="s">
        <v>2123</v>
      </c>
      <c r="L2339" t="s">
        <v>394</v>
      </c>
      <c r="M2339" t="s">
        <v>2560</v>
      </c>
    </row>
    <row r="2340" spans="1:13" x14ac:dyDescent="0.3">
      <c r="A2340" s="22" t="s">
        <v>2557</v>
      </c>
      <c r="B2340" s="22" t="s">
        <v>2080</v>
      </c>
      <c r="C2340" s="22" t="s">
        <v>11</v>
      </c>
      <c r="D2340" s="22" t="s">
        <v>12</v>
      </c>
      <c r="E2340" s="22" t="s">
        <v>391</v>
      </c>
      <c r="H2340" t="s">
        <v>392</v>
      </c>
      <c r="I2340" t="s">
        <v>2123</v>
      </c>
      <c r="L2340" t="s">
        <v>394</v>
      </c>
      <c r="M2340" t="s">
        <v>2560</v>
      </c>
    </row>
    <row r="2341" spans="1:13" x14ac:dyDescent="0.3">
      <c r="A2341" s="22" t="s">
        <v>2558</v>
      </c>
      <c r="B2341" s="22" t="s">
        <v>2086</v>
      </c>
      <c r="C2341" s="22" t="s">
        <v>11</v>
      </c>
      <c r="D2341" s="22" t="s">
        <v>12</v>
      </c>
      <c r="E2341" s="22" t="s">
        <v>391</v>
      </c>
      <c r="H2341" t="s">
        <v>392</v>
      </c>
      <c r="I2341" t="s">
        <v>2125</v>
      </c>
      <c r="L2341" t="s">
        <v>394</v>
      </c>
      <c r="M2341" t="s">
        <v>2560</v>
      </c>
    </row>
    <row r="2342" spans="1:13" x14ac:dyDescent="0.3">
      <c r="A2342" s="22" t="s">
        <v>2558</v>
      </c>
      <c r="B2342" s="22" t="s">
        <v>2086</v>
      </c>
      <c r="C2342" s="22" t="s">
        <v>11</v>
      </c>
      <c r="D2342" s="22" t="s">
        <v>12</v>
      </c>
      <c r="E2342" s="22" t="s">
        <v>391</v>
      </c>
      <c r="H2342" t="s">
        <v>392</v>
      </c>
      <c r="I2342" t="s">
        <v>2125</v>
      </c>
      <c r="L2342" t="s">
        <v>394</v>
      </c>
      <c r="M2342" t="s">
        <v>2560</v>
      </c>
    </row>
    <row r="2343" spans="1:13" x14ac:dyDescent="0.3">
      <c r="A2343" t="s">
        <v>38</v>
      </c>
      <c r="B2343" t="s">
        <v>39</v>
      </c>
      <c r="C2343" t="s">
        <v>33</v>
      </c>
      <c r="D2343" t="s">
        <v>17</v>
      </c>
      <c r="E2343" t="s">
        <v>18</v>
      </c>
      <c r="F2343" t="s">
        <v>25</v>
      </c>
      <c r="G2343" t="s">
        <v>2577</v>
      </c>
    </row>
    <row r="2344" spans="1:13" x14ac:dyDescent="0.3">
      <c r="A2344" t="s">
        <v>141</v>
      </c>
      <c r="B2344" t="s">
        <v>39</v>
      </c>
      <c r="C2344" t="s">
        <v>33</v>
      </c>
      <c r="D2344" t="s">
        <v>17</v>
      </c>
      <c r="E2344" t="s">
        <v>18</v>
      </c>
      <c r="F2344" t="s">
        <v>25</v>
      </c>
      <c r="G2344" t="s">
        <v>2578</v>
      </c>
    </row>
    <row r="2345" spans="1:13" x14ac:dyDescent="0.3">
      <c r="A2345" t="s">
        <v>170</v>
      </c>
      <c r="B2345" t="s">
        <v>39</v>
      </c>
      <c r="C2345" t="s">
        <v>33</v>
      </c>
      <c r="D2345" t="s">
        <v>17</v>
      </c>
      <c r="E2345" t="s">
        <v>18</v>
      </c>
      <c r="F2345" t="s">
        <v>25</v>
      </c>
      <c r="G2345" t="s">
        <v>2579</v>
      </c>
    </row>
    <row r="2346" spans="1:13" x14ac:dyDescent="0.3">
      <c r="A2346" t="s">
        <v>1049</v>
      </c>
      <c r="B2346" t="s">
        <v>1050</v>
      </c>
      <c r="C2346" t="s">
        <v>33</v>
      </c>
      <c r="D2346" t="s">
        <v>17</v>
      </c>
      <c r="E2346" t="s">
        <v>18</v>
      </c>
      <c r="F2346" t="s">
        <v>25</v>
      </c>
      <c r="G2346" t="s">
        <v>2580</v>
      </c>
    </row>
    <row r="2347" spans="1:13" x14ac:dyDescent="0.3">
      <c r="A2347" t="s">
        <v>2581</v>
      </c>
      <c r="B2347" t="s">
        <v>2582</v>
      </c>
      <c r="C2347" t="s">
        <v>308</v>
      </c>
      <c r="D2347" t="s">
        <v>2583</v>
      </c>
      <c r="E2347" t="s">
        <v>2584</v>
      </c>
      <c r="H2347" t="s">
        <v>25</v>
      </c>
      <c r="I2347" t="s">
        <v>2585</v>
      </c>
      <c r="L2347" t="s">
        <v>312</v>
      </c>
      <c r="M2347" t="s">
        <v>541</v>
      </c>
    </row>
    <row r="2348" spans="1:13" x14ac:dyDescent="0.3">
      <c r="A2348" t="s">
        <v>2581</v>
      </c>
      <c r="B2348" t="s">
        <v>2582</v>
      </c>
      <c r="C2348" t="s">
        <v>308</v>
      </c>
      <c r="D2348" t="s">
        <v>2586</v>
      </c>
      <c r="E2348" t="s">
        <v>2587</v>
      </c>
      <c r="H2348" t="s">
        <v>25</v>
      </c>
      <c r="I2348" t="s">
        <v>2588</v>
      </c>
      <c r="L2348" t="s">
        <v>312</v>
      </c>
      <c r="M2348" t="s">
        <v>2589</v>
      </c>
    </row>
    <row r="2349" spans="1:13" x14ac:dyDescent="0.3">
      <c r="A2349" t="s">
        <v>2581</v>
      </c>
      <c r="B2349" t="s">
        <v>2582</v>
      </c>
      <c r="C2349" t="s">
        <v>308</v>
      </c>
      <c r="D2349" t="s">
        <v>2590</v>
      </c>
      <c r="E2349" t="s">
        <v>2591</v>
      </c>
      <c r="H2349" t="s">
        <v>25</v>
      </c>
      <c r="I2349" t="s">
        <v>2592</v>
      </c>
      <c r="L2349" t="s">
        <v>312</v>
      </c>
      <c r="M2349" t="s">
        <v>353</v>
      </c>
    </row>
    <row r="2350" spans="1:13" x14ac:dyDescent="0.3">
      <c r="A2350" t="s">
        <v>2581</v>
      </c>
      <c r="B2350" t="s">
        <v>2582</v>
      </c>
      <c r="C2350" t="s">
        <v>308</v>
      </c>
      <c r="D2350" t="s">
        <v>2593</v>
      </c>
      <c r="E2350" t="s">
        <v>2594</v>
      </c>
      <c r="H2350" t="s">
        <v>25</v>
      </c>
      <c r="I2350" t="s">
        <v>2595</v>
      </c>
      <c r="L2350" t="s">
        <v>312</v>
      </c>
      <c r="M2350" t="s">
        <v>538</v>
      </c>
    </row>
    <row r="2351" spans="1:13" x14ac:dyDescent="0.3">
      <c r="A2351" t="s">
        <v>2581</v>
      </c>
      <c r="B2351" t="s">
        <v>2582</v>
      </c>
      <c r="C2351" t="s">
        <v>308</v>
      </c>
      <c r="D2351" t="s">
        <v>2596</v>
      </c>
      <c r="E2351" t="s">
        <v>2597</v>
      </c>
      <c r="H2351" t="s">
        <v>25</v>
      </c>
      <c r="I2351" t="s">
        <v>2598</v>
      </c>
      <c r="L2351" t="s">
        <v>312</v>
      </c>
      <c r="M2351" t="s">
        <v>2599</v>
      </c>
    </row>
    <row r="2352" spans="1:13" x14ac:dyDescent="0.3">
      <c r="A2352" t="s">
        <v>2581</v>
      </c>
      <c r="B2352" t="s">
        <v>2582</v>
      </c>
      <c r="C2352" t="s">
        <v>308</v>
      </c>
      <c r="D2352" t="s">
        <v>2600</v>
      </c>
      <c r="E2352" t="s">
        <v>2601</v>
      </c>
      <c r="H2352" t="s">
        <v>25</v>
      </c>
      <c r="I2352" t="s">
        <v>2602</v>
      </c>
      <c r="L2352" t="s">
        <v>312</v>
      </c>
      <c r="M2352" t="s">
        <v>385</v>
      </c>
    </row>
    <row r="2353" spans="1:13" x14ac:dyDescent="0.3">
      <c r="A2353" t="s">
        <v>2581</v>
      </c>
      <c r="B2353" t="s">
        <v>2582</v>
      </c>
      <c r="C2353" t="s">
        <v>308</v>
      </c>
      <c r="D2353" t="s">
        <v>2603</v>
      </c>
      <c r="E2353" t="s">
        <v>2604</v>
      </c>
      <c r="H2353" t="s">
        <v>25</v>
      </c>
      <c r="I2353" t="s">
        <v>2605</v>
      </c>
      <c r="L2353" t="s">
        <v>312</v>
      </c>
      <c r="M2353" t="s">
        <v>2108</v>
      </c>
    </row>
    <row r="2354" spans="1:13" x14ac:dyDescent="0.3">
      <c r="A2354" t="s">
        <v>2581</v>
      </c>
      <c r="B2354" t="s">
        <v>2582</v>
      </c>
      <c r="C2354" t="s">
        <v>308</v>
      </c>
      <c r="D2354" t="s">
        <v>2606</v>
      </c>
      <c r="E2354" t="s">
        <v>1167</v>
      </c>
      <c r="H2354" t="s">
        <v>25</v>
      </c>
      <c r="I2354" t="s">
        <v>2607</v>
      </c>
      <c r="L2354" t="s">
        <v>312</v>
      </c>
      <c r="M2354" t="s">
        <v>343</v>
      </c>
    </row>
    <row r="2355" spans="1:13" x14ac:dyDescent="0.3">
      <c r="A2355" t="s">
        <v>2581</v>
      </c>
      <c r="B2355" t="s">
        <v>2582</v>
      </c>
      <c r="C2355" t="s">
        <v>308</v>
      </c>
      <c r="D2355" t="s">
        <v>2608</v>
      </c>
      <c r="E2355" t="s">
        <v>2060</v>
      </c>
      <c r="H2355" t="s">
        <v>25</v>
      </c>
      <c r="I2355" t="s">
        <v>2609</v>
      </c>
      <c r="L2355" t="s">
        <v>312</v>
      </c>
      <c r="M2355" t="s">
        <v>1687</v>
      </c>
    </row>
    <row r="2356" spans="1:13" x14ac:dyDescent="0.3">
      <c r="A2356" t="s">
        <v>2581</v>
      </c>
      <c r="B2356" t="s">
        <v>2582</v>
      </c>
      <c r="C2356" t="s">
        <v>308</v>
      </c>
      <c r="D2356" t="s">
        <v>2610</v>
      </c>
      <c r="E2356" t="s">
        <v>2611</v>
      </c>
      <c r="H2356" t="s">
        <v>25</v>
      </c>
      <c r="I2356" t="s">
        <v>2612</v>
      </c>
      <c r="L2356" t="s">
        <v>312</v>
      </c>
      <c r="M2356" t="s">
        <v>541</v>
      </c>
    </row>
    <row r="2357" spans="1:13" x14ac:dyDescent="0.3">
      <c r="A2357" t="s">
        <v>2581</v>
      </c>
      <c r="B2357" t="s">
        <v>2582</v>
      </c>
      <c r="C2357" t="s">
        <v>22</v>
      </c>
      <c r="D2357" t="s">
        <v>27</v>
      </c>
      <c r="E2357" t="s">
        <v>28</v>
      </c>
      <c r="F2357" t="s">
        <v>25</v>
      </c>
      <c r="G2357" t="s">
        <v>2613</v>
      </c>
    </row>
    <row r="2358" spans="1:13" x14ac:dyDescent="0.3">
      <c r="A2358" t="s">
        <v>2581</v>
      </c>
      <c r="B2358" t="s">
        <v>2582</v>
      </c>
      <c r="C2358" t="s">
        <v>537</v>
      </c>
      <c r="D2358" t="s">
        <v>12</v>
      </c>
      <c r="E2358" t="s">
        <v>12</v>
      </c>
      <c r="H2358" t="s">
        <v>376</v>
      </c>
      <c r="L2358" t="s">
        <v>312</v>
      </c>
      <c r="M2358" t="s">
        <v>538</v>
      </c>
    </row>
    <row r="2359" spans="1:13" x14ac:dyDescent="0.3">
      <c r="A2359" t="s">
        <v>2581</v>
      </c>
      <c r="B2359" t="s">
        <v>2582</v>
      </c>
      <c r="C2359" t="s">
        <v>539</v>
      </c>
      <c r="D2359" t="s">
        <v>12</v>
      </c>
      <c r="E2359" t="s">
        <v>12</v>
      </c>
      <c r="H2359" t="s">
        <v>376</v>
      </c>
      <c r="L2359" t="s">
        <v>312</v>
      </c>
      <c r="M2359" t="s">
        <v>2599</v>
      </c>
    </row>
    <row r="2360" spans="1:13" x14ac:dyDescent="0.3">
      <c r="A2360" t="s">
        <v>2581</v>
      </c>
      <c r="B2360" t="s">
        <v>2582</v>
      </c>
      <c r="C2360" t="s">
        <v>540</v>
      </c>
      <c r="D2360" t="s">
        <v>12</v>
      </c>
      <c r="E2360" t="s">
        <v>12</v>
      </c>
      <c r="H2360" t="s">
        <v>376</v>
      </c>
      <c r="L2360" t="s">
        <v>312</v>
      </c>
      <c r="M2360" t="s">
        <v>541</v>
      </c>
    </row>
    <row r="2361" spans="1:13" x14ac:dyDescent="0.3">
      <c r="A2361" t="s">
        <v>2581</v>
      </c>
      <c r="B2361" t="s">
        <v>2582</v>
      </c>
      <c r="C2361" t="s">
        <v>11</v>
      </c>
      <c r="D2361" t="s">
        <v>12</v>
      </c>
      <c r="E2361" t="s">
        <v>13</v>
      </c>
      <c r="H2361" t="s">
        <v>382</v>
      </c>
      <c r="I2361" t="s">
        <v>2613</v>
      </c>
      <c r="L2361" t="s">
        <v>14</v>
      </c>
      <c r="M2361" t="s">
        <v>2613</v>
      </c>
    </row>
    <row r="2362" spans="1:13" x14ac:dyDescent="0.3">
      <c r="A2362" t="s">
        <v>2600</v>
      </c>
      <c r="B2362" t="s">
        <v>2601</v>
      </c>
      <c r="C2362" t="s">
        <v>11</v>
      </c>
      <c r="D2362" t="s">
        <v>12</v>
      </c>
      <c r="E2362" t="s">
        <v>391</v>
      </c>
      <c r="H2362" t="s">
        <v>392</v>
      </c>
      <c r="I2362" t="s">
        <v>2614</v>
      </c>
      <c r="L2362" t="s">
        <v>394</v>
      </c>
      <c r="M2362" t="s">
        <v>2613</v>
      </c>
    </row>
    <row r="2363" spans="1:13" x14ac:dyDescent="0.3">
      <c r="A2363" t="s">
        <v>2596</v>
      </c>
      <c r="B2363" t="s">
        <v>2597</v>
      </c>
      <c r="C2363" t="s">
        <v>11</v>
      </c>
      <c r="D2363" t="s">
        <v>12</v>
      </c>
      <c r="E2363" t="s">
        <v>391</v>
      </c>
      <c r="H2363" t="s">
        <v>392</v>
      </c>
      <c r="I2363" t="s">
        <v>2615</v>
      </c>
      <c r="L2363" t="s">
        <v>394</v>
      </c>
      <c r="M2363" t="s">
        <v>2613</v>
      </c>
    </row>
    <row r="2364" spans="1:13" x14ac:dyDescent="0.3">
      <c r="A2364" t="s">
        <v>2583</v>
      </c>
      <c r="B2364" t="s">
        <v>2584</v>
      </c>
      <c r="C2364" t="s">
        <v>11</v>
      </c>
      <c r="D2364" t="s">
        <v>12</v>
      </c>
      <c r="E2364" t="s">
        <v>391</v>
      </c>
      <c r="H2364" t="s">
        <v>392</v>
      </c>
      <c r="I2364" t="s">
        <v>2616</v>
      </c>
      <c r="L2364" t="s">
        <v>394</v>
      </c>
      <c r="M2364" t="s">
        <v>2613</v>
      </c>
    </row>
    <row r="2365" spans="1:13" x14ac:dyDescent="0.3">
      <c r="A2365" t="s">
        <v>2586</v>
      </c>
      <c r="B2365" t="s">
        <v>2587</v>
      </c>
      <c r="C2365" t="s">
        <v>11</v>
      </c>
      <c r="D2365" t="s">
        <v>12</v>
      </c>
      <c r="E2365" t="s">
        <v>391</v>
      </c>
      <c r="H2365" t="s">
        <v>392</v>
      </c>
      <c r="I2365" t="s">
        <v>2617</v>
      </c>
      <c r="L2365" t="s">
        <v>394</v>
      </c>
      <c r="M2365" t="s">
        <v>2613</v>
      </c>
    </row>
    <row r="2366" spans="1:13" x14ac:dyDescent="0.3">
      <c r="A2366" t="s">
        <v>2603</v>
      </c>
      <c r="B2366" t="s">
        <v>2604</v>
      </c>
      <c r="C2366" t="s">
        <v>11</v>
      </c>
      <c r="D2366" t="s">
        <v>12</v>
      </c>
      <c r="E2366" t="s">
        <v>391</v>
      </c>
      <c r="H2366" t="s">
        <v>392</v>
      </c>
      <c r="I2366" t="s">
        <v>2618</v>
      </c>
      <c r="L2366" t="s">
        <v>394</v>
      </c>
      <c r="M2366" t="s">
        <v>2613</v>
      </c>
    </row>
    <row r="2367" spans="1:13" x14ac:dyDescent="0.3">
      <c r="A2367" t="s">
        <v>2590</v>
      </c>
      <c r="B2367" t="s">
        <v>2591</v>
      </c>
      <c r="C2367" t="s">
        <v>11</v>
      </c>
      <c r="D2367" t="s">
        <v>12</v>
      </c>
      <c r="E2367" t="s">
        <v>391</v>
      </c>
      <c r="H2367" t="s">
        <v>392</v>
      </c>
      <c r="I2367" t="s">
        <v>2619</v>
      </c>
      <c r="L2367" t="s">
        <v>394</v>
      </c>
      <c r="M2367" t="s">
        <v>2613</v>
      </c>
    </row>
    <row r="2368" spans="1:13" x14ac:dyDescent="0.3">
      <c r="A2368" t="s">
        <v>2593</v>
      </c>
      <c r="B2368" t="s">
        <v>2594</v>
      </c>
      <c r="C2368" t="s">
        <v>11</v>
      </c>
      <c r="D2368" t="s">
        <v>12</v>
      </c>
      <c r="E2368" t="s">
        <v>391</v>
      </c>
      <c r="H2368" t="s">
        <v>392</v>
      </c>
      <c r="I2368" t="s">
        <v>2620</v>
      </c>
      <c r="L2368" t="s">
        <v>394</v>
      </c>
      <c r="M2368" t="s">
        <v>2613</v>
      </c>
    </row>
    <row r="2369" spans="1:17" x14ac:dyDescent="0.3">
      <c r="A2369" t="s">
        <v>2606</v>
      </c>
      <c r="B2369" t="s">
        <v>1167</v>
      </c>
      <c r="C2369" t="s">
        <v>11</v>
      </c>
      <c r="D2369" t="s">
        <v>12</v>
      </c>
      <c r="E2369" t="s">
        <v>391</v>
      </c>
      <c r="H2369" t="s">
        <v>392</v>
      </c>
      <c r="I2369" t="s">
        <v>2621</v>
      </c>
      <c r="L2369" t="s">
        <v>394</v>
      </c>
      <c r="M2369" t="s">
        <v>2613</v>
      </c>
    </row>
    <row r="2370" spans="1:17" x14ac:dyDescent="0.3">
      <c r="A2370" t="s">
        <v>2608</v>
      </c>
      <c r="B2370" t="s">
        <v>2060</v>
      </c>
      <c r="C2370" t="s">
        <v>11</v>
      </c>
      <c r="D2370" t="s">
        <v>12</v>
      </c>
      <c r="E2370" t="s">
        <v>391</v>
      </c>
      <c r="H2370" t="s">
        <v>392</v>
      </c>
      <c r="I2370" t="s">
        <v>2622</v>
      </c>
      <c r="L2370" t="s">
        <v>394</v>
      </c>
      <c r="M2370" t="s">
        <v>2613</v>
      </c>
    </row>
    <row r="2371" spans="1:17" x14ac:dyDescent="0.3">
      <c r="A2371" t="s">
        <v>2610</v>
      </c>
      <c r="B2371" t="s">
        <v>2611</v>
      </c>
      <c r="C2371" t="s">
        <v>11</v>
      </c>
      <c r="D2371" t="s">
        <v>12</v>
      </c>
      <c r="E2371" t="s">
        <v>391</v>
      </c>
      <c r="H2371" t="s">
        <v>392</v>
      </c>
      <c r="I2371" t="s">
        <v>2623</v>
      </c>
      <c r="L2371" t="s">
        <v>394</v>
      </c>
      <c r="M2371" t="s">
        <v>2613</v>
      </c>
    </row>
    <row r="2372" spans="1:17" x14ac:dyDescent="0.3">
      <c r="A2372" t="s">
        <v>2624</v>
      </c>
      <c r="B2372" t="s">
        <v>37</v>
      </c>
      <c r="C2372" t="s">
        <v>33</v>
      </c>
      <c r="D2372" t="s">
        <v>38</v>
      </c>
      <c r="E2372" t="s">
        <v>39</v>
      </c>
      <c r="F2372" t="s">
        <v>25</v>
      </c>
      <c r="G2372" t="s">
        <v>2625</v>
      </c>
    </row>
    <row r="2373" spans="1:17" x14ac:dyDescent="0.3">
      <c r="A2373" t="s">
        <v>2626</v>
      </c>
      <c r="B2373" t="s">
        <v>2491</v>
      </c>
      <c r="C2373" t="s">
        <v>280</v>
      </c>
      <c r="D2373" t="s">
        <v>2627</v>
      </c>
      <c r="E2373" t="s">
        <v>478</v>
      </c>
      <c r="H2373" t="s">
        <v>25</v>
      </c>
      <c r="I2373" t="s">
        <v>2493</v>
      </c>
    </row>
    <row r="2374" spans="1:17" x14ac:dyDescent="0.3">
      <c r="A2374" t="s">
        <v>2626</v>
      </c>
      <c r="B2374" t="s">
        <v>2491</v>
      </c>
      <c r="C2374" t="s">
        <v>308</v>
      </c>
      <c r="D2374" t="s">
        <v>2628</v>
      </c>
      <c r="E2374" t="s">
        <v>2080</v>
      </c>
      <c r="H2374" t="s">
        <v>25</v>
      </c>
      <c r="I2374" t="s">
        <v>2081</v>
      </c>
      <c r="L2374" t="s">
        <v>312</v>
      </c>
      <c r="M2374" t="s">
        <v>2082</v>
      </c>
      <c r="P2374" t="s">
        <v>2083</v>
      </c>
      <c r="Q2374" t="s">
        <v>2084</v>
      </c>
    </row>
    <row r="2375" spans="1:17" x14ac:dyDescent="0.3">
      <c r="A2375" t="s">
        <v>2626</v>
      </c>
      <c r="B2375" t="s">
        <v>2491</v>
      </c>
      <c r="C2375" t="s">
        <v>308</v>
      </c>
      <c r="D2375" t="s">
        <v>2629</v>
      </c>
      <c r="E2375" t="s">
        <v>2086</v>
      </c>
      <c r="H2375" t="s">
        <v>25</v>
      </c>
      <c r="I2375" t="s">
        <v>2087</v>
      </c>
      <c r="L2375" t="s">
        <v>312</v>
      </c>
      <c r="M2375" t="s">
        <v>2082</v>
      </c>
      <c r="P2375" t="s">
        <v>2083</v>
      </c>
      <c r="Q2375" t="s">
        <v>2084</v>
      </c>
    </row>
    <row r="2376" spans="1:17" x14ac:dyDescent="0.3">
      <c r="A2376" t="s">
        <v>2626</v>
      </c>
      <c r="B2376" t="s">
        <v>2491</v>
      </c>
      <c r="C2376" t="s">
        <v>22</v>
      </c>
      <c r="D2376" t="s">
        <v>23</v>
      </c>
      <c r="E2376" t="s">
        <v>24</v>
      </c>
      <c r="F2376" t="s">
        <v>25</v>
      </c>
      <c r="G2376" t="s">
        <v>2630</v>
      </c>
      <c r="J2376" t="s">
        <v>19</v>
      </c>
      <c r="K2376" t="s">
        <v>2497</v>
      </c>
    </row>
    <row r="2377" spans="1:17" x14ac:dyDescent="0.3">
      <c r="A2377" t="s">
        <v>2626</v>
      </c>
      <c r="B2377" t="s">
        <v>2491</v>
      </c>
      <c r="C2377" t="s">
        <v>2498</v>
      </c>
      <c r="D2377" t="s">
        <v>12</v>
      </c>
      <c r="E2377" t="s">
        <v>12</v>
      </c>
      <c r="H2377" t="s">
        <v>376</v>
      </c>
      <c r="I2377">
        <v>0.86</v>
      </c>
      <c r="L2377" t="s">
        <v>312</v>
      </c>
      <c r="M2377" t="s">
        <v>385</v>
      </c>
    </row>
    <row r="2378" spans="1:17" x14ac:dyDescent="0.3">
      <c r="A2378" t="s">
        <v>2626</v>
      </c>
      <c r="B2378" t="s">
        <v>2491</v>
      </c>
      <c r="C2378" t="s">
        <v>1692</v>
      </c>
      <c r="D2378" t="s">
        <v>2499</v>
      </c>
      <c r="E2378" t="s">
        <v>37</v>
      </c>
    </row>
    <row r="2379" spans="1:17" x14ac:dyDescent="0.3">
      <c r="A2379" t="s">
        <v>2626</v>
      </c>
      <c r="B2379" t="s">
        <v>2491</v>
      </c>
      <c r="C2379" t="s">
        <v>16</v>
      </c>
      <c r="D2379" t="s">
        <v>2499</v>
      </c>
      <c r="E2379" t="s">
        <v>37</v>
      </c>
      <c r="F2379" t="s">
        <v>2089</v>
      </c>
      <c r="G2379" t="s">
        <v>2500</v>
      </c>
      <c r="J2379" t="s">
        <v>2501</v>
      </c>
      <c r="K2379" t="s">
        <v>2502</v>
      </c>
    </row>
    <row r="2380" spans="1:17" x14ac:dyDescent="0.3">
      <c r="A2380" t="s">
        <v>2626</v>
      </c>
      <c r="B2380" t="s">
        <v>2491</v>
      </c>
      <c r="C2380" t="s">
        <v>11</v>
      </c>
      <c r="D2380" t="s">
        <v>12</v>
      </c>
      <c r="E2380" t="s">
        <v>13</v>
      </c>
      <c r="H2380" t="s">
        <v>382</v>
      </c>
      <c r="I2380" t="s">
        <v>2631</v>
      </c>
      <c r="L2380" t="s">
        <v>14</v>
      </c>
      <c r="M2380" t="s">
        <v>2631</v>
      </c>
    </row>
    <row r="2381" spans="1:17" x14ac:dyDescent="0.3">
      <c r="A2381" t="s">
        <v>2627</v>
      </c>
      <c r="B2381" t="s">
        <v>478</v>
      </c>
      <c r="C2381" t="s">
        <v>308</v>
      </c>
      <c r="D2381" t="s">
        <v>2632</v>
      </c>
      <c r="E2381" t="s">
        <v>1809</v>
      </c>
      <c r="H2381" t="s">
        <v>25</v>
      </c>
      <c r="I2381" t="s">
        <v>1810</v>
      </c>
      <c r="L2381" t="s">
        <v>312</v>
      </c>
      <c r="M2381" t="s">
        <v>343</v>
      </c>
    </row>
    <row r="2382" spans="1:17" x14ac:dyDescent="0.3">
      <c r="A2382" t="s">
        <v>2627</v>
      </c>
      <c r="B2382" t="s">
        <v>478</v>
      </c>
      <c r="C2382" t="s">
        <v>308</v>
      </c>
      <c r="D2382" t="s">
        <v>2633</v>
      </c>
      <c r="E2382" t="s">
        <v>481</v>
      </c>
      <c r="H2382" t="s">
        <v>25</v>
      </c>
      <c r="I2382" t="s">
        <v>1801</v>
      </c>
      <c r="L2382" t="s">
        <v>312</v>
      </c>
      <c r="M2382" t="s">
        <v>343</v>
      </c>
    </row>
    <row r="2383" spans="1:17" x14ac:dyDescent="0.3">
      <c r="A2383" t="s">
        <v>2627</v>
      </c>
      <c r="B2383" t="s">
        <v>478</v>
      </c>
      <c r="C2383" t="s">
        <v>308</v>
      </c>
      <c r="D2383" t="s">
        <v>2634</v>
      </c>
      <c r="E2383" t="s">
        <v>2540</v>
      </c>
      <c r="H2383" t="s">
        <v>25</v>
      </c>
      <c r="I2383" t="s">
        <v>2541</v>
      </c>
      <c r="L2383" t="s">
        <v>312</v>
      </c>
      <c r="M2383" t="s">
        <v>343</v>
      </c>
    </row>
    <row r="2384" spans="1:17" x14ac:dyDescent="0.3">
      <c r="A2384" t="s">
        <v>2627</v>
      </c>
      <c r="B2384" t="s">
        <v>478</v>
      </c>
      <c r="C2384" t="s">
        <v>308</v>
      </c>
      <c r="D2384" t="s">
        <v>2635</v>
      </c>
      <c r="E2384" t="s">
        <v>2510</v>
      </c>
      <c r="H2384" t="s">
        <v>25</v>
      </c>
      <c r="I2384" t="s">
        <v>2636</v>
      </c>
      <c r="L2384" t="s">
        <v>312</v>
      </c>
      <c r="M2384" t="s">
        <v>343</v>
      </c>
    </row>
    <row r="2385" spans="1:13" x14ac:dyDescent="0.3">
      <c r="A2385" t="s">
        <v>2627</v>
      </c>
      <c r="B2385" t="s">
        <v>478</v>
      </c>
      <c r="C2385" t="s">
        <v>308</v>
      </c>
      <c r="D2385" t="s">
        <v>2637</v>
      </c>
      <c r="E2385" t="s">
        <v>2513</v>
      </c>
      <c r="H2385" t="s">
        <v>25</v>
      </c>
      <c r="I2385" t="s">
        <v>2514</v>
      </c>
      <c r="L2385" t="s">
        <v>312</v>
      </c>
      <c r="M2385" t="s">
        <v>343</v>
      </c>
    </row>
    <row r="2386" spans="1:13" x14ac:dyDescent="0.3">
      <c r="A2386" t="s">
        <v>2627</v>
      </c>
      <c r="B2386" t="s">
        <v>478</v>
      </c>
      <c r="C2386" t="s">
        <v>308</v>
      </c>
      <c r="D2386" t="s">
        <v>2638</v>
      </c>
      <c r="E2386" t="s">
        <v>550</v>
      </c>
      <c r="H2386" t="s">
        <v>25</v>
      </c>
      <c r="I2386" t="s">
        <v>1954</v>
      </c>
      <c r="L2386" t="s">
        <v>312</v>
      </c>
      <c r="M2386" t="s">
        <v>343</v>
      </c>
    </row>
    <row r="2387" spans="1:13" x14ac:dyDescent="0.3">
      <c r="A2387" t="s">
        <v>2627</v>
      </c>
      <c r="B2387" t="s">
        <v>478</v>
      </c>
      <c r="C2387" t="s">
        <v>308</v>
      </c>
      <c r="D2387" t="s">
        <v>2639</v>
      </c>
      <c r="E2387" t="s">
        <v>2517</v>
      </c>
      <c r="H2387" t="s">
        <v>25</v>
      </c>
      <c r="I2387" t="s">
        <v>2118</v>
      </c>
      <c r="L2387" t="s">
        <v>312</v>
      </c>
      <c r="M2387" t="s">
        <v>343</v>
      </c>
    </row>
    <row r="2388" spans="1:13" x14ac:dyDescent="0.3">
      <c r="A2388" t="s">
        <v>2627</v>
      </c>
      <c r="B2388" t="s">
        <v>478</v>
      </c>
      <c r="C2388" t="s">
        <v>308</v>
      </c>
      <c r="D2388" t="s">
        <v>2640</v>
      </c>
      <c r="E2388" t="s">
        <v>2517</v>
      </c>
      <c r="H2388" t="s">
        <v>25</v>
      </c>
      <c r="I2388" t="s">
        <v>2121</v>
      </c>
      <c r="L2388" t="s">
        <v>312</v>
      </c>
      <c r="M2388" t="s">
        <v>343</v>
      </c>
    </row>
    <row r="2389" spans="1:13" x14ac:dyDescent="0.3">
      <c r="A2389" t="s">
        <v>2627</v>
      </c>
      <c r="B2389" t="s">
        <v>478</v>
      </c>
      <c r="C2389" t="s">
        <v>308</v>
      </c>
      <c r="D2389" t="s">
        <v>2641</v>
      </c>
      <c r="E2389" t="s">
        <v>484</v>
      </c>
      <c r="H2389" t="s">
        <v>25</v>
      </c>
      <c r="I2389" t="s">
        <v>2520</v>
      </c>
      <c r="L2389" t="s">
        <v>312</v>
      </c>
      <c r="M2389" t="s">
        <v>343</v>
      </c>
    </row>
    <row r="2390" spans="1:13" x14ac:dyDescent="0.3">
      <c r="A2390" t="s">
        <v>2627</v>
      </c>
      <c r="B2390" t="s">
        <v>478</v>
      </c>
      <c r="C2390" t="s">
        <v>308</v>
      </c>
      <c r="D2390" t="s">
        <v>2642</v>
      </c>
      <c r="E2390" t="s">
        <v>2643</v>
      </c>
      <c r="H2390" t="s">
        <v>25</v>
      </c>
      <c r="I2390" t="s">
        <v>1952</v>
      </c>
      <c r="L2390" t="s">
        <v>312</v>
      </c>
      <c r="M2390" t="s">
        <v>343</v>
      </c>
    </row>
    <row r="2391" spans="1:13" x14ac:dyDescent="0.3">
      <c r="A2391" t="s">
        <v>2632</v>
      </c>
      <c r="B2391" t="s">
        <v>1809</v>
      </c>
      <c r="C2391" t="s">
        <v>11</v>
      </c>
      <c r="D2391" t="s">
        <v>12</v>
      </c>
      <c r="E2391" t="s">
        <v>391</v>
      </c>
      <c r="H2391" t="s">
        <v>392</v>
      </c>
      <c r="I2391" t="s">
        <v>2644</v>
      </c>
      <c r="L2391" t="s">
        <v>394</v>
      </c>
      <c r="M2391" t="s">
        <v>2631</v>
      </c>
    </row>
    <row r="2392" spans="1:13" x14ac:dyDescent="0.3">
      <c r="A2392" t="s">
        <v>2633</v>
      </c>
      <c r="B2392" t="s">
        <v>481</v>
      </c>
      <c r="C2392" t="s">
        <v>11</v>
      </c>
      <c r="D2392" t="s">
        <v>12</v>
      </c>
      <c r="E2392" t="s">
        <v>391</v>
      </c>
      <c r="H2392" t="s">
        <v>392</v>
      </c>
      <c r="I2392" t="s">
        <v>2645</v>
      </c>
      <c r="L2392" t="s">
        <v>394</v>
      </c>
      <c r="M2392" t="s">
        <v>2631</v>
      </c>
    </row>
    <row r="2393" spans="1:13" x14ac:dyDescent="0.3">
      <c r="A2393" t="s">
        <v>2634</v>
      </c>
      <c r="B2393" t="s">
        <v>2540</v>
      </c>
      <c r="C2393" t="s">
        <v>11</v>
      </c>
      <c r="D2393" t="s">
        <v>12</v>
      </c>
      <c r="E2393" t="s">
        <v>391</v>
      </c>
      <c r="H2393" t="s">
        <v>392</v>
      </c>
      <c r="I2393" t="s">
        <v>2646</v>
      </c>
      <c r="L2393" t="s">
        <v>394</v>
      </c>
      <c r="M2393" t="s">
        <v>2631</v>
      </c>
    </row>
    <row r="2394" spans="1:13" x14ac:dyDescent="0.3">
      <c r="A2394" t="s">
        <v>2637</v>
      </c>
      <c r="B2394" t="s">
        <v>2513</v>
      </c>
      <c r="C2394" t="s">
        <v>11</v>
      </c>
      <c r="D2394" t="s">
        <v>12</v>
      </c>
      <c r="E2394" t="s">
        <v>391</v>
      </c>
      <c r="H2394" t="s">
        <v>392</v>
      </c>
      <c r="I2394" t="s">
        <v>2647</v>
      </c>
      <c r="L2394" t="s">
        <v>394</v>
      </c>
      <c r="M2394" t="s">
        <v>2631</v>
      </c>
    </row>
    <row r="2395" spans="1:13" x14ac:dyDescent="0.3">
      <c r="A2395" t="s">
        <v>2635</v>
      </c>
      <c r="B2395" t="s">
        <v>2510</v>
      </c>
      <c r="C2395" t="s">
        <v>11</v>
      </c>
      <c r="D2395" t="s">
        <v>12</v>
      </c>
      <c r="E2395" t="s">
        <v>391</v>
      </c>
      <c r="H2395" t="s">
        <v>392</v>
      </c>
      <c r="I2395" t="s">
        <v>2648</v>
      </c>
      <c r="L2395" t="s">
        <v>394</v>
      </c>
      <c r="M2395" t="s">
        <v>2631</v>
      </c>
    </row>
    <row r="2396" spans="1:13" x14ac:dyDescent="0.3">
      <c r="A2396" t="s">
        <v>2642</v>
      </c>
      <c r="B2396" t="s">
        <v>2643</v>
      </c>
      <c r="C2396" t="s">
        <v>11</v>
      </c>
      <c r="D2396" t="s">
        <v>12</v>
      </c>
      <c r="E2396" t="s">
        <v>391</v>
      </c>
      <c r="H2396" t="s">
        <v>392</v>
      </c>
      <c r="I2396" t="s">
        <v>2649</v>
      </c>
      <c r="L2396" t="s">
        <v>394</v>
      </c>
      <c r="M2396" t="s">
        <v>2631</v>
      </c>
    </row>
    <row r="2397" spans="1:13" x14ac:dyDescent="0.3">
      <c r="A2397" t="s">
        <v>2638</v>
      </c>
      <c r="B2397" t="s">
        <v>550</v>
      </c>
      <c r="C2397" t="s">
        <v>11</v>
      </c>
      <c r="D2397" t="s">
        <v>12</v>
      </c>
      <c r="E2397" t="s">
        <v>391</v>
      </c>
      <c r="H2397" t="s">
        <v>392</v>
      </c>
      <c r="I2397" t="s">
        <v>2650</v>
      </c>
      <c r="L2397" t="s">
        <v>394</v>
      </c>
      <c r="M2397" t="s">
        <v>2631</v>
      </c>
    </row>
    <row r="2398" spans="1:13" x14ac:dyDescent="0.3">
      <c r="A2398" t="s">
        <v>2639</v>
      </c>
      <c r="B2398" t="s">
        <v>2517</v>
      </c>
      <c r="C2398" t="s">
        <v>11</v>
      </c>
      <c r="D2398" t="s">
        <v>12</v>
      </c>
      <c r="E2398" t="s">
        <v>391</v>
      </c>
      <c r="H2398" t="s">
        <v>392</v>
      </c>
      <c r="I2398" t="s">
        <v>2651</v>
      </c>
      <c r="L2398" t="s">
        <v>394</v>
      </c>
      <c r="M2398" t="s">
        <v>2631</v>
      </c>
    </row>
    <row r="2399" spans="1:13" x14ac:dyDescent="0.3">
      <c r="A2399" t="s">
        <v>2640</v>
      </c>
      <c r="B2399" t="s">
        <v>2517</v>
      </c>
      <c r="C2399" t="s">
        <v>11</v>
      </c>
      <c r="D2399" t="s">
        <v>12</v>
      </c>
      <c r="E2399" t="s">
        <v>391</v>
      </c>
      <c r="H2399" t="s">
        <v>392</v>
      </c>
      <c r="I2399" t="s">
        <v>2652</v>
      </c>
      <c r="L2399" t="s">
        <v>394</v>
      </c>
      <c r="M2399" t="s">
        <v>2631</v>
      </c>
    </row>
    <row r="2400" spans="1:13" x14ac:dyDescent="0.3">
      <c r="A2400" t="s">
        <v>2641</v>
      </c>
      <c r="B2400" t="s">
        <v>484</v>
      </c>
      <c r="C2400" t="s">
        <v>11</v>
      </c>
      <c r="D2400" t="s">
        <v>12</v>
      </c>
      <c r="E2400" t="s">
        <v>391</v>
      </c>
      <c r="H2400" t="s">
        <v>392</v>
      </c>
      <c r="I2400" t="s">
        <v>2653</v>
      </c>
      <c r="L2400" t="s">
        <v>394</v>
      </c>
      <c r="M2400" t="s">
        <v>2631</v>
      </c>
    </row>
    <row r="2401" spans="1:17" x14ac:dyDescent="0.3">
      <c r="A2401" t="s">
        <v>2628</v>
      </c>
      <c r="B2401" t="s">
        <v>2080</v>
      </c>
      <c r="C2401" t="s">
        <v>11</v>
      </c>
      <c r="D2401" t="s">
        <v>12</v>
      </c>
      <c r="E2401" t="s">
        <v>391</v>
      </c>
      <c r="H2401" t="s">
        <v>392</v>
      </c>
      <c r="I2401" t="s">
        <v>2123</v>
      </c>
      <c r="L2401" t="s">
        <v>394</v>
      </c>
      <c r="M2401" t="s">
        <v>2631</v>
      </c>
    </row>
    <row r="2402" spans="1:17" x14ac:dyDescent="0.3">
      <c r="A2402" t="s">
        <v>2629</v>
      </c>
      <c r="B2402" t="s">
        <v>2086</v>
      </c>
      <c r="C2402" t="s">
        <v>11</v>
      </c>
      <c r="D2402" t="s">
        <v>12</v>
      </c>
      <c r="E2402" t="s">
        <v>391</v>
      </c>
      <c r="H2402" t="s">
        <v>392</v>
      </c>
      <c r="I2402" t="s">
        <v>2125</v>
      </c>
      <c r="L2402" t="s">
        <v>394</v>
      </c>
      <c r="M2402" t="s">
        <v>2631</v>
      </c>
    </row>
    <row r="2403" spans="1:17" x14ac:dyDescent="0.3">
      <c r="A2403" t="s">
        <v>2654</v>
      </c>
      <c r="B2403" t="s">
        <v>2491</v>
      </c>
      <c r="C2403" t="s">
        <v>280</v>
      </c>
      <c r="D2403" t="s">
        <v>2655</v>
      </c>
      <c r="E2403" t="s">
        <v>478</v>
      </c>
      <c r="H2403" t="s">
        <v>25</v>
      </c>
      <c r="I2403" t="s">
        <v>2493</v>
      </c>
    </row>
    <row r="2404" spans="1:17" x14ac:dyDescent="0.3">
      <c r="A2404" t="s">
        <v>2654</v>
      </c>
      <c r="B2404" t="s">
        <v>2491</v>
      </c>
      <c r="C2404" t="s">
        <v>308</v>
      </c>
      <c r="D2404" t="s">
        <v>2656</v>
      </c>
      <c r="E2404" t="s">
        <v>2080</v>
      </c>
      <c r="H2404" t="s">
        <v>25</v>
      </c>
      <c r="I2404" t="s">
        <v>2081</v>
      </c>
      <c r="L2404" t="s">
        <v>312</v>
      </c>
      <c r="M2404" t="s">
        <v>2082</v>
      </c>
      <c r="P2404" t="s">
        <v>2083</v>
      </c>
      <c r="Q2404" t="s">
        <v>2084</v>
      </c>
    </row>
    <row r="2405" spans="1:17" x14ac:dyDescent="0.3">
      <c r="A2405" t="s">
        <v>2654</v>
      </c>
      <c r="B2405" t="s">
        <v>2491</v>
      </c>
      <c r="C2405" t="s">
        <v>308</v>
      </c>
      <c r="D2405" t="s">
        <v>2657</v>
      </c>
      <c r="E2405" t="s">
        <v>2086</v>
      </c>
      <c r="H2405" t="s">
        <v>25</v>
      </c>
      <c r="I2405" t="s">
        <v>2087</v>
      </c>
      <c r="L2405" t="s">
        <v>312</v>
      </c>
      <c r="M2405" t="s">
        <v>2082</v>
      </c>
      <c r="P2405" t="s">
        <v>2083</v>
      </c>
      <c r="Q2405" t="s">
        <v>2084</v>
      </c>
    </row>
    <row r="2406" spans="1:17" x14ac:dyDescent="0.3">
      <c r="A2406" t="s">
        <v>2654</v>
      </c>
      <c r="B2406" t="s">
        <v>2491</v>
      </c>
      <c r="C2406" t="s">
        <v>22</v>
      </c>
      <c r="D2406" t="s">
        <v>23</v>
      </c>
      <c r="E2406" t="s">
        <v>24</v>
      </c>
      <c r="F2406" t="s">
        <v>25</v>
      </c>
      <c r="G2406" t="s">
        <v>2658</v>
      </c>
      <c r="J2406" t="s">
        <v>19</v>
      </c>
      <c r="K2406" t="s">
        <v>2497</v>
      </c>
    </row>
    <row r="2407" spans="1:17" x14ac:dyDescent="0.3">
      <c r="A2407" t="s">
        <v>2654</v>
      </c>
      <c r="B2407" t="s">
        <v>2491</v>
      </c>
      <c r="C2407" t="s">
        <v>2498</v>
      </c>
      <c r="D2407" t="s">
        <v>12</v>
      </c>
      <c r="E2407" t="s">
        <v>12</v>
      </c>
      <c r="H2407" t="s">
        <v>376</v>
      </c>
      <c r="I2407">
        <v>0.86</v>
      </c>
      <c r="L2407" t="s">
        <v>312</v>
      </c>
      <c r="M2407" t="s">
        <v>385</v>
      </c>
    </row>
    <row r="2408" spans="1:17" x14ac:dyDescent="0.3">
      <c r="A2408" t="s">
        <v>2654</v>
      </c>
      <c r="B2408" t="s">
        <v>2491</v>
      </c>
      <c r="C2408" t="s">
        <v>1692</v>
      </c>
      <c r="D2408" t="s">
        <v>2499</v>
      </c>
      <c r="E2408" t="s">
        <v>37</v>
      </c>
    </row>
    <row r="2409" spans="1:17" x14ac:dyDescent="0.3">
      <c r="A2409" t="s">
        <v>2654</v>
      </c>
      <c r="B2409" t="s">
        <v>2491</v>
      </c>
      <c r="C2409" t="s">
        <v>16</v>
      </c>
      <c r="D2409" t="s">
        <v>2499</v>
      </c>
      <c r="E2409" t="s">
        <v>37</v>
      </c>
      <c r="F2409" t="s">
        <v>2089</v>
      </c>
      <c r="G2409" t="s">
        <v>2500</v>
      </c>
      <c r="J2409" t="s">
        <v>2501</v>
      </c>
      <c r="K2409" t="s">
        <v>2502</v>
      </c>
    </row>
    <row r="2410" spans="1:17" x14ac:dyDescent="0.3">
      <c r="A2410" t="s">
        <v>2654</v>
      </c>
      <c r="B2410" t="s">
        <v>2491</v>
      </c>
      <c r="C2410" t="s">
        <v>11</v>
      </c>
      <c r="D2410" t="s">
        <v>12</v>
      </c>
      <c r="E2410" t="s">
        <v>13</v>
      </c>
      <c r="H2410" t="s">
        <v>382</v>
      </c>
      <c r="I2410" t="s">
        <v>2659</v>
      </c>
      <c r="L2410" t="s">
        <v>14</v>
      </c>
      <c r="M2410" t="s">
        <v>2659</v>
      </c>
    </row>
    <row r="2411" spans="1:17" x14ac:dyDescent="0.3">
      <c r="A2411" t="s">
        <v>2655</v>
      </c>
      <c r="B2411" t="s">
        <v>478</v>
      </c>
      <c r="C2411" t="s">
        <v>308</v>
      </c>
      <c r="D2411" t="s">
        <v>2660</v>
      </c>
      <c r="E2411" t="s">
        <v>1809</v>
      </c>
      <c r="H2411" t="s">
        <v>25</v>
      </c>
      <c r="I2411" t="s">
        <v>1810</v>
      </c>
      <c r="L2411" t="s">
        <v>312</v>
      </c>
      <c r="M2411" t="s">
        <v>343</v>
      </c>
    </row>
    <row r="2412" spans="1:17" x14ac:dyDescent="0.3">
      <c r="A2412" t="s">
        <v>2655</v>
      </c>
      <c r="B2412" t="s">
        <v>478</v>
      </c>
      <c r="C2412" t="s">
        <v>308</v>
      </c>
      <c r="D2412" t="s">
        <v>2661</v>
      </c>
      <c r="E2412" t="s">
        <v>481</v>
      </c>
      <c r="H2412" t="s">
        <v>25</v>
      </c>
      <c r="I2412" t="s">
        <v>1801</v>
      </c>
      <c r="L2412" t="s">
        <v>312</v>
      </c>
      <c r="M2412" t="s">
        <v>343</v>
      </c>
    </row>
    <row r="2413" spans="1:17" x14ac:dyDescent="0.3">
      <c r="A2413" t="s">
        <v>2655</v>
      </c>
      <c r="B2413" t="s">
        <v>478</v>
      </c>
      <c r="C2413" t="s">
        <v>308</v>
      </c>
      <c r="D2413" t="s">
        <v>2662</v>
      </c>
      <c r="E2413" t="s">
        <v>2540</v>
      </c>
      <c r="H2413" t="s">
        <v>25</v>
      </c>
      <c r="I2413" t="s">
        <v>2541</v>
      </c>
      <c r="L2413" t="s">
        <v>312</v>
      </c>
      <c r="M2413" t="s">
        <v>343</v>
      </c>
    </row>
    <row r="2414" spans="1:17" x14ac:dyDescent="0.3">
      <c r="A2414" t="s">
        <v>2655</v>
      </c>
      <c r="B2414" t="s">
        <v>478</v>
      </c>
      <c r="C2414" t="s">
        <v>308</v>
      </c>
      <c r="D2414" t="s">
        <v>2663</v>
      </c>
      <c r="E2414" t="s">
        <v>2510</v>
      </c>
      <c r="H2414" t="s">
        <v>25</v>
      </c>
      <c r="I2414" t="s">
        <v>2636</v>
      </c>
      <c r="L2414" t="s">
        <v>312</v>
      </c>
      <c r="M2414" t="s">
        <v>343</v>
      </c>
    </row>
    <row r="2415" spans="1:17" x14ac:dyDescent="0.3">
      <c r="A2415" t="s">
        <v>2655</v>
      </c>
      <c r="B2415" t="s">
        <v>478</v>
      </c>
      <c r="C2415" t="s">
        <v>308</v>
      </c>
      <c r="D2415" t="s">
        <v>2664</v>
      </c>
      <c r="E2415" t="s">
        <v>2513</v>
      </c>
      <c r="H2415" t="s">
        <v>25</v>
      </c>
      <c r="I2415" t="s">
        <v>2514</v>
      </c>
      <c r="L2415" t="s">
        <v>312</v>
      </c>
      <c r="M2415" t="s">
        <v>343</v>
      </c>
    </row>
    <row r="2416" spans="1:17" x14ac:dyDescent="0.3">
      <c r="A2416" t="s">
        <v>2655</v>
      </c>
      <c r="B2416" t="s">
        <v>478</v>
      </c>
      <c r="C2416" t="s">
        <v>308</v>
      </c>
      <c r="D2416" t="s">
        <v>2665</v>
      </c>
      <c r="E2416" t="s">
        <v>550</v>
      </c>
      <c r="H2416" t="s">
        <v>25</v>
      </c>
      <c r="I2416" t="s">
        <v>1954</v>
      </c>
      <c r="L2416" t="s">
        <v>312</v>
      </c>
      <c r="M2416" t="s">
        <v>343</v>
      </c>
    </row>
    <row r="2417" spans="1:13" x14ac:dyDescent="0.3">
      <c r="A2417" t="s">
        <v>2655</v>
      </c>
      <c r="B2417" t="s">
        <v>478</v>
      </c>
      <c r="C2417" t="s">
        <v>308</v>
      </c>
      <c r="D2417" t="s">
        <v>2666</v>
      </c>
      <c r="E2417" t="s">
        <v>2517</v>
      </c>
      <c r="H2417" t="s">
        <v>25</v>
      </c>
      <c r="I2417" t="s">
        <v>2118</v>
      </c>
      <c r="L2417" t="s">
        <v>312</v>
      </c>
      <c r="M2417" t="s">
        <v>343</v>
      </c>
    </row>
    <row r="2418" spans="1:13" x14ac:dyDescent="0.3">
      <c r="A2418" t="s">
        <v>2655</v>
      </c>
      <c r="B2418" t="s">
        <v>478</v>
      </c>
      <c r="C2418" t="s">
        <v>308</v>
      </c>
      <c r="D2418" t="s">
        <v>2667</v>
      </c>
      <c r="E2418" t="s">
        <v>2517</v>
      </c>
      <c r="H2418" t="s">
        <v>25</v>
      </c>
      <c r="I2418" t="s">
        <v>2121</v>
      </c>
      <c r="L2418" t="s">
        <v>312</v>
      </c>
      <c r="M2418" t="s">
        <v>343</v>
      </c>
    </row>
    <row r="2419" spans="1:13" x14ac:dyDescent="0.3">
      <c r="A2419" t="s">
        <v>2655</v>
      </c>
      <c r="B2419" t="s">
        <v>478</v>
      </c>
      <c r="C2419" t="s">
        <v>308</v>
      </c>
      <c r="D2419" t="s">
        <v>2668</v>
      </c>
      <c r="E2419" t="s">
        <v>484</v>
      </c>
      <c r="H2419" t="s">
        <v>25</v>
      </c>
      <c r="I2419" t="s">
        <v>2520</v>
      </c>
      <c r="L2419" t="s">
        <v>312</v>
      </c>
      <c r="M2419" t="s">
        <v>343</v>
      </c>
    </row>
    <row r="2420" spans="1:13" x14ac:dyDescent="0.3">
      <c r="A2420" t="s">
        <v>2655</v>
      </c>
      <c r="B2420" t="s">
        <v>478</v>
      </c>
      <c r="C2420" t="s">
        <v>308</v>
      </c>
      <c r="D2420" t="s">
        <v>2669</v>
      </c>
      <c r="E2420" t="s">
        <v>2643</v>
      </c>
      <c r="H2420" t="s">
        <v>25</v>
      </c>
      <c r="I2420" t="s">
        <v>1952</v>
      </c>
      <c r="L2420" t="s">
        <v>312</v>
      </c>
      <c r="M2420" t="s">
        <v>343</v>
      </c>
    </row>
    <row r="2421" spans="1:13" x14ac:dyDescent="0.3">
      <c r="A2421" t="s">
        <v>2660</v>
      </c>
      <c r="B2421" t="s">
        <v>1809</v>
      </c>
      <c r="C2421" t="s">
        <v>11</v>
      </c>
      <c r="D2421" t="s">
        <v>12</v>
      </c>
      <c r="E2421" t="s">
        <v>391</v>
      </c>
      <c r="H2421" t="s">
        <v>392</v>
      </c>
      <c r="I2421" t="s">
        <v>2670</v>
      </c>
      <c r="L2421" t="s">
        <v>394</v>
      </c>
      <c r="M2421" t="s">
        <v>2659</v>
      </c>
    </row>
    <row r="2422" spans="1:13" x14ac:dyDescent="0.3">
      <c r="A2422" t="s">
        <v>2661</v>
      </c>
      <c r="B2422" t="s">
        <v>481</v>
      </c>
      <c r="C2422" t="s">
        <v>11</v>
      </c>
      <c r="D2422" t="s">
        <v>12</v>
      </c>
      <c r="E2422" t="s">
        <v>391</v>
      </c>
      <c r="H2422" t="s">
        <v>392</v>
      </c>
      <c r="I2422" t="s">
        <v>2671</v>
      </c>
      <c r="L2422" t="s">
        <v>394</v>
      </c>
      <c r="M2422" t="s">
        <v>2659</v>
      </c>
    </row>
    <row r="2423" spans="1:13" x14ac:dyDescent="0.3">
      <c r="A2423" t="s">
        <v>2662</v>
      </c>
      <c r="B2423" t="s">
        <v>2540</v>
      </c>
      <c r="C2423" t="s">
        <v>11</v>
      </c>
      <c r="D2423" t="s">
        <v>12</v>
      </c>
      <c r="E2423" t="s">
        <v>391</v>
      </c>
      <c r="H2423" t="s">
        <v>392</v>
      </c>
      <c r="I2423" t="s">
        <v>2672</v>
      </c>
      <c r="L2423" t="s">
        <v>394</v>
      </c>
      <c r="M2423" t="s">
        <v>2659</v>
      </c>
    </row>
    <row r="2424" spans="1:13" x14ac:dyDescent="0.3">
      <c r="A2424" t="s">
        <v>2664</v>
      </c>
      <c r="B2424" t="s">
        <v>2513</v>
      </c>
      <c r="C2424" t="s">
        <v>11</v>
      </c>
      <c r="D2424" t="s">
        <v>12</v>
      </c>
      <c r="E2424" t="s">
        <v>391</v>
      </c>
      <c r="H2424" t="s">
        <v>392</v>
      </c>
      <c r="I2424" t="s">
        <v>2673</v>
      </c>
      <c r="L2424" t="s">
        <v>394</v>
      </c>
      <c r="M2424" t="s">
        <v>2659</v>
      </c>
    </row>
    <row r="2425" spans="1:13" x14ac:dyDescent="0.3">
      <c r="A2425" t="s">
        <v>2663</v>
      </c>
      <c r="B2425" t="s">
        <v>2510</v>
      </c>
      <c r="C2425" t="s">
        <v>11</v>
      </c>
      <c r="D2425" t="s">
        <v>12</v>
      </c>
      <c r="E2425" t="s">
        <v>391</v>
      </c>
      <c r="H2425" t="s">
        <v>392</v>
      </c>
      <c r="I2425" t="s">
        <v>2674</v>
      </c>
      <c r="L2425" t="s">
        <v>394</v>
      </c>
      <c r="M2425" t="s">
        <v>2659</v>
      </c>
    </row>
    <row r="2426" spans="1:13" x14ac:dyDescent="0.3">
      <c r="A2426" t="s">
        <v>2669</v>
      </c>
      <c r="B2426" t="s">
        <v>2643</v>
      </c>
      <c r="C2426" t="s">
        <v>11</v>
      </c>
      <c r="D2426" t="s">
        <v>12</v>
      </c>
      <c r="E2426" t="s">
        <v>391</v>
      </c>
      <c r="H2426" t="s">
        <v>392</v>
      </c>
      <c r="I2426" t="s">
        <v>2675</v>
      </c>
      <c r="L2426" t="s">
        <v>394</v>
      </c>
      <c r="M2426" t="s">
        <v>2659</v>
      </c>
    </row>
    <row r="2427" spans="1:13" x14ac:dyDescent="0.3">
      <c r="A2427" t="s">
        <v>2665</v>
      </c>
      <c r="B2427" t="s">
        <v>550</v>
      </c>
      <c r="C2427" t="s">
        <v>11</v>
      </c>
      <c r="D2427" t="s">
        <v>12</v>
      </c>
      <c r="E2427" t="s">
        <v>391</v>
      </c>
      <c r="H2427" t="s">
        <v>392</v>
      </c>
      <c r="I2427" t="s">
        <v>2676</v>
      </c>
      <c r="L2427" t="s">
        <v>394</v>
      </c>
      <c r="M2427" t="s">
        <v>2659</v>
      </c>
    </row>
    <row r="2428" spans="1:13" x14ac:dyDescent="0.3">
      <c r="A2428" t="s">
        <v>2666</v>
      </c>
      <c r="B2428" t="s">
        <v>2517</v>
      </c>
      <c r="C2428" t="s">
        <v>11</v>
      </c>
      <c r="D2428" t="s">
        <v>12</v>
      </c>
      <c r="E2428" t="s">
        <v>391</v>
      </c>
      <c r="H2428" t="s">
        <v>392</v>
      </c>
      <c r="I2428" t="s">
        <v>2677</v>
      </c>
      <c r="L2428" t="s">
        <v>394</v>
      </c>
      <c r="M2428" t="s">
        <v>2659</v>
      </c>
    </row>
    <row r="2429" spans="1:13" x14ac:dyDescent="0.3">
      <c r="A2429" t="s">
        <v>2667</v>
      </c>
      <c r="B2429" t="s">
        <v>2517</v>
      </c>
      <c r="C2429" t="s">
        <v>11</v>
      </c>
      <c r="D2429" t="s">
        <v>12</v>
      </c>
      <c r="E2429" t="s">
        <v>391</v>
      </c>
      <c r="H2429" t="s">
        <v>392</v>
      </c>
      <c r="I2429" t="s">
        <v>2678</v>
      </c>
      <c r="L2429" t="s">
        <v>394</v>
      </c>
      <c r="M2429" t="s">
        <v>2659</v>
      </c>
    </row>
    <row r="2430" spans="1:13" x14ac:dyDescent="0.3">
      <c r="A2430" t="s">
        <v>2668</v>
      </c>
      <c r="B2430" t="s">
        <v>484</v>
      </c>
      <c r="C2430" t="s">
        <v>11</v>
      </c>
      <c r="D2430" t="s">
        <v>12</v>
      </c>
      <c r="E2430" t="s">
        <v>391</v>
      </c>
      <c r="H2430" t="s">
        <v>392</v>
      </c>
      <c r="I2430" t="s">
        <v>2679</v>
      </c>
      <c r="L2430" t="s">
        <v>394</v>
      </c>
      <c r="M2430" t="s">
        <v>2659</v>
      </c>
    </row>
    <row r="2431" spans="1:13" x14ac:dyDescent="0.3">
      <c r="A2431" t="s">
        <v>2656</v>
      </c>
      <c r="B2431" t="s">
        <v>2080</v>
      </c>
      <c r="C2431" t="s">
        <v>11</v>
      </c>
      <c r="D2431" t="s">
        <v>12</v>
      </c>
      <c r="E2431" t="s">
        <v>391</v>
      </c>
      <c r="H2431" t="s">
        <v>392</v>
      </c>
      <c r="I2431" t="s">
        <v>2123</v>
      </c>
      <c r="L2431" t="s">
        <v>394</v>
      </c>
      <c r="M2431" t="s">
        <v>2659</v>
      </c>
    </row>
    <row r="2432" spans="1:13" x14ac:dyDescent="0.3">
      <c r="A2432" t="s">
        <v>2657</v>
      </c>
      <c r="B2432" t="s">
        <v>2086</v>
      </c>
      <c r="C2432" t="s">
        <v>11</v>
      </c>
      <c r="D2432" t="s">
        <v>12</v>
      </c>
      <c r="E2432" t="s">
        <v>391</v>
      </c>
      <c r="H2432" t="s">
        <v>392</v>
      </c>
      <c r="I2432" t="s">
        <v>2125</v>
      </c>
      <c r="L2432" t="s">
        <v>394</v>
      </c>
      <c r="M2432" t="s">
        <v>2659</v>
      </c>
    </row>
    <row r="2433" spans="1:17" x14ac:dyDescent="0.3">
      <c r="A2433" t="s">
        <v>2680</v>
      </c>
      <c r="B2433" t="s">
        <v>2491</v>
      </c>
      <c r="C2433" t="s">
        <v>280</v>
      </c>
      <c r="D2433" t="s">
        <v>2681</v>
      </c>
      <c r="E2433" t="s">
        <v>478</v>
      </c>
      <c r="H2433" t="s">
        <v>25</v>
      </c>
      <c r="I2433" t="s">
        <v>2493</v>
      </c>
    </row>
    <row r="2434" spans="1:17" x14ac:dyDescent="0.3">
      <c r="A2434" t="s">
        <v>2680</v>
      </c>
      <c r="B2434" t="s">
        <v>2491</v>
      </c>
      <c r="C2434" t="s">
        <v>308</v>
      </c>
      <c r="D2434" t="s">
        <v>2682</v>
      </c>
      <c r="E2434" t="s">
        <v>2080</v>
      </c>
      <c r="H2434" t="s">
        <v>25</v>
      </c>
      <c r="I2434" t="s">
        <v>2081</v>
      </c>
      <c r="L2434" t="s">
        <v>312</v>
      </c>
      <c r="M2434" t="s">
        <v>2082</v>
      </c>
      <c r="P2434" t="s">
        <v>2083</v>
      </c>
      <c r="Q2434" t="s">
        <v>2084</v>
      </c>
    </row>
    <row r="2435" spans="1:17" x14ac:dyDescent="0.3">
      <c r="A2435" t="s">
        <v>2680</v>
      </c>
      <c r="B2435" t="s">
        <v>2491</v>
      </c>
      <c r="C2435" t="s">
        <v>308</v>
      </c>
      <c r="D2435" t="s">
        <v>2683</v>
      </c>
      <c r="E2435" t="s">
        <v>2086</v>
      </c>
      <c r="H2435" t="s">
        <v>25</v>
      </c>
      <c r="I2435" t="s">
        <v>2087</v>
      </c>
      <c r="L2435" t="s">
        <v>312</v>
      </c>
      <c r="M2435" t="s">
        <v>2082</v>
      </c>
      <c r="P2435" t="s">
        <v>2083</v>
      </c>
      <c r="Q2435" t="s">
        <v>2084</v>
      </c>
    </row>
    <row r="2436" spans="1:17" x14ac:dyDescent="0.3">
      <c r="A2436" t="s">
        <v>2680</v>
      </c>
      <c r="B2436" t="s">
        <v>2491</v>
      </c>
      <c r="C2436" t="s">
        <v>22</v>
      </c>
      <c r="D2436" t="s">
        <v>23</v>
      </c>
      <c r="E2436" t="s">
        <v>24</v>
      </c>
      <c r="F2436" t="s">
        <v>25</v>
      </c>
      <c r="G2436" t="s">
        <v>2684</v>
      </c>
      <c r="J2436" t="s">
        <v>19</v>
      </c>
      <c r="K2436" t="s">
        <v>2497</v>
      </c>
    </row>
    <row r="2437" spans="1:17" x14ac:dyDescent="0.3">
      <c r="A2437" t="s">
        <v>2680</v>
      </c>
      <c r="B2437" t="s">
        <v>2491</v>
      </c>
      <c r="C2437" t="s">
        <v>2498</v>
      </c>
      <c r="D2437" t="s">
        <v>12</v>
      </c>
      <c r="E2437" t="s">
        <v>12</v>
      </c>
      <c r="H2437" t="s">
        <v>376</v>
      </c>
      <c r="I2437">
        <v>0.86</v>
      </c>
      <c r="L2437" t="s">
        <v>312</v>
      </c>
      <c r="M2437" t="s">
        <v>385</v>
      </c>
    </row>
    <row r="2438" spans="1:17" x14ac:dyDescent="0.3">
      <c r="A2438" t="s">
        <v>2680</v>
      </c>
      <c r="B2438" t="s">
        <v>2491</v>
      </c>
      <c r="C2438" t="s">
        <v>1692</v>
      </c>
      <c r="D2438" t="s">
        <v>2499</v>
      </c>
      <c r="E2438" t="s">
        <v>37</v>
      </c>
    </row>
    <row r="2439" spans="1:17" x14ac:dyDescent="0.3">
      <c r="A2439" t="s">
        <v>2680</v>
      </c>
      <c r="B2439" t="s">
        <v>2491</v>
      </c>
      <c r="C2439" t="s">
        <v>16</v>
      </c>
      <c r="D2439" t="s">
        <v>2499</v>
      </c>
      <c r="E2439" t="s">
        <v>37</v>
      </c>
      <c r="F2439" t="s">
        <v>2089</v>
      </c>
      <c r="G2439" t="s">
        <v>2500</v>
      </c>
      <c r="J2439" t="s">
        <v>2501</v>
      </c>
      <c r="K2439" t="s">
        <v>2502</v>
      </c>
    </row>
    <row r="2440" spans="1:17" x14ac:dyDescent="0.3">
      <c r="A2440" t="s">
        <v>2680</v>
      </c>
      <c r="B2440" t="s">
        <v>2491</v>
      </c>
      <c r="C2440" t="s">
        <v>11</v>
      </c>
      <c r="D2440" t="s">
        <v>12</v>
      </c>
      <c r="E2440" t="s">
        <v>13</v>
      </c>
      <c r="H2440" t="s">
        <v>382</v>
      </c>
      <c r="I2440" t="s">
        <v>2685</v>
      </c>
      <c r="L2440" t="s">
        <v>14</v>
      </c>
      <c r="M2440" t="s">
        <v>2685</v>
      </c>
    </row>
    <row r="2441" spans="1:17" x14ac:dyDescent="0.3">
      <c r="A2441" t="s">
        <v>2681</v>
      </c>
      <c r="B2441" t="s">
        <v>478</v>
      </c>
      <c r="C2441" t="s">
        <v>308</v>
      </c>
      <c r="D2441" t="s">
        <v>2686</v>
      </c>
      <c r="E2441" t="s">
        <v>1809</v>
      </c>
      <c r="H2441" t="s">
        <v>25</v>
      </c>
      <c r="I2441" t="s">
        <v>1810</v>
      </c>
      <c r="L2441" t="s">
        <v>312</v>
      </c>
      <c r="M2441" t="s">
        <v>343</v>
      </c>
    </row>
    <row r="2442" spans="1:17" x14ac:dyDescent="0.3">
      <c r="A2442" t="s">
        <v>2681</v>
      </c>
      <c r="B2442" t="s">
        <v>478</v>
      </c>
      <c r="C2442" t="s">
        <v>308</v>
      </c>
      <c r="D2442" t="s">
        <v>2687</v>
      </c>
      <c r="E2442" t="s">
        <v>481</v>
      </c>
      <c r="H2442" t="s">
        <v>25</v>
      </c>
      <c r="I2442" t="s">
        <v>1801</v>
      </c>
      <c r="L2442" t="s">
        <v>312</v>
      </c>
      <c r="M2442" t="s">
        <v>343</v>
      </c>
    </row>
    <row r="2443" spans="1:17" x14ac:dyDescent="0.3">
      <c r="A2443" t="s">
        <v>2681</v>
      </c>
      <c r="B2443" t="s">
        <v>478</v>
      </c>
      <c r="C2443" t="s">
        <v>308</v>
      </c>
      <c r="D2443" t="s">
        <v>2688</v>
      </c>
      <c r="E2443" t="s">
        <v>2540</v>
      </c>
      <c r="H2443" t="s">
        <v>25</v>
      </c>
      <c r="I2443" t="s">
        <v>2541</v>
      </c>
      <c r="L2443" t="s">
        <v>312</v>
      </c>
      <c r="M2443" t="s">
        <v>343</v>
      </c>
    </row>
    <row r="2444" spans="1:17" x14ac:dyDescent="0.3">
      <c r="A2444" t="s">
        <v>2681</v>
      </c>
      <c r="B2444" t="s">
        <v>478</v>
      </c>
      <c r="C2444" t="s">
        <v>308</v>
      </c>
      <c r="D2444" t="s">
        <v>2689</v>
      </c>
      <c r="E2444" t="s">
        <v>2510</v>
      </c>
      <c r="H2444" t="s">
        <v>25</v>
      </c>
      <c r="I2444" t="s">
        <v>2636</v>
      </c>
      <c r="L2444" t="s">
        <v>312</v>
      </c>
      <c r="M2444" t="s">
        <v>343</v>
      </c>
    </row>
    <row r="2445" spans="1:17" x14ac:dyDescent="0.3">
      <c r="A2445" t="s">
        <v>2681</v>
      </c>
      <c r="B2445" t="s">
        <v>478</v>
      </c>
      <c r="C2445" t="s">
        <v>308</v>
      </c>
      <c r="D2445" t="s">
        <v>2690</v>
      </c>
      <c r="E2445" t="s">
        <v>2513</v>
      </c>
      <c r="H2445" t="s">
        <v>25</v>
      </c>
      <c r="I2445" t="s">
        <v>2514</v>
      </c>
      <c r="L2445" t="s">
        <v>312</v>
      </c>
      <c r="M2445" t="s">
        <v>343</v>
      </c>
    </row>
    <row r="2446" spans="1:17" x14ac:dyDescent="0.3">
      <c r="A2446" t="s">
        <v>2681</v>
      </c>
      <c r="B2446" t="s">
        <v>478</v>
      </c>
      <c r="C2446" t="s">
        <v>308</v>
      </c>
      <c r="D2446" t="s">
        <v>2691</v>
      </c>
      <c r="E2446" t="s">
        <v>550</v>
      </c>
      <c r="H2446" t="s">
        <v>25</v>
      </c>
      <c r="I2446" t="s">
        <v>1954</v>
      </c>
      <c r="L2446" t="s">
        <v>312</v>
      </c>
      <c r="M2446" t="s">
        <v>343</v>
      </c>
    </row>
    <row r="2447" spans="1:17" x14ac:dyDescent="0.3">
      <c r="A2447" t="s">
        <v>2681</v>
      </c>
      <c r="B2447" t="s">
        <v>478</v>
      </c>
      <c r="C2447" t="s">
        <v>308</v>
      </c>
      <c r="D2447" t="s">
        <v>2692</v>
      </c>
      <c r="E2447" t="s">
        <v>2517</v>
      </c>
      <c r="H2447" t="s">
        <v>25</v>
      </c>
      <c r="I2447" t="s">
        <v>2118</v>
      </c>
      <c r="L2447" t="s">
        <v>312</v>
      </c>
      <c r="M2447" t="s">
        <v>343</v>
      </c>
    </row>
    <row r="2448" spans="1:17" x14ac:dyDescent="0.3">
      <c r="A2448" t="s">
        <v>2681</v>
      </c>
      <c r="B2448" t="s">
        <v>478</v>
      </c>
      <c r="C2448" t="s">
        <v>308</v>
      </c>
      <c r="D2448" t="s">
        <v>2693</v>
      </c>
      <c r="E2448" t="s">
        <v>2517</v>
      </c>
      <c r="H2448" t="s">
        <v>25</v>
      </c>
      <c r="I2448" t="s">
        <v>2121</v>
      </c>
      <c r="L2448" t="s">
        <v>312</v>
      </c>
      <c r="M2448" t="s">
        <v>343</v>
      </c>
    </row>
    <row r="2449" spans="1:17" x14ac:dyDescent="0.3">
      <c r="A2449" t="s">
        <v>2681</v>
      </c>
      <c r="B2449" t="s">
        <v>478</v>
      </c>
      <c r="C2449" t="s">
        <v>308</v>
      </c>
      <c r="D2449" t="s">
        <v>2694</v>
      </c>
      <c r="E2449" t="s">
        <v>484</v>
      </c>
      <c r="H2449" t="s">
        <v>25</v>
      </c>
      <c r="I2449" t="s">
        <v>2520</v>
      </c>
      <c r="L2449" t="s">
        <v>312</v>
      </c>
      <c r="M2449" t="s">
        <v>343</v>
      </c>
    </row>
    <row r="2450" spans="1:17" x14ac:dyDescent="0.3">
      <c r="A2450" t="s">
        <v>2681</v>
      </c>
      <c r="B2450" t="s">
        <v>478</v>
      </c>
      <c r="C2450" t="s">
        <v>308</v>
      </c>
      <c r="D2450" t="s">
        <v>2695</v>
      </c>
      <c r="E2450" t="s">
        <v>2643</v>
      </c>
      <c r="H2450" t="s">
        <v>25</v>
      </c>
      <c r="I2450" t="s">
        <v>1952</v>
      </c>
      <c r="L2450" t="s">
        <v>312</v>
      </c>
      <c r="M2450" t="s">
        <v>343</v>
      </c>
    </row>
    <row r="2451" spans="1:17" x14ac:dyDescent="0.3">
      <c r="A2451" t="s">
        <v>2686</v>
      </c>
      <c r="B2451" t="s">
        <v>1809</v>
      </c>
      <c r="C2451" t="s">
        <v>11</v>
      </c>
      <c r="D2451" t="s">
        <v>12</v>
      </c>
      <c r="E2451" t="s">
        <v>391</v>
      </c>
      <c r="H2451" t="s">
        <v>392</v>
      </c>
      <c r="I2451" t="s">
        <v>2696</v>
      </c>
      <c r="L2451" t="s">
        <v>394</v>
      </c>
      <c r="M2451" t="s">
        <v>2685</v>
      </c>
    </row>
    <row r="2452" spans="1:17" x14ac:dyDescent="0.3">
      <c r="A2452" t="s">
        <v>2687</v>
      </c>
      <c r="B2452" t="s">
        <v>481</v>
      </c>
      <c r="C2452" t="s">
        <v>11</v>
      </c>
      <c r="D2452" t="s">
        <v>12</v>
      </c>
      <c r="E2452" t="s">
        <v>391</v>
      </c>
      <c r="H2452" t="s">
        <v>392</v>
      </c>
      <c r="I2452" t="s">
        <v>2697</v>
      </c>
      <c r="L2452" t="s">
        <v>394</v>
      </c>
      <c r="M2452" t="s">
        <v>2685</v>
      </c>
    </row>
    <row r="2453" spans="1:17" x14ac:dyDescent="0.3">
      <c r="A2453" t="s">
        <v>2688</v>
      </c>
      <c r="B2453" t="s">
        <v>2540</v>
      </c>
      <c r="C2453" t="s">
        <v>11</v>
      </c>
      <c r="D2453" t="s">
        <v>12</v>
      </c>
      <c r="E2453" t="s">
        <v>391</v>
      </c>
      <c r="H2453" t="s">
        <v>392</v>
      </c>
      <c r="I2453" t="s">
        <v>2698</v>
      </c>
      <c r="L2453" t="s">
        <v>394</v>
      </c>
      <c r="M2453" t="s">
        <v>2685</v>
      </c>
    </row>
    <row r="2454" spans="1:17" x14ac:dyDescent="0.3">
      <c r="A2454" t="s">
        <v>2690</v>
      </c>
      <c r="B2454" t="s">
        <v>2513</v>
      </c>
      <c r="C2454" t="s">
        <v>11</v>
      </c>
      <c r="D2454" t="s">
        <v>12</v>
      </c>
      <c r="E2454" t="s">
        <v>391</v>
      </c>
      <c r="H2454" t="s">
        <v>392</v>
      </c>
      <c r="I2454" t="s">
        <v>2699</v>
      </c>
      <c r="L2454" t="s">
        <v>394</v>
      </c>
      <c r="M2454" t="s">
        <v>2685</v>
      </c>
    </row>
    <row r="2455" spans="1:17" x14ac:dyDescent="0.3">
      <c r="A2455" t="s">
        <v>2689</v>
      </c>
      <c r="B2455" t="s">
        <v>2510</v>
      </c>
      <c r="C2455" t="s">
        <v>11</v>
      </c>
      <c r="D2455" t="s">
        <v>12</v>
      </c>
      <c r="E2455" t="s">
        <v>391</v>
      </c>
      <c r="H2455" t="s">
        <v>392</v>
      </c>
      <c r="I2455" t="s">
        <v>2700</v>
      </c>
      <c r="L2455" t="s">
        <v>394</v>
      </c>
      <c r="M2455" t="s">
        <v>2685</v>
      </c>
    </row>
    <row r="2456" spans="1:17" x14ac:dyDescent="0.3">
      <c r="A2456" t="s">
        <v>2695</v>
      </c>
      <c r="B2456" t="s">
        <v>2643</v>
      </c>
      <c r="C2456" t="s">
        <v>11</v>
      </c>
      <c r="D2456" t="s">
        <v>12</v>
      </c>
      <c r="E2456" t="s">
        <v>391</v>
      </c>
      <c r="H2456" t="s">
        <v>392</v>
      </c>
      <c r="I2456" t="s">
        <v>2701</v>
      </c>
      <c r="L2456" t="s">
        <v>394</v>
      </c>
      <c r="M2456" t="s">
        <v>2685</v>
      </c>
    </row>
    <row r="2457" spans="1:17" x14ac:dyDescent="0.3">
      <c r="A2457" t="s">
        <v>2691</v>
      </c>
      <c r="B2457" t="s">
        <v>550</v>
      </c>
      <c r="C2457" t="s">
        <v>11</v>
      </c>
      <c r="D2457" t="s">
        <v>12</v>
      </c>
      <c r="E2457" t="s">
        <v>391</v>
      </c>
      <c r="H2457" t="s">
        <v>392</v>
      </c>
      <c r="I2457" t="s">
        <v>2702</v>
      </c>
      <c r="L2457" t="s">
        <v>394</v>
      </c>
      <c r="M2457" t="s">
        <v>2685</v>
      </c>
    </row>
    <row r="2458" spans="1:17" x14ac:dyDescent="0.3">
      <c r="A2458" t="s">
        <v>2692</v>
      </c>
      <c r="B2458" t="s">
        <v>2517</v>
      </c>
      <c r="C2458" t="s">
        <v>11</v>
      </c>
      <c r="D2458" t="s">
        <v>12</v>
      </c>
      <c r="E2458" t="s">
        <v>391</v>
      </c>
      <c r="H2458" t="s">
        <v>392</v>
      </c>
      <c r="I2458" t="s">
        <v>2703</v>
      </c>
      <c r="L2458" t="s">
        <v>394</v>
      </c>
      <c r="M2458" t="s">
        <v>2685</v>
      </c>
    </row>
    <row r="2459" spans="1:17" x14ac:dyDescent="0.3">
      <c r="A2459" t="s">
        <v>2693</v>
      </c>
      <c r="B2459" t="s">
        <v>2517</v>
      </c>
      <c r="C2459" t="s">
        <v>11</v>
      </c>
      <c r="D2459" t="s">
        <v>12</v>
      </c>
      <c r="E2459" t="s">
        <v>391</v>
      </c>
      <c r="H2459" t="s">
        <v>392</v>
      </c>
      <c r="I2459" t="s">
        <v>2704</v>
      </c>
      <c r="L2459" t="s">
        <v>394</v>
      </c>
      <c r="M2459" t="s">
        <v>2685</v>
      </c>
    </row>
    <row r="2460" spans="1:17" x14ac:dyDescent="0.3">
      <c r="A2460" t="s">
        <v>2694</v>
      </c>
      <c r="B2460" t="s">
        <v>484</v>
      </c>
      <c r="C2460" t="s">
        <v>11</v>
      </c>
      <c r="D2460" t="s">
        <v>12</v>
      </c>
      <c r="E2460" t="s">
        <v>391</v>
      </c>
      <c r="H2460" t="s">
        <v>392</v>
      </c>
      <c r="I2460" t="s">
        <v>2705</v>
      </c>
      <c r="L2460" t="s">
        <v>394</v>
      </c>
      <c r="M2460" t="s">
        <v>2685</v>
      </c>
    </row>
    <row r="2461" spans="1:17" x14ac:dyDescent="0.3">
      <c r="A2461" t="s">
        <v>2682</v>
      </c>
      <c r="B2461" t="s">
        <v>2080</v>
      </c>
      <c r="C2461" t="s">
        <v>11</v>
      </c>
      <c r="D2461" t="s">
        <v>12</v>
      </c>
      <c r="E2461" t="s">
        <v>391</v>
      </c>
      <c r="H2461" t="s">
        <v>392</v>
      </c>
      <c r="I2461" t="s">
        <v>2123</v>
      </c>
      <c r="L2461" t="s">
        <v>394</v>
      </c>
      <c r="M2461" t="s">
        <v>2685</v>
      </c>
    </row>
    <row r="2462" spans="1:17" x14ac:dyDescent="0.3">
      <c r="A2462" t="s">
        <v>2683</v>
      </c>
      <c r="B2462" t="s">
        <v>2086</v>
      </c>
      <c r="C2462" t="s">
        <v>11</v>
      </c>
      <c r="D2462" t="s">
        <v>12</v>
      </c>
      <c r="E2462" t="s">
        <v>391</v>
      </c>
      <c r="H2462" t="s">
        <v>392</v>
      </c>
      <c r="I2462" t="s">
        <v>2125</v>
      </c>
      <c r="L2462" t="s">
        <v>394</v>
      </c>
      <c r="M2462" t="s">
        <v>2685</v>
      </c>
    </row>
    <row r="2463" spans="1:17" x14ac:dyDescent="0.3">
      <c r="A2463" t="s">
        <v>2706</v>
      </c>
      <c r="B2463" t="s">
        <v>2491</v>
      </c>
      <c r="C2463" t="s">
        <v>280</v>
      </c>
      <c r="D2463" t="s">
        <v>2707</v>
      </c>
      <c r="E2463" t="s">
        <v>478</v>
      </c>
      <c r="H2463" t="s">
        <v>25</v>
      </c>
      <c r="I2463" t="s">
        <v>2493</v>
      </c>
    </row>
    <row r="2464" spans="1:17" x14ac:dyDescent="0.3">
      <c r="A2464" t="s">
        <v>2706</v>
      </c>
      <c r="B2464" t="s">
        <v>2491</v>
      </c>
      <c r="C2464" t="s">
        <v>308</v>
      </c>
      <c r="D2464" t="s">
        <v>2708</v>
      </c>
      <c r="E2464" t="s">
        <v>2080</v>
      </c>
      <c r="H2464" t="s">
        <v>25</v>
      </c>
      <c r="I2464" t="s">
        <v>2081</v>
      </c>
      <c r="L2464" t="s">
        <v>312</v>
      </c>
      <c r="M2464" t="s">
        <v>2082</v>
      </c>
      <c r="P2464" t="s">
        <v>2083</v>
      </c>
      <c r="Q2464" t="s">
        <v>2084</v>
      </c>
    </row>
    <row r="2465" spans="1:17" x14ac:dyDescent="0.3">
      <c r="A2465" t="s">
        <v>2706</v>
      </c>
      <c r="B2465" t="s">
        <v>2491</v>
      </c>
      <c r="C2465" t="s">
        <v>308</v>
      </c>
      <c r="D2465" t="s">
        <v>2709</v>
      </c>
      <c r="E2465" t="s">
        <v>2086</v>
      </c>
      <c r="H2465" t="s">
        <v>25</v>
      </c>
      <c r="I2465" t="s">
        <v>2087</v>
      </c>
      <c r="L2465" t="s">
        <v>312</v>
      </c>
      <c r="M2465" t="s">
        <v>2082</v>
      </c>
      <c r="P2465" t="s">
        <v>2083</v>
      </c>
      <c r="Q2465" t="s">
        <v>2084</v>
      </c>
    </row>
    <row r="2466" spans="1:17" x14ac:dyDescent="0.3">
      <c r="A2466" t="s">
        <v>2706</v>
      </c>
      <c r="B2466" t="s">
        <v>2491</v>
      </c>
      <c r="C2466" t="s">
        <v>22</v>
      </c>
      <c r="D2466" t="s">
        <v>23</v>
      </c>
      <c r="E2466" t="s">
        <v>24</v>
      </c>
      <c r="F2466" t="s">
        <v>25</v>
      </c>
      <c r="G2466" t="s">
        <v>2710</v>
      </c>
      <c r="J2466" t="s">
        <v>19</v>
      </c>
      <c r="K2466" t="s">
        <v>2497</v>
      </c>
    </row>
    <row r="2467" spans="1:17" x14ac:dyDescent="0.3">
      <c r="A2467" t="s">
        <v>2706</v>
      </c>
      <c r="B2467" t="s">
        <v>2491</v>
      </c>
      <c r="C2467" t="s">
        <v>2498</v>
      </c>
      <c r="D2467" t="s">
        <v>12</v>
      </c>
      <c r="E2467" t="s">
        <v>12</v>
      </c>
      <c r="H2467" t="s">
        <v>376</v>
      </c>
      <c r="I2467">
        <v>0.86</v>
      </c>
      <c r="L2467" t="s">
        <v>312</v>
      </c>
      <c r="M2467" t="s">
        <v>385</v>
      </c>
    </row>
    <row r="2468" spans="1:17" x14ac:dyDescent="0.3">
      <c r="A2468" t="s">
        <v>2706</v>
      </c>
      <c r="B2468" t="s">
        <v>2491</v>
      </c>
      <c r="C2468" t="s">
        <v>1692</v>
      </c>
      <c r="D2468" t="s">
        <v>2499</v>
      </c>
      <c r="E2468" t="s">
        <v>37</v>
      </c>
    </row>
    <row r="2469" spans="1:17" x14ac:dyDescent="0.3">
      <c r="A2469" t="s">
        <v>2706</v>
      </c>
      <c r="B2469" t="s">
        <v>2491</v>
      </c>
      <c r="C2469" t="s">
        <v>16</v>
      </c>
      <c r="D2469" t="s">
        <v>2499</v>
      </c>
      <c r="E2469" t="s">
        <v>37</v>
      </c>
      <c r="F2469" t="s">
        <v>2089</v>
      </c>
      <c r="G2469" t="s">
        <v>2500</v>
      </c>
      <c r="J2469" t="s">
        <v>2501</v>
      </c>
      <c r="K2469" t="s">
        <v>2502</v>
      </c>
    </row>
    <row r="2470" spans="1:17" x14ac:dyDescent="0.3">
      <c r="A2470" t="s">
        <v>2706</v>
      </c>
      <c r="B2470" t="s">
        <v>2491</v>
      </c>
      <c r="C2470" t="s">
        <v>11</v>
      </c>
      <c r="D2470" t="s">
        <v>12</v>
      </c>
      <c r="E2470" t="s">
        <v>13</v>
      </c>
      <c r="H2470" t="s">
        <v>382</v>
      </c>
      <c r="I2470" t="s">
        <v>2711</v>
      </c>
      <c r="L2470" t="s">
        <v>14</v>
      </c>
      <c r="M2470" t="s">
        <v>2711</v>
      </c>
    </row>
    <row r="2471" spans="1:17" x14ac:dyDescent="0.3">
      <c r="A2471" t="s">
        <v>2707</v>
      </c>
      <c r="B2471" t="s">
        <v>478</v>
      </c>
      <c r="C2471" t="s">
        <v>308</v>
      </c>
      <c r="D2471" t="s">
        <v>2712</v>
      </c>
      <c r="E2471" t="s">
        <v>1809</v>
      </c>
      <c r="H2471" t="s">
        <v>25</v>
      </c>
      <c r="I2471" t="s">
        <v>1810</v>
      </c>
      <c r="L2471" t="s">
        <v>312</v>
      </c>
      <c r="M2471" t="s">
        <v>343</v>
      </c>
    </row>
    <row r="2472" spans="1:17" x14ac:dyDescent="0.3">
      <c r="A2472" t="s">
        <v>2707</v>
      </c>
      <c r="B2472" t="s">
        <v>478</v>
      </c>
      <c r="C2472" t="s">
        <v>308</v>
      </c>
      <c r="D2472" t="s">
        <v>2713</v>
      </c>
      <c r="E2472" t="s">
        <v>481</v>
      </c>
      <c r="H2472" t="s">
        <v>25</v>
      </c>
      <c r="I2472" t="s">
        <v>1801</v>
      </c>
      <c r="L2472" t="s">
        <v>312</v>
      </c>
      <c r="M2472" t="s">
        <v>343</v>
      </c>
    </row>
    <row r="2473" spans="1:17" x14ac:dyDescent="0.3">
      <c r="A2473" t="s">
        <v>2707</v>
      </c>
      <c r="B2473" t="s">
        <v>478</v>
      </c>
      <c r="C2473" t="s">
        <v>308</v>
      </c>
      <c r="D2473" t="s">
        <v>2714</v>
      </c>
      <c r="E2473" t="s">
        <v>2540</v>
      </c>
      <c r="H2473" t="s">
        <v>25</v>
      </c>
      <c r="I2473" t="s">
        <v>2541</v>
      </c>
      <c r="L2473" t="s">
        <v>312</v>
      </c>
      <c r="M2473" t="s">
        <v>343</v>
      </c>
    </row>
    <row r="2474" spans="1:17" x14ac:dyDescent="0.3">
      <c r="A2474" t="s">
        <v>2707</v>
      </c>
      <c r="B2474" t="s">
        <v>478</v>
      </c>
      <c r="C2474" t="s">
        <v>308</v>
      </c>
      <c r="D2474" t="s">
        <v>2715</v>
      </c>
      <c r="E2474" t="s">
        <v>2510</v>
      </c>
      <c r="H2474" t="s">
        <v>25</v>
      </c>
      <c r="I2474" t="s">
        <v>2636</v>
      </c>
      <c r="L2474" t="s">
        <v>312</v>
      </c>
      <c r="M2474" t="s">
        <v>343</v>
      </c>
    </row>
    <row r="2475" spans="1:17" x14ac:dyDescent="0.3">
      <c r="A2475" t="s">
        <v>2707</v>
      </c>
      <c r="B2475" t="s">
        <v>478</v>
      </c>
      <c r="C2475" t="s">
        <v>308</v>
      </c>
      <c r="D2475" t="s">
        <v>2716</v>
      </c>
      <c r="E2475" t="s">
        <v>2513</v>
      </c>
      <c r="H2475" t="s">
        <v>25</v>
      </c>
      <c r="I2475" t="s">
        <v>2514</v>
      </c>
      <c r="L2475" t="s">
        <v>312</v>
      </c>
      <c r="M2475" t="s">
        <v>343</v>
      </c>
    </row>
    <row r="2476" spans="1:17" x14ac:dyDescent="0.3">
      <c r="A2476" t="s">
        <v>2707</v>
      </c>
      <c r="B2476" t="s">
        <v>478</v>
      </c>
      <c r="C2476" t="s">
        <v>308</v>
      </c>
      <c r="D2476" t="s">
        <v>2717</v>
      </c>
      <c r="E2476" t="s">
        <v>550</v>
      </c>
      <c r="H2476" t="s">
        <v>25</v>
      </c>
      <c r="I2476" t="s">
        <v>1954</v>
      </c>
      <c r="L2476" t="s">
        <v>312</v>
      </c>
      <c r="M2476" t="s">
        <v>343</v>
      </c>
    </row>
    <row r="2477" spans="1:17" x14ac:dyDescent="0.3">
      <c r="A2477" t="s">
        <v>2707</v>
      </c>
      <c r="B2477" t="s">
        <v>478</v>
      </c>
      <c r="C2477" t="s">
        <v>308</v>
      </c>
      <c r="D2477" t="s">
        <v>2718</v>
      </c>
      <c r="E2477" t="s">
        <v>2517</v>
      </c>
      <c r="H2477" t="s">
        <v>25</v>
      </c>
      <c r="I2477" t="s">
        <v>2118</v>
      </c>
      <c r="L2477" t="s">
        <v>312</v>
      </c>
      <c r="M2477" t="s">
        <v>343</v>
      </c>
    </row>
    <row r="2478" spans="1:17" x14ac:dyDescent="0.3">
      <c r="A2478" t="s">
        <v>2707</v>
      </c>
      <c r="B2478" t="s">
        <v>478</v>
      </c>
      <c r="C2478" t="s">
        <v>308</v>
      </c>
      <c r="D2478" t="s">
        <v>2719</v>
      </c>
      <c r="E2478" t="s">
        <v>2517</v>
      </c>
      <c r="H2478" t="s">
        <v>25</v>
      </c>
      <c r="I2478" t="s">
        <v>2121</v>
      </c>
      <c r="L2478" t="s">
        <v>312</v>
      </c>
      <c r="M2478" t="s">
        <v>343</v>
      </c>
    </row>
    <row r="2479" spans="1:17" x14ac:dyDescent="0.3">
      <c r="A2479" t="s">
        <v>2707</v>
      </c>
      <c r="B2479" t="s">
        <v>478</v>
      </c>
      <c r="C2479" t="s">
        <v>308</v>
      </c>
      <c r="D2479" t="s">
        <v>2720</v>
      </c>
      <c r="E2479" t="s">
        <v>484</v>
      </c>
      <c r="H2479" t="s">
        <v>25</v>
      </c>
      <c r="I2479" t="s">
        <v>2520</v>
      </c>
      <c r="L2479" t="s">
        <v>312</v>
      </c>
      <c r="M2479" t="s">
        <v>343</v>
      </c>
    </row>
    <row r="2480" spans="1:17" x14ac:dyDescent="0.3">
      <c r="A2480" t="s">
        <v>2707</v>
      </c>
      <c r="B2480" t="s">
        <v>478</v>
      </c>
      <c r="C2480" t="s">
        <v>308</v>
      </c>
      <c r="D2480" t="s">
        <v>2721</v>
      </c>
      <c r="E2480" t="s">
        <v>2643</v>
      </c>
      <c r="H2480" t="s">
        <v>25</v>
      </c>
      <c r="I2480" t="s">
        <v>1952</v>
      </c>
      <c r="L2480" t="s">
        <v>312</v>
      </c>
      <c r="M2480" t="s">
        <v>343</v>
      </c>
    </row>
    <row r="2481" spans="1:13" x14ac:dyDescent="0.3">
      <c r="A2481" t="s">
        <v>2712</v>
      </c>
      <c r="B2481" t="s">
        <v>1809</v>
      </c>
      <c r="C2481" t="s">
        <v>11</v>
      </c>
      <c r="D2481" t="s">
        <v>12</v>
      </c>
      <c r="E2481" t="s">
        <v>391</v>
      </c>
      <c r="H2481" t="s">
        <v>392</v>
      </c>
      <c r="I2481" t="s">
        <v>2722</v>
      </c>
      <c r="L2481" t="s">
        <v>394</v>
      </c>
      <c r="M2481" t="s">
        <v>2711</v>
      </c>
    </row>
    <row r="2482" spans="1:13" x14ac:dyDescent="0.3">
      <c r="A2482" t="s">
        <v>2713</v>
      </c>
      <c r="B2482" t="s">
        <v>481</v>
      </c>
      <c r="C2482" t="s">
        <v>11</v>
      </c>
      <c r="D2482" t="s">
        <v>12</v>
      </c>
      <c r="E2482" t="s">
        <v>391</v>
      </c>
      <c r="H2482" t="s">
        <v>392</v>
      </c>
      <c r="I2482" t="s">
        <v>2723</v>
      </c>
      <c r="L2482" t="s">
        <v>394</v>
      </c>
      <c r="M2482" t="s">
        <v>2711</v>
      </c>
    </row>
    <row r="2483" spans="1:13" x14ac:dyDescent="0.3">
      <c r="A2483" t="s">
        <v>2714</v>
      </c>
      <c r="B2483" t="s">
        <v>2540</v>
      </c>
      <c r="C2483" t="s">
        <v>11</v>
      </c>
      <c r="D2483" t="s">
        <v>12</v>
      </c>
      <c r="E2483" t="s">
        <v>391</v>
      </c>
      <c r="H2483" t="s">
        <v>392</v>
      </c>
      <c r="I2483" t="s">
        <v>2724</v>
      </c>
      <c r="L2483" t="s">
        <v>394</v>
      </c>
      <c r="M2483" t="s">
        <v>2711</v>
      </c>
    </row>
    <row r="2484" spans="1:13" x14ac:dyDescent="0.3">
      <c r="A2484" t="s">
        <v>2716</v>
      </c>
      <c r="B2484" t="s">
        <v>2513</v>
      </c>
      <c r="C2484" t="s">
        <v>11</v>
      </c>
      <c r="D2484" t="s">
        <v>12</v>
      </c>
      <c r="E2484" t="s">
        <v>391</v>
      </c>
      <c r="H2484" t="s">
        <v>392</v>
      </c>
      <c r="I2484" t="s">
        <v>2725</v>
      </c>
      <c r="L2484" t="s">
        <v>394</v>
      </c>
      <c r="M2484" t="s">
        <v>2711</v>
      </c>
    </row>
    <row r="2485" spans="1:13" x14ac:dyDescent="0.3">
      <c r="A2485" t="s">
        <v>2715</v>
      </c>
      <c r="B2485" t="s">
        <v>2510</v>
      </c>
      <c r="C2485" t="s">
        <v>11</v>
      </c>
      <c r="D2485" t="s">
        <v>12</v>
      </c>
      <c r="E2485" t="s">
        <v>391</v>
      </c>
      <c r="H2485" t="s">
        <v>392</v>
      </c>
      <c r="I2485" t="s">
        <v>2726</v>
      </c>
      <c r="L2485" t="s">
        <v>394</v>
      </c>
      <c r="M2485" t="s">
        <v>2711</v>
      </c>
    </row>
    <row r="2486" spans="1:13" x14ac:dyDescent="0.3">
      <c r="A2486" t="s">
        <v>2721</v>
      </c>
      <c r="B2486" t="s">
        <v>2643</v>
      </c>
      <c r="C2486" t="s">
        <v>11</v>
      </c>
      <c r="D2486" t="s">
        <v>12</v>
      </c>
      <c r="E2486" t="s">
        <v>391</v>
      </c>
      <c r="H2486" t="s">
        <v>392</v>
      </c>
      <c r="I2486" t="s">
        <v>2727</v>
      </c>
      <c r="L2486" t="s">
        <v>394</v>
      </c>
      <c r="M2486" t="s">
        <v>2711</v>
      </c>
    </row>
    <row r="2487" spans="1:13" x14ac:dyDescent="0.3">
      <c r="A2487" t="s">
        <v>2717</v>
      </c>
      <c r="B2487" t="s">
        <v>550</v>
      </c>
      <c r="C2487" t="s">
        <v>11</v>
      </c>
      <c r="D2487" t="s">
        <v>12</v>
      </c>
      <c r="E2487" t="s">
        <v>391</v>
      </c>
      <c r="H2487" t="s">
        <v>392</v>
      </c>
      <c r="I2487" t="s">
        <v>2728</v>
      </c>
      <c r="L2487" t="s">
        <v>394</v>
      </c>
      <c r="M2487" t="s">
        <v>2711</v>
      </c>
    </row>
    <row r="2488" spans="1:13" x14ac:dyDescent="0.3">
      <c r="A2488" t="s">
        <v>2718</v>
      </c>
      <c r="B2488" t="s">
        <v>2517</v>
      </c>
      <c r="C2488" t="s">
        <v>11</v>
      </c>
      <c r="D2488" t="s">
        <v>12</v>
      </c>
      <c r="E2488" t="s">
        <v>391</v>
      </c>
      <c r="H2488" t="s">
        <v>392</v>
      </c>
      <c r="I2488" t="s">
        <v>2729</v>
      </c>
      <c r="L2488" t="s">
        <v>394</v>
      </c>
      <c r="M2488" t="s">
        <v>2711</v>
      </c>
    </row>
    <row r="2489" spans="1:13" x14ac:dyDescent="0.3">
      <c r="A2489" t="s">
        <v>2719</v>
      </c>
      <c r="B2489" t="s">
        <v>2517</v>
      </c>
      <c r="C2489" t="s">
        <v>11</v>
      </c>
      <c r="D2489" t="s">
        <v>12</v>
      </c>
      <c r="E2489" t="s">
        <v>391</v>
      </c>
      <c r="H2489" t="s">
        <v>392</v>
      </c>
      <c r="I2489" t="s">
        <v>2730</v>
      </c>
      <c r="L2489" t="s">
        <v>394</v>
      </c>
      <c r="M2489" t="s">
        <v>2711</v>
      </c>
    </row>
    <row r="2490" spans="1:13" x14ac:dyDescent="0.3">
      <c r="A2490" t="s">
        <v>2720</v>
      </c>
      <c r="B2490" t="s">
        <v>484</v>
      </c>
      <c r="C2490" t="s">
        <v>11</v>
      </c>
      <c r="D2490" t="s">
        <v>12</v>
      </c>
      <c r="E2490" t="s">
        <v>391</v>
      </c>
      <c r="H2490" t="s">
        <v>392</v>
      </c>
      <c r="I2490" t="s">
        <v>2731</v>
      </c>
      <c r="L2490" t="s">
        <v>394</v>
      </c>
      <c r="M2490" t="s">
        <v>2711</v>
      </c>
    </row>
    <row r="2491" spans="1:13" x14ac:dyDescent="0.3">
      <c r="A2491" t="s">
        <v>2708</v>
      </c>
      <c r="B2491" t="s">
        <v>2080</v>
      </c>
      <c r="C2491" t="s">
        <v>11</v>
      </c>
      <c r="D2491" t="s">
        <v>12</v>
      </c>
      <c r="E2491" t="s">
        <v>391</v>
      </c>
      <c r="H2491" t="s">
        <v>392</v>
      </c>
      <c r="I2491" t="s">
        <v>2123</v>
      </c>
      <c r="L2491" t="s">
        <v>394</v>
      </c>
      <c r="M2491" t="s">
        <v>2711</v>
      </c>
    </row>
    <row r="2492" spans="1:13" x14ac:dyDescent="0.3">
      <c r="A2492" t="s">
        <v>2709</v>
      </c>
      <c r="B2492" t="s">
        <v>2086</v>
      </c>
      <c r="C2492" t="s">
        <v>11</v>
      </c>
      <c r="D2492" t="s">
        <v>12</v>
      </c>
      <c r="E2492" t="s">
        <v>391</v>
      </c>
      <c r="H2492" t="s">
        <v>392</v>
      </c>
      <c r="I2492" t="s">
        <v>2125</v>
      </c>
      <c r="L2492" t="s">
        <v>394</v>
      </c>
      <c r="M2492" t="s">
        <v>2711</v>
      </c>
    </row>
    <row r="2493" spans="1:13" x14ac:dyDescent="0.3">
      <c r="A2493" t="s">
        <v>2732</v>
      </c>
      <c r="B2493" t="s">
        <v>2733</v>
      </c>
      <c r="C2493" t="s">
        <v>280</v>
      </c>
      <c r="D2493" t="s">
        <v>2734</v>
      </c>
      <c r="E2493" t="s">
        <v>2735</v>
      </c>
      <c r="H2493" t="s">
        <v>25</v>
      </c>
      <c r="I2493" t="s">
        <v>2736</v>
      </c>
    </row>
    <row r="2494" spans="1:13" x14ac:dyDescent="0.3">
      <c r="A2494" t="s">
        <v>2732</v>
      </c>
      <c r="B2494" t="s">
        <v>2733</v>
      </c>
      <c r="C2494" t="s">
        <v>308</v>
      </c>
      <c r="D2494" t="s">
        <v>2737</v>
      </c>
      <c r="E2494" t="s">
        <v>2738</v>
      </c>
      <c r="H2494" t="s">
        <v>25</v>
      </c>
      <c r="I2494" t="s">
        <v>2739</v>
      </c>
      <c r="L2494" t="s">
        <v>312</v>
      </c>
      <c r="M2494" t="s">
        <v>327</v>
      </c>
    </row>
    <row r="2495" spans="1:13" x14ac:dyDescent="0.3">
      <c r="A2495" t="s">
        <v>2732</v>
      </c>
      <c r="B2495" t="s">
        <v>2733</v>
      </c>
      <c r="C2495" t="s">
        <v>308</v>
      </c>
      <c r="D2495" t="s">
        <v>2740</v>
      </c>
      <c r="E2495" t="s">
        <v>527</v>
      </c>
      <c r="H2495" t="s">
        <v>25</v>
      </c>
      <c r="I2495" t="s">
        <v>2741</v>
      </c>
      <c r="L2495" t="s">
        <v>312</v>
      </c>
      <c r="M2495" t="s">
        <v>343</v>
      </c>
    </row>
    <row r="2496" spans="1:13" x14ac:dyDescent="0.3">
      <c r="A2496" t="s">
        <v>2732</v>
      </c>
      <c r="B2496" t="s">
        <v>2733</v>
      </c>
      <c r="C2496" t="s">
        <v>308</v>
      </c>
      <c r="D2496" t="s">
        <v>2742</v>
      </c>
      <c r="E2496" t="s">
        <v>2077</v>
      </c>
      <c r="H2496" t="s">
        <v>25</v>
      </c>
      <c r="I2496" t="s">
        <v>2078</v>
      </c>
      <c r="L2496" t="s">
        <v>312</v>
      </c>
      <c r="M2496" t="s">
        <v>1687</v>
      </c>
    </row>
    <row r="2497" spans="1:27" x14ac:dyDescent="0.3">
      <c r="A2497" t="s">
        <v>2732</v>
      </c>
      <c r="B2497" t="s">
        <v>2733</v>
      </c>
      <c r="C2497" t="s">
        <v>308</v>
      </c>
      <c r="D2497" t="s">
        <v>2743</v>
      </c>
      <c r="E2497" t="s">
        <v>1138</v>
      </c>
      <c r="H2497" t="s">
        <v>25</v>
      </c>
      <c r="I2497" t="s">
        <v>2065</v>
      </c>
      <c r="L2497" t="s">
        <v>312</v>
      </c>
      <c r="M2497" t="s">
        <v>317</v>
      </c>
    </row>
    <row r="2498" spans="1:27" x14ac:dyDescent="0.3">
      <c r="A2498" t="s">
        <v>2732</v>
      </c>
      <c r="B2498" t="s">
        <v>2733</v>
      </c>
      <c r="C2498" t="s">
        <v>308</v>
      </c>
      <c r="D2498" t="s">
        <v>2744</v>
      </c>
      <c r="E2498" t="s">
        <v>1134</v>
      </c>
      <c r="H2498" t="s">
        <v>25</v>
      </c>
      <c r="I2498" t="s">
        <v>2069</v>
      </c>
      <c r="L2498" t="s">
        <v>312</v>
      </c>
      <c r="M2498" t="s">
        <v>317</v>
      </c>
    </row>
    <row r="2499" spans="1:27" x14ac:dyDescent="0.3">
      <c r="A2499" t="s">
        <v>2732</v>
      </c>
      <c r="B2499" t="s">
        <v>2733</v>
      </c>
      <c r="C2499" t="s">
        <v>308</v>
      </c>
      <c r="D2499" t="s">
        <v>2745</v>
      </c>
      <c r="E2499" t="s">
        <v>1138</v>
      </c>
      <c r="H2499" t="s">
        <v>25</v>
      </c>
      <c r="I2499" t="s">
        <v>2746</v>
      </c>
      <c r="L2499" t="s">
        <v>312</v>
      </c>
      <c r="M2499" t="s">
        <v>317</v>
      </c>
    </row>
    <row r="2500" spans="1:27" x14ac:dyDescent="0.3">
      <c r="A2500" t="s">
        <v>2732</v>
      </c>
      <c r="B2500" t="s">
        <v>2733</v>
      </c>
      <c r="C2500" t="s">
        <v>308</v>
      </c>
      <c r="D2500" t="s">
        <v>2747</v>
      </c>
      <c r="E2500" t="s">
        <v>341</v>
      </c>
      <c r="H2500" t="s">
        <v>25</v>
      </c>
      <c r="I2500" t="s">
        <v>342</v>
      </c>
      <c r="L2500" t="s">
        <v>312</v>
      </c>
      <c r="M2500" t="s">
        <v>343</v>
      </c>
    </row>
    <row r="2501" spans="1:27" x14ac:dyDescent="0.3">
      <c r="A2501" t="s">
        <v>2732</v>
      </c>
      <c r="B2501" t="s">
        <v>2733</v>
      </c>
      <c r="C2501" t="s">
        <v>22</v>
      </c>
      <c r="D2501" t="s">
        <v>23</v>
      </c>
      <c r="E2501" t="s">
        <v>28</v>
      </c>
    </row>
    <row r="2502" spans="1:27" x14ac:dyDescent="0.3">
      <c r="A2502" t="s">
        <v>2732</v>
      </c>
      <c r="B2502" t="s">
        <v>2733</v>
      </c>
      <c r="C2502" t="s">
        <v>2748</v>
      </c>
      <c r="D2502">
        <v>1.5</v>
      </c>
      <c r="H2502" t="s">
        <v>312</v>
      </c>
      <c r="I2502" t="s">
        <v>385</v>
      </c>
    </row>
    <row r="2503" spans="1:27" x14ac:dyDescent="0.3">
      <c r="A2503" t="s">
        <v>2732</v>
      </c>
      <c r="B2503" t="s">
        <v>2733</v>
      </c>
      <c r="C2503" t="s">
        <v>378</v>
      </c>
      <c r="D2503" s="3">
        <v>140</v>
      </c>
      <c r="H2503" t="s">
        <v>312</v>
      </c>
      <c r="I2503" t="s">
        <v>327</v>
      </c>
    </row>
    <row r="2504" spans="1:27" x14ac:dyDescent="0.3">
      <c r="A2504" t="s">
        <v>2732</v>
      </c>
      <c r="B2504" t="s">
        <v>2733</v>
      </c>
      <c r="C2504" t="s">
        <v>380</v>
      </c>
      <c r="D2504" t="s">
        <v>278</v>
      </c>
      <c r="E2504" t="s">
        <v>279</v>
      </c>
      <c r="F2504" t="s">
        <v>25</v>
      </c>
      <c r="G2504" t="s">
        <v>2749</v>
      </c>
      <c r="J2504" t="s">
        <v>2089</v>
      </c>
      <c r="K2504" t="s">
        <v>2750</v>
      </c>
      <c r="N2504" t="s">
        <v>2751</v>
      </c>
      <c r="O2504">
        <v>2</v>
      </c>
      <c r="R2504" t="s">
        <v>2752</v>
      </c>
      <c r="S2504">
        <v>158</v>
      </c>
      <c r="V2504" t="s">
        <v>2753</v>
      </c>
      <c r="W2504" t="s">
        <v>2754</v>
      </c>
      <c r="Z2504" t="s">
        <v>2755</v>
      </c>
      <c r="AA2504" t="s">
        <v>2756</v>
      </c>
    </row>
    <row r="2505" spans="1:27" x14ac:dyDescent="0.3">
      <c r="A2505" t="s">
        <v>2732</v>
      </c>
      <c r="B2505" t="s">
        <v>2733</v>
      </c>
      <c r="C2505" t="s">
        <v>16</v>
      </c>
      <c r="D2505" t="s">
        <v>1075</v>
      </c>
      <c r="E2505" t="s">
        <v>37</v>
      </c>
    </row>
    <row r="2506" spans="1:27" x14ac:dyDescent="0.3">
      <c r="A2506" t="s">
        <v>2732</v>
      </c>
      <c r="B2506" t="s">
        <v>2733</v>
      </c>
      <c r="C2506" t="s">
        <v>11</v>
      </c>
      <c r="D2506" t="s">
        <v>12</v>
      </c>
      <c r="E2506" t="s">
        <v>13</v>
      </c>
      <c r="H2506" t="s">
        <v>382</v>
      </c>
      <c r="I2506" t="s">
        <v>2757</v>
      </c>
      <c r="L2506" t="s">
        <v>14</v>
      </c>
      <c r="M2506" t="s">
        <v>2757</v>
      </c>
    </row>
    <row r="2507" spans="1:27" x14ac:dyDescent="0.3">
      <c r="A2507" t="s">
        <v>2740</v>
      </c>
      <c r="B2507" t="s">
        <v>527</v>
      </c>
      <c r="C2507" t="s">
        <v>11</v>
      </c>
      <c r="D2507" t="s">
        <v>12</v>
      </c>
      <c r="E2507" t="s">
        <v>391</v>
      </c>
      <c r="H2507" t="s">
        <v>392</v>
      </c>
      <c r="I2507" t="s">
        <v>2758</v>
      </c>
      <c r="L2507" t="s">
        <v>394</v>
      </c>
      <c r="M2507" t="s">
        <v>2757</v>
      </c>
    </row>
    <row r="2508" spans="1:27" x14ac:dyDescent="0.3">
      <c r="A2508" t="s">
        <v>2737</v>
      </c>
      <c r="B2508" t="s">
        <v>2738</v>
      </c>
      <c r="C2508" t="s">
        <v>11</v>
      </c>
      <c r="D2508" t="s">
        <v>12</v>
      </c>
      <c r="E2508" t="s">
        <v>391</v>
      </c>
      <c r="H2508" t="s">
        <v>392</v>
      </c>
      <c r="I2508" t="s">
        <v>2759</v>
      </c>
      <c r="L2508" t="s">
        <v>394</v>
      </c>
      <c r="M2508" t="s">
        <v>2757</v>
      </c>
    </row>
    <row r="2509" spans="1:27" x14ac:dyDescent="0.3">
      <c r="A2509" t="s">
        <v>2734</v>
      </c>
      <c r="B2509" t="s">
        <v>2735</v>
      </c>
      <c r="C2509" t="s">
        <v>308</v>
      </c>
      <c r="D2509" t="s">
        <v>2760</v>
      </c>
      <c r="E2509" t="s">
        <v>406</v>
      </c>
      <c r="H2509" t="s">
        <v>25</v>
      </c>
      <c r="I2509" t="s">
        <v>2761</v>
      </c>
      <c r="L2509" t="s">
        <v>312</v>
      </c>
      <c r="M2509" t="s">
        <v>404</v>
      </c>
    </row>
    <row r="2510" spans="1:27" x14ac:dyDescent="0.3">
      <c r="A2510" t="s">
        <v>2760</v>
      </c>
      <c r="B2510" t="s">
        <v>406</v>
      </c>
      <c r="C2510" t="s">
        <v>11</v>
      </c>
      <c r="D2510" t="s">
        <v>12</v>
      </c>
      <c r="E2510" t="s">
        <v>391</v>
      </c>
      <c r="H2510" t="s">
        <v>392</v>
      </c>
      <c r="I2510" t="s">
        <v>2762</v>
      </c>
      <c r="L2510" t="s">
        <v>394</v>
      </c>
      <c r="M2510" t="s">
        <v>2757</v>
      </c>
    </row>
    <row r="2511" spans="1:27" x14ac:dyDescent="0.3">
      <c r="A2511" t="s">
        <v>2743</v>
      </c>
      <c r="B2511" t="s">
        <v>1138</v>
      </c>
      <c r="C2511" t="s">
        <v>11</v>
      </c>
      <c r="D2511" t="s">
        <v>12</v>
      </c>
      <c r="E2511" t="s">
        <v>391</v>
      </c>
      <c r="H2511" t="s">
        <v>392</v>
      </c>
      <c r="I2511" t="s">
        <v>2763</v>
      </c>
      <c r="L2511" t="s">
        <v>394</v>
      </c>
      <c r="M2511" t="s">
        <v>2757</v>
      </c>
    </row>
    <row r="2512" spans="1:27" x14ac:dyDescent="0.3">
      <c r="A2512" t="s">
        <v>2747</v>
      </c>
      <c r="B2512" t="s">
        <v>341</v>
      </c>
      <c r="C2512" t="s">
        <v>11</v>
      </c>
      <c r="D2512" t="s">
        <v>12</v>
      </c>
      <c r="E2512" t="s">
        <v>391</v>
      </c>
      <c r="H2512" t="s">
        <v>392</v>
      </c>
      <c r="I2512" t="s">
        <v>2764</v>
      </c>
      <c r="L2512" t="s">
        <v>394</v>
      </c>
      <c r="M2512" t="s">
        <v>2757</v>
      </c>
    </row>
    <row r="2513" spans="1:27" x14ac:dyDescent="0.3">
      <c r="A2513" t="s">
        <v>2744</v>
      </c>
      <c r="B2513" t="s">
        <v>1134</v>
      </c>
      <c r="C2513" t="s">
        <v>11</v>
      </c>
      <c r="D2513" t="s">
        <v>12</v>
      </c>
      <c r="E2513" t="s">
        <v>391</v>
      </c>
      <c r="H2513" t="s">
        <v>392</v>
      </c>
      <c r="I2513" t="s">
        <v>2765</v>
      </c>
      <c r="L2513" t="s">
        <v>394</v>
      </c>
      <c r="M2513" t="s">
        <v>2757</v>
      </c>
    </row>
    <row r="2514" spans="1:27" x14ac:dyDescent="0.3">
      <c r="A2514" t="s">
        <v>2745</v>
      </c>
      <c r="B2514" t="s">
        <v>1138</v>
      </c>
      <c r="C2514" t="s">
        <v>11</v>
      </c>
      <c r="D2514" t="s">
        <v>12</v>
      </c>
      <c r="E2514" t="s">
        <v>391</v>
      </c>
      <c r="H2514" t="s">
        <v>392</v>
      </c>
      <c r="I2514" t="s">
        <v>2766</v>
      </c>
      <c r="L2514" t="s">
        <v>394</v>
      </c>
      <c r="M2514" t="s">
        <v>2757</v>
      </c>
    </row>
    <row r="2515" spans="1:27" x14ac:dyDescent="0.3">
      <c r="A2515" t="s">
        <v>2742</v>
      </c>
      <c r="B2515" t="s">
        <v>2077</v>
      </c>
      <c r="C2515" t="s">
        <v>11</v>
      </c>
      <c r="D2515" t="s">
        <v>12</v>
      </c>
      <c r="E2515" t="s">
        <v>391</v>
      </c>
      <c r="H2515" t="s">
        <v>392</v>
      </c>
      <c r="I2515" t="s">
        <v>2128</v>
      </c>
      <c r="L2515" t="s">
        <v>394</v>
      </c>
      <c r="M2515" t="s">
        <v>2757</v>
      </c>
    </row>
    <row r="2516" spans="1:27" x14ac:dyDescent="0.3">
      <c r="A2516" t="s">
        <v>2767</v>
      </c>
      <c r="B2516" t="s">
        <v>2733</v>
      </c>
      <c r="C2516" t="s">
        <v>280</v>
      </c>
      <c r="D2516" t="s">
        <v>2768</v>
      </c>
      <c r="E2516" t="s">
        <v>2735</v>
      </c>
      <c r="H2516" t="s">
        <v>25</v>
      </c>
      <c r="I2516" t="s">
        <v>2736</v>
      </c>
    </row>
    <row r="2517" spans="1:27" x14ac:dyDescent="0.3">
      <c r="A2517" t="s">
        <v>2767</v>
      </c>
      <c r="B2517" t="s">
        <v>2733</v>
      </c>
      <c r="C2517" t="s">
        <v>308</v>
      </c>
      <c r="D2517" t="s">
        <v>2769</v>
      </c>
      <c r="E2517" t="s">
        <v>2738</v>
      </c>
      <c r="H2517" t="s">
        <v>25</v>
      </c>
      <c r="I2517" t="s">
        <v>2739</v>
      </c>
      <c r="L2517" t="s">
        <v>312</v>
      </c>
      <c r="M2517" t="s">
        <v>327</v>
      </c>
    </row>
    <row r="2518" spans="1:27" x14ac:dyDescent="0.3">
      <c r="A2518" t="s">
        <v>2767</v>
      </c>
      <c r="B2518" t="s">
        <v>2733</v>
      </c>
      <c r="C2518" t="s">
        <v>308</v>
      </c>
      <c r="D2518" t="s">
        <v>2770</v>
      </c>
      <c r="E2518" t="s">
        <v>527</v>
      </c>
      <c r="H2518" t="s">
        <v>25</v>
      </c>
      <c r="I2518" t="s">
        <v>2741</v>
      </c>
      <c r="L2518" t="s">
        <v>312</v>
      </c>
      <c r="M2518" t="s">
        <v>343</v>
      </c>
    </row>
    <row r="2519" spans="1:27" x14ac:dyDescent="0.3">
      <c r="A2519" t="s">
        <v>2767</v>
      </c>
      <c r="B2519" t="s">
        <v>2733</v>
      </c>
      <c r="C2519" t="s">
        <v>308</v>
      </c>
      <c r="D2519" t="s">
        <v>2771</v>
      </c>
      <c r="E2519" t="s">
        <v>2077</v>
      </c>
      <c r="H2519" t="s">
        <v>25</v>
      </c>
      <c r="I2519" t="s">
        <v>2078</v>
      </c>
      <c r="L2519" t="s">
        <v>312</v>
      </c>
      <c r="M2519" t="s">
        <v>1687</v>
      </c>
    </row>
    <row r="2520" spans="1:27" x14ac:dyDescent="0.3">
      <c r="A2520" t="s">
        <v>2767</v>
      </c>
      <c r="B2520" t="s">
        <v>2733</v>
      </c>
      <c r="C2520" t="s">
        <v>308</v>
      </c>
      <c r="D2520" t="s">
        <v>2772</v>
      </c>
      <c r="E2520" t="s">
        <v>1138</v>
      </c>
      <c r="H2520" t="s">
        <v>25</v>
      </c>
      <c r="I2520" t="s">
        <v>2065</v>
      </c>
      <c r="L2520" t="s">
        <v>312</v>
      </c>
      <c r="M2520" t="s">
        <v>317</v>
      </c>
    </row>
    <row r="2521" spans="1:27" x14ac:dyDescent="0.3">
      <c r="A2521" t="s">
        <v>2767</v>
      </c>
      <c r="B2521" t="s">
        <v>2733</v>
      </c>
      <c r="C2521" t="s">
        <v>308</v>
      </c>
      <c r="D2521" t="s">
        <v>2773</v>
      </c>
      <c r="E2521" t="s">
        <v>1134</v>
      </c>
      <c r="H2521" t="s">
        <v>25</v>
      </c>
      <c r="I2521" t="s">
        <v>2069</v>
      </c>
      <c r="L2521" t="s">
        <v>312</v>
      </c>
      <c r="M2521" t="s">
        <v>317</v>
      </c>
    </row>
    <row r="2522" spans="1:27" x14ac:dyDescent="0.3">
      <c r="A2522" t="s">
        <v>2767</v>
      </c>
      <c r="B2522" t="s">
        <v>2733</v>
      </c>
      <c r="C2522" t="s">
        <v>308</v>
      </c>
      <c r="D2522" t="s">
        <v>2774</v>
      </c>
      <c r="E2522" t="s">
        <v>1138</v>
      </c>
      <c r="H2522" t="s">
        <v>25</v>
      </c>
      <c r="I2522" t="s">
        <v>2746</v>
      </c>
      <c r="L2522" t="s">
        <v>312</v>
      </c>
      <c r="M2522" t="s">
        <v>317</v>
      </c>
    </row>
    <row r="2523" spans="1:27" x14ac:dyDescent="0.3">
      <c r="A2523" t="s">
        <v>2767</v>
      </c>
      <c r="B2523" t="s">
        <v>2733</v>
      </c>
      <c r="C2523" t="s">
        <v>308</v>
      </c>
      <c r="D2523" t="s">
        <v>2775</v>
      </c>
      <c r="E2523" t="s">
        <v>341</v>
      </c>
      <c r="H2523" t="s">
        <v>25</v>
      </c>
      <c r="I2523" t="s">
        <v>342</v>
      </c>
      <c r="L2523" t="s">
        <v>312</v>
      </c>
      <c r="M2523" t="s">
        <v>343</v>
      </c>
    </row>
    <row r="2524" spans="1:27" x14ac:dyDescent="0.3">
      <c r="A2524" t="s">
        <v>2767</v>
      </c>
      <c r="B2524" t="s">
        <v>2733</v>
      </c>
      <c r="C2524" t="s">
        <v>22</v>
      </c>
      <c r="D2524" t="s">
        <v>23</v>
      </c>
      <c r="E2524" t="s">
        <v>28</v>
      </c>
    </row>
    <row r="2525" spans="1:27" x14ac:dyDescent="0.3">
      <c r="A2525" t="s">
        <v>2767</v>
      </c>
      <c r="B2525" t="s">
        <v>2733</v>
      </c>
      <c r="C2525" t="s">
        <v>2748</v>
      </c>
      <c r="D2525">
        <v>1.5</v>
      </c>
      <c r="H2525" t="s">
        <v>312</v>
      </c>
      <c r="I2525" t="s">
        <v>385</v>
      </c>
    </row>
    <row r="2526" spans="1:27" x14ac:dyDescent="0.3">
      <c r="A2526" t="s">
        <v>2767</v>
      </c>
      <c r="B2526" t="s">
        <v>2733</v>
      </c>
      <c r="C2526" t="s">
        <v>378</v>
      </c>
      <c r="D2526">
        <v>165</v>
      </c>
      <c r="H2526" t="s">
        <v>312</v>
      </c>
      <c r="I2526" t="s">
        <v>327</v>
      </c>
    </row>
    <row r="2527" spans="1:27" x14ac:dyDescent="0.3">
      <c r="A2527" t="s">
        <v>2767</v>
      </c>
      <c r="B2527" t="s">
        <v>2733</v>
      </c>
      <c r="C2527" t="s">
        <v>380</v>
      </c>
      <c r="D2527" t="s">
        <v>278</v>
      </c>
      <c r="E2527" t="s">
        <v>279</v>
      </c>
      <c r="F2527" t="s">
        <v>25</v>
      </c>
      <c r="G2527" t="s">
        <v>2776</v>
      </c>
      <c r="J2527" t="s">
        <v>2089</v>
      </c>
      <c r="K2527" t="s">
        <v>2750</v>
      </c>
      <c r="N2527" t="s">
        <v>2751</v>
      </c>
      <c r="O2527">
        <v>2</v>
      </c>
      <c r="R2527" t="s">
        <v>2752</v>
      </c>
      <c r="S2527">
        <v>158</v>
      </c>
      <c r="V2527" t="s">
        <v>2753</v>
      </c>
      <c r="W2527" t="s">
        <v>2754</v>
      </c>
      <c r="Z2527" t="s">
        <v>2755</v>
      </c>
      <c r="AA2527" t="s">
        <v>2756</v>
      </c>
    </row>
    <row r="2528" spans="1:27" x14ac:dyDescent="0.3">
      <c r="A2528" t="s">
        <v>2767</v>
      </c>
      <c r="B2528" t="s">
        <v>2733</v>
      </c>
      <c r="C2528" t="s">
        <v>16</v>
      </c>
      <c r="D2528" t="s">
        <v>65</v>
      </c>
      <c r="E2528" t="s">
        <v>37</v>
      </c>
    </row>
    <row r="2529" spans="1:13" x14ac:dyDescent="0.3">
      <c r="A2529" t="s">
        <v>2767</v>
      </c>
      <c r="B2529" t="s">
        <v>2733</v>
      </c>
      <c r="C2529" t="s">
        <v>11</v>
      </c>
      <c r="D2529" t="s">
        <v>12</v>
      </c>
      <c r="E2529" t="s">
        <v>13</v>
      </c>
      <c r="H2529" t="s">
        <v>382</v>
      </c>
      <c r="I2529" t="s">
        <v>2777</v>
      </c>
      <c r="L2529" t="s">
        <v>14</v>
      </c>
      <c r="M2529" t="s">
        <v>2777</v>
      </c>
    </row>
    <row r="2530" spans="1:13" x14ac:dyDescent="0.3">
      <c r="A2530" t="s">
        <v>2770</v>
      </c>
      <c r="B2530" t="s">
        <v>527</v>
      </c>
      <c r="C2530" t="s">
        <v>11</v>
      </c>
      <c r="D2530" t="s">
        <v>12</v>
      </c>
      <c r="E2530" t="s">
        <v>391</v>
      </c>
      <c r="H2530" t="s">
        <v>392</v>
      </c>
      <c r="I2530" t="s">
        <v>2758</v>
      </c>
      <c r="L2530" t="s">
        <v>394</v>
      </c>
      <c r="M2530" t="s">
        <v>2777</v>
      </c>
    </row>
    <row r="2531" spans="1:13" x14ac:dyDescent="0.3">
      <c r="A2531" t="s">
        <v>2769</v>
      </c>
      <c r="B2531" t="s">
        <v>2738</v>
      </c>
      <c r="C2531" t="s">
        <v>11</v>
      </c>
      <c r="D2531" t="s">
        <v>12</v>
      </c>
      <c r="E2531" t="s">
        <v>391</v>
      </c>
      <c r="H2531" t="s">
        <v>392</v>
      </c>
      <c r="I2531" t="s">
        <v>2778</v>
      </c>
      <c r="L2531" t="s">
        <v>394</v>
      </c>
      <c r="M2531" t="s">
        <v>2777</v>
      </c>
    </row>
    <row r="2532" spans="1:13" x14ac:dyDescent="0.3">
      <c r="A2532" t="s">
        <v>2768</v>
      </c>
      <c r="B2532" t="s">
        <v>2735</v>
      </c>
      <c r="C2532" t="s">
        <v>308</v>
      </c>
      <c r="D2532" t="s">
        <v>2779</v>
      </c>
      <c r="E2532" t="s">
        <v>406</v>
      </c>
      <c r="H2532" t="s">
        <v>25</v>
      </c>
      <c r="I2532" t="s">
        <v>2761</v>
      </c>
      <c r="L2532" t="s">
        <v>312</v>
      </c>
      <c r="M2532" t="s">
        <v>404</v>
      </c>
    </row>
    <row r="2533" spans="1:13" x14ac:dyDescent="0.3">
      <c r="A2533" t="s">
        <v>2779</v>
      </c>
      <c r="B2533" t="s">
        <v>406</v>
      </c>
      <c r="C2533" t="s">
        <v>11</v>
      </c>
      <c r="D2533" t="s">
        <v>12</v>
      </c>
      <c r="E2533" t="s">
        <v>391</v>
      </c>
      <c r="H2533" t="s">
        <v>392</v>
      </c>
      <c r="I2533" t="s">
        <v>2780</v>
      </c>
      <c r="L2533" t="s">
        <v>394</v>
      </c>
      <c r="M2533" t="s">
        <v>2777</v>
      </c>
    </row>
    <row r="2534" spans="1:13" x14ac:dyDescent="0.3">
      <c r="A2534" t="s">
        <v>2772</v>
      </c>
      <c r="B2534" t="s">
        <v>1138</v>
      </c>
      <c r="C2534" t="s">
        <v>11</v>
      </c>
      <c r="D2534" t="s">
        <v>12</v>
      </c>
      <c r="E2534" t="s">
        <v>391</v>
      </c>
      <c r="H2534" t="s">
        <v>392</v>
      </c>
      <c r="I2534" t="s">
        <v>2781</v>
      </c>
      <c r="L2534" t="s">
        <v>394</v>
      </c>
      <c r="M2534" t="s">
        <v>2777</v>
      </c>
    </row>
    <row r="2535" spans="1:13" x14ac:dyDescent="0.3">
      <c r="A2535" t="s">
        <v>2775</v>
      </c>
      <c r="B2535" t="s">
        <v>341</v>
      </c>
      <c r="C2535" t="s">
        <v>11</v>
      </c>
      <c r="D2535" t="s">
        <v>12</v>
      </c>
      <c r="E2535" t="s">
        <v>391</v>
      </c>
      <c r="H2535" t="s">
        <v>392</v>
      </c>
      <c r="I2535" t="s">
        <v>2782</v>
      </c>
      <c r="L2535" t="s">
        <v>394</v>
      </c>
      <c r="M2535" t="s">
        <v>2777</v>
      </c>
    </row>
    <row r="2536" spans="1:13" x14ac:dyDescent="0.3">
      <c r="A2536" t="s">
        <v>2773</v>
      </c>
      <c r="B2536" t="s">
        <v>1134</v>
      </c>
      <c r="C2536" t="s">
        <v>11</v>
      </c>
      <c r="D2536" t="s">
        <v>12</v>
      </c>
      <c r="E2536" t="s">
        <v>391</v>
      </c>
      <c r="H2536" t="s">
        <v>392</v>
      </c>
      <c r="I2536" t="s">
        <v>2783</v>
      </c>
      <c r="L2536" t="s">
        <v>394</v>
      </c>
      <c r="M2536" t="s">
        <v>2777</v>
      </c>
    </row>
    <row r="2537" spans="1:13" x14ac:dyDescent="0.3">
      <c r="A2537" t="s">
        <v>2774</v>
      </c>
      <c r="B2537" t="s">
        <v>1138</v>
      </c>
      <c r="C2537" t="s">
        <v>11</v>
      </c>
      <c r="D2537" t="s">
        <v>12</v>
      </c>
      <c r="E2537" t="s">
        <v>391</v>
      </c>
      <c r="H2537" t="s">
        <v>392</v>
      </c>
      <c r="I2537" t="s">
        <v>2784</v>
      </c>
      <c r="L2537" t="s">
        <v>394</v>
      </c>
      <c r="M2537" t="s">
        <v>2777</v>
      </c>
    </row>
    <row r="2538" spans="1:13" x14ac:dyDescent="0.3">
      <c r="A2538" t="s">
        <v>2771</v>
      </c>
      <c r="B2538" t="s">
        <v>2077</v>
      </c>
      <c r="C2538" t="s">
        <v>11</v>
      </c>
      <c r="D2538" t="s">
        <v>12</v>
      </c>
      <c r="E2538" t="s">
        <v>391</v>
      </c>
      <c r="H2538" t="s">
        <v>392</v>
      </c>
      <c r="I2538" t="s">
        <v>2128</v>
      </c>
      <c r="L2538" t="s">
        <v>394</v>
      </c>
      <c r="M2538" t="s">
        <v>2777</v>
      </c>
    </row>
    <row r="2539" spans="1:13" x14ac:dyDescent="0.3">
      <c r="A2539" t="s">
        <v>2785</v>
      </c>
      <c r="B2539" t="s">
        <v>2733</v>
      </c>
      <c r="C2539" t="s">
        <v>280</v>
      </c>
      <c r="D2539" t="s">
        <v>2786</v>
      </c>
      <c r="E2539" t="s">
        <v>2735</v>
      </c>
      <c r="H2539" t="s">
        <v>25</v>
      </c>
      <c r="I2539" t="s">
        <v>2736</v>
      </c>
    </row>
    <row r="2540" spans="1:13" x14ac:dyDescent="0.3">
      <c r="A2540" t="s">
        <v>2785</v>
      </c>
      <c r="B2540" t="s">
        <v>2733</v>
      </c>
      <c r="C2540" t="s">
        <v>308</v>
      </c>
      <c r="D2540" t="s">
        <v>2787</v>
      </c>
      <c r="E2540" t="s">
        <v>2738</v>
      </c>
      <c r="H2540" t="s">
        <v>25</v>
      </c>
      <c r="I2540" t="s">
        <v>2739</v>
      </c>
      <c r="L2540" t="s">
        <v>312</v>
      </c>
      <c r="M2540" t="s">
        <v>327</v>
      </c>
    </row>
    <row r="2541" spans="1:13" x14ac:dyDescent="0.3">
      <c r="A2541" t="s">
        <v>2785</v>
      </c>
      <c r="B2541" t="s">
        <v>2733</v>
      </c>
      <c r="C2541" t="s">
        <v>308</v>
      </c>
      <c r="D2541" t="s">
        <v>2788</v>
      </c>
      <c r="E2541" t="s">
        <v>527</v>
      </c>
      <c r="H2541" t="s">
        <v>25</v>
      </c>
      <c r="I2541" t="s">
        <v>2741</v>
      </c>
      <c r="L2541" t="s">
        <v>312</v>
      </c>
      <c r="M2541" t="s">
        <v>343</v>
      </c>
    </row>
    <row r="2542" spans="1:13" x14ac:dyDescent="0.3">
      <c r="A2542" t="s">
        <v>2785</v>
      </c>
      <c r="B2542" t="s">
        <v>2733</v>
      </c>
      <c r="C2542" t="s">
        <v>308</v>
      </c>
      <c r="D2542" t="s">
        <v>2789</v>
      </c>
      <c r="E2542" t="s">
        <v>2077</v>
      </c>
      <c r="H2542" t="s">
        <v>25</v>
      </c>
      <c r="I2542" t="s">
        <v>2078</v>
      </c>
      <c r="L2542" t="s">
        <v>312</v>
      </c>
      <c r="M2542" t="s">
        <v>1687</v>
      </c>
    </row>
    <row r="2543" spans="1:13" x14ac:dyDescent="0.3">
      <c r="A2543" t="s">
        <v>2785</v>
      </c>
      <c r="B2543" t="s">
        <v>2733</v>
      </c>
      <c r="C2543" t="s">
        <v>308</v>
      </c>
      <c r="D2543" t="s">
        <v>2790</v>
      </c>
      <c r="E2543" t="s">
        <v>1138</v>
      </c>
      <c r="H2543" t="s">
        <v>25</v>
      </c>
      <c r="I2543" t="s">
        <v>2065</v>
      </c>
      <c r="L2543" t="s">
        <v>312</v>
      </c>
      <c r="M2543" t="s">
        <v>317</v>
      </c>
    </row>
    <row r="2544" spans="1:13" x14ac:dyDescent="0.3">
      <c r="A2544" t="s">
        <v>2785</v>
      </c>
      <c r="B2544" t="s">
        <v>2733</v>
      </c>
      <c r="C2544" t="s">
        <v>308</v>
      </c>
      <c r="D2544" t="s">
        <v>2791</v>
      </c>
      <c r="E2544" t="s">
        <v>1134</v>
      </c>
      <c r="H2544" t="s">
        <v>25</v>
      </c>
      <c r="I2544" t="s">
        <v>2069</v>
      </c>
      <c r="L2544" t="s">
        <v>312</v>
      </c>
      <c r="M2544" t="s">
        <v>317</v>
      </c>
    </row>
    <row r="2545" spans="1:27" x14ac:dyDescent="0.3">
      <c r="A2545" t="s">
        <v>2785</v>
      </c>
      <c r="B2545" t="s">
        <v>2733</v>
      </c>
      <c r="C2545" t="s">
        <v>308</v>
      </c>
      <c r="D2545" t="s">
        <v>2792</v>
      </c>
      <c r="E2545" t="s">
        <v>1138</v>
      </c>
      <c r="H2545" t="s">
        <v>25</v>
      </c>
      <c r="I2545" t="s">
        <v>2746</v>
      </c>
      <c r="L2545" t="s">
        <v>312</v>
      </c>
      <c r="M2545" t="s">
        <v>317</v>
      </c>
    </row>
    <row r="2546" spans="1:27" x14ac:dyDescent="0.3">
      <c r="A2546" t="s">
        <v>2785</v>
      </c>
      <c r="B2546" t="s">
        <v>2733</v>
      </c>
      <c r="C2546" t="s">
        <v>308</v>
      </c>
      <c r="D2546" t="s">
        <v>2793</v>
      </c>
      <c r="E2546" t="s">
        <v>341</v>
      </c>
      <c r="H2546" t="s">
        <v>25</v>
      </c>
      <c r="I2546" t="s">
        <v>342</v>
      </c>
      <c r="L2546" t="s">
        <v>312</v>
      </c>
      <c r="M2546" t="s">
        <v>343</v>
      </c>
    </row>
    <row r="2547" spans="1:27" x14ac:dyDescent="0.3">
      <c r="A2547" t="s">
        <v>2785</v>
      </c>
      <c r="B2547" t="s">
        <v>2733</v>
      </c>
      <c r="C2547" t="s">
        <v>22</v>
      </c>
      <c r="D2547" t="s">
        <v>23</v>
      </c>
      <c r="E2547" t="s">
        <v>28</v>
      </c>
    </row>
    <row r="2548" spans="1:27" x14ac:dyDescent="0.3">
      <c r="A2548" t="s">
        <v>2785</v>
      </c>
      <c r="B2548" t="s">
        <v>2733</v>
      </c>
      <c r="C2548" t="s">
        <v>2748</v>
      </c>
      <c r="D2548">
        <v>1.5</v>
      </c>
      <c r="H2548" t="s">
        <v>312</v>
      </c>
      <c r="I2548" t="s">
        <v>385</v>
      </c>
    </row>
    <row r="2549" spans="1:27" x14ac:dyDescent="0.3">
      <c r="A2549" t="s">
        <v>2785</v>
      </c>
      <c r="B2549" t="s">
        <v>2733</v>
      </c>
      <c r="C2549" t="s">
        <v>378</v>
      </c>
      <c r="D2549">
        <v>165</v>
      </c>
      <c r="H2549" t="s">
        <v>312</v>
      </c>
      <c r="I2549" t="s">
        <v>327</v>
      </c>
    </row>
    <row r="2550" spans="1:27" x14ac:dyDescent="0.3">
      <c r="A2550" t="s">
        <v>2785</v>
      </c>
      <c r="B2550" t="s">
        <v>2733</v>
      </c>
      <c r="C2550" t="s">
        <v>380</v>
      </c>
      <c r="D2550" t="s">
        <v>278</v>
      </c>
      <c r="E2550" t="s">
        <v>279</v>
      </c>
      <c r="F2550" t="s">
        <v>25</v>
      </c>
      <c r="G2550" t="s">
        <v>2794</v>
      </c>
      <c r="J2550" t="s">
        <v>2089</v>
      </c>
      <c r="K2550" t="s">
        <v>2750</v>
      </c>
      <c r="N2550" t="s">
        <v>2751</v>
      </c>
      <c r="O2550">
        <v>2</v>
      </c>
      <c r="R2550" t="s">
        <v>2752</v>
      </c>
      <c r="S2550">
        <v>158</v>
      </c>
      <c r="V2550" t="s">
        <v>2753</v>
      </c>
      <c r="W2550" t="s">
        <v>2754</v>
      </c>
      <c r="Z2550" t="s">
        <v>2755</v>
      </c>
      <c r="AA2550" t="s">
        <v>2756</v>
      </c>
    </row>
    <row r="2551" spans="1:27" x14ac:dyDescent="0.3">
      <c r="A2551" t="s">
        <v>2785</v>
      </c>
      <c r="B2551" t="s">
        <v>2733</v>
      </c>
      <c r="C2551" t="s">
        <v>16</v>
      </c>
      <c r="D2551" t="s">
        <v>65</v>
      </c>
      <c r="E2551" t="s">
        <v>37</v>
      </c>
    </row>
    <row r="2552" spans="1:27" x14ac:dyDescent="0.3">
      <c r="A2552" t="s">
        <v>2785</v>
      </c>
      <c r="B2552" t="s">
        <v>2733</v>
      </c>
      <c r="C2552" t="s">
        <v>11</v>
      </c>
      <c r="D2552" t="s">
        <v>12</v>
      </c>
      <c r="E2552" t="s">
        <v>13</v>
      </c>
      <c r="H2552" t="s">
        <v>382</v>
      </c>
      <c r="I2552" t="s">
        <v>2795</v>
      </c>
      <c r="L2552" t="s">
        <v>14</v>
      </c>
      <c r="M2552" t="s">
        <v>2795</v>
      </c>
    </row>
    <row r="2553" spans="1:27" x14ac:dyDescent="0.3">
      <c r="A2553" t="s">
        <v>2788</v>
      </c>
      <c r="B2553" t="s">
        <v>527</v>
      </c>
      <c r="C2553" t="s">
        <v>11</v>
      </c>
      <c r="D2553" t="s">
        <v>12</v>
      </c>
      <c r="E2553" t="s">
        <v>391</v>
      </c>
      <c r="H2553" t="s">
        <v>392</v>
      </c>
      <c r="I2553" t="s">
        <v>2758</v>
      </c>
      <c r="L2553" t="s">
        <v>394</v>
      </c>
      <c r="M2553" t="s">
        <v>2795</v>
      </c>
    </row>
    <row r="2554" spans="1:27" x14ac:dyDescent="0.3">
      <c r="A2554" t="s">
        <v>2787</v>
      </c>
      <c r="B2554" t="s">
        <v>2738</v>
      </c>
      <c r="C2554" t="s">
        <v>11</v>
      </c>
      <c r="D2554" t="s">
        <v>12</v>
      </c>
      <c r="E2554" t="s">
        <v>391</v>
      </c>
      <c r="H2554" t="s">
        <v>392</v>
      </c>
      <c r="I2554" t="s">
        <v>2796</v>
      </c>
      <c r="L2554" t="s">
        <v>394</v>
      </c>
      <c r="M2554" t="s">
        <v>2795</v>
      </c>
    </row>
    <row r="2555" spans="1:27" x14ac:dyDescent="0.3">
      <c r="A2555" t="s">
        <v>2786</v>
      </c>
      <c r="B2555" t="s">
        <v>2735</v>
      </c>
      <c r="C2555" t="s">
        <v>308</v>
      </c>
      <c r="D2555" t="s">
        <v>2797</v>
      </c>
      <c r="E2555" t="s">
        <v>406</v>
      </c>
      <c r="H2555" t="s">
        <v>25</v>
      </c>
      <c r="I2555" t="s">
        <v>2761</v>
      </c>
      <c r="L2555" t="s">
        <v>312</v>
      </c>
      <c r="M2555" t="s">
        <v>404</v>
      </c>
    </row>
    <row r="2556" spans="1:27" x14ac:dyDescent="0.3">
      <c r="A2556" t="s">
        <v>2797</v>
      </c>
      <c r="B2556" t="s">
        <v>406</v>
      </c>
      <c r="C2556" t="s">
        <v>11</v>
      </c>
      <c r="D2556" t="s">
        <v>12</v>
      </c>
      <c r="E2556" t="s">
        <v>391</v>
      </c>
      <c r="H2556" t="s">
        <v>392</v>
      </c>
      <c r="I2556" t="s">
        <v>2798</v>
      </c>
      <c r="L2556" t="s">
        <v>394</v>
      </c>
      <c r="M2556" t="s">
        <v>2795</v>
      </c>
    </row>
    <row r="2557" spans="1:27" x14ac:dyDescent="0.3">
      <c r="A2557" t="s">
        <v>2790</v>
      </c>
      <c r="B2557" t="s">
        <v>1138</v>
      </c>
      <c r="C2557" t="s">
        <v>11</v>
      </c>
      <c r="D2557" t="s">
        <v>12</v>
      </c>
      <c r="E2557" t="s">
        <v>391</v>
      </c>
      <c r="H2557" t="s">
        <v>392</v>
      </c>
      <c r="I2557" t="s">
        <v>2799</v>
      </c>
      <c r="L2557" t="s">
        <v>394</v>
      </c>
      <c r="M2557" t="s">
        <v>2795</v>
      </c>
    </row>
    <row r="2558" spans="1:27" x14ac:dyDescent="0.3">
      <c r="A2558" t="s">
        <v>2793</v>
      </c>
      <c r="B2558" t="s">
        <v>341</v>
      </c>
      <c r="C2558" t="s">
        <v>11</v>
      </c>
      <c r="D2558" t="s">
        <v>12</v>
      </c>
      <c r="E2558" t="s">
        <v>391</v>
      </c>
      <c r="H2558" t="s">
        <v>392</v>
      </c>
      <c r="I2558" t="s">
        <v>2800</v>
      </c>
      <c r="L2558" t="s">
        <v>394</v>
      </c>
      <c r="M2558" t="s">
        <v>2795</v>
      </c>
    </row>
    <row r="2559" spans="1:27" x14ac:dyDescent="0.3">
      <c r="A2559" t="s">
        <v>2791</v>
      </c>
      <c r="B2559" t="s">
        <v>1134</v>
      </c>
      <c r="C2559" t="s">
        <v>11</v>
      </c>
      <c r="D2559" t="s">
        <v>12</v>
      </c>
      <c r="E2559" t="s">
        <v>391</v>
      </c>
      <c r="H2559" t="s">
        <v>392</v>
      </c>
      <c r="I2559" t="s">
        <v>2801</v>
      </c>
      <c r="L2559" t="s">
        <v>394</v>
      </c>
      <c r="M2559" t="s">
        <v>2795</v>
      </c>
    </row>
    <row r="2560" spans="1:27" x14ac:dyDescent="0.3">
      <c r="A2560" t="s">
        <v>2792</v>
      </c>
      <c r="B2560" t="s">
        <v>1138</v>
      </c>
      <c r="C2560" t="s">
        <v>11</v>
      </c>
      <c r="D2560" t="s">
        <v>12</v>
      </c>
      <c r="E2560" t="s">
        <v>391</v>
      </c>
      <c r="H2560" t="s">
        <v>392</v>
      </c>
      <c r="I2560" t="s">
        <v>2802</v>
      </c>
      <c r="L2560" t="s">
        <v>394</v>
      </c>
      <c r="M2560" t="s">
        <v>2795</v>
      </c>
    </row>
    <row r="2561" spans="1:27" x14ac:dyDescent="0.3">
      <c r="A2561" t="s">
        <v>2789</v>
      </c>
      <c r="B2561" t="s">
        <v>2077</v>
      </c>
      <c r="C2561" t="s">
        <v>11</v>
      </c>
      <c r="D2561" t="s">
        <v>12</v>
      </c>
      <c r="E2561" t="s">
        <v>391</v>
      </c>
      <c r="H2561" t="s">
        <v>392</v>
      </c>
      <c r="I2561" t="s">
        <v>2128</v>
      </c>
      <c r="L2561" t="s">
        <v>394</v>
      </c>
      <c r="M2561" t="s">
        <v>2795</v>
      </c>
    </row>
    <row r="2562" spans="1:27" x14ac:dyDescent="0.3">
      <c r="A2562" t="s">
        <v>2803</v>
      </c>
      <c r="B2562" t="s">
        <v>2733</v>
      </c>
      <c r="C2562" t="s">
        <v>280</v>
      </c>
      <c r="D2562" t="s">
        <v>2804</v>
      </c>
      <c r="E2562" t="s">
        <v>2735</v>
      </c>
      <c r="H2562" t="s">
        <v>25</v>
      </c>
      <c r="I2562" t="s">
        <v>2736</v>
      </c>
    </row>
    <row r="2563" spans="1:27" x14ac:dyDescent="0.3">
      <c r="A2563" t="s">
        <v>2803</v>
      </c>
      <c r="B2563" t="s">
        <v>2733</v>
      </c>
      <c r="C2563" t="s">
        <v>308</v>
      </c>
      <c r="D2563" t="s">
        <v>2805</v>
      </c>
      <c r="E2563" t="s">
        <v>2738</v>
      </c>
      <c r="H2563" t="s">
        <v>25</v>
      </c>
      <c r="I2563" t="s">
        <v>2739</v>
      </c>
      <c r="L2563" t="s">
        <v>312</v>
      </c>
      <c r="M2563" t="s">
        <v>327</v>
      </c>
    </row>
    <row r="2564" spans="1:27" x14ac:dyDescent="0.3">
      <c r="A2564" t="s">
        <v>2803</v>
      </c>
      <c r="B2564" t="s">
        <v>2733</v>
      </c>
      <c r="C2564" t="s">
        <v>308</v>
      </c>
      <c r="D2564" t="s">
        <v>2806</v>
      </c>
      <c r="E2564" t="s">
        <v>527</v>
      </c>
      <c r="H2564" t="s">
        <v>25</v>
      </c>
      <c r="I2564" t="s">
        <v>2741</v>
      </c>
      <c r="L2564" t="s">
        <v>312</v>
      </c>
      <c r="M2564" t="s">
        <v>343</v>
      </c>
    </row>
    <row r="2565" spans="1:27" x14ac:dyDescent="0.3">
      <c r="A2565" t="s">
        <v>2803</v>
      </c>
      <c r="B2565" t="s">
        <v>2733</v>
      </c>
      <c r="C2565" t="s">
        <v>308</v>
      </c>
      <c r="D2565" t="s">
        <v>2807</v>
      </c>
      <c r="E2565" t="s">
        <v>2077</v>
      </c>
      <c r="H2565" t="s">
        <v>25</v>
      </c>
      <c r="I2565" t="s">
        <v>2078</v>
      </c>
      <c r="L2565" t="s">
        <v>312</v>
      </c>
      <c r="M2565" t="s">
        <v>1687</v>
      </c>
    </row>
    <row r="2566" spans="1:27" x14ac:dyDescent="0.3">
      <c r="A2566" t="s">
        <v>2803</v>
      </c>
      <c r="B2566" t="s">
        <v>2733</v>
      </c>
      <c r="C2566" t="s">
        <v>308</v>
      </c>
      <c r="D2566" t="s">
        <v>2808</v>
      </c>
      <c r="E2566" t="s">
        <v>1138</v>
      </c>
      <c r="H2566" t="s">
        <v>25</v>
      </c>
      <c r="I2566" t="s">
        <v>2065</v>
      </c>
      <c r="L2566" t="s">
        <v>312</v>
      </c>
      <c r="M2566" t="s">
        <v>317</v>
      </c>
    </row>
    <row r="2567" spans="1:27" x14ac:dyDescent="0.3">
      <c r="A2567" t="s">
        <v>2803</v>
      </c>
      <c r="B2567" t="s">
        <v>2733</v>
      </c>
      <c r="C2567" t="s">
        <v>308</v>
      </c>
      <c r="D2567" t="s">
        <v>2809</v>
      </c>
      <c r="E2567" t="s">
        <v>1134</v>
      </c>
      <c r="H2567" t="s">
        <v>25</v>
      </c>
      <c r="I2567" t="s">
        <v>2069</v>
      </c>
      <c r="L2567" t="s">
        <v>312</v>
      </c>
      <c r="M2567" t="s">
        <v>317</v>
      </c>
    </row>
    <row r="2568" spans="1:27" x14ac:dyDescent="0.3">
      <c r="A2568" t="s">
        <v>2803</v>
      </c>
      <c r="B2568" t="s">
        <v>2733</v>
      </c>
      <c r="C2568" t="s">
        <v>308</v>
      </c>
      <c r="D2568" t="s">
        <v>2810</v>
      </c>
      <c r="E2568" t="s">
        <v>1138</v>
      </c>
      <c r="H2568" t="s">
        <v>25</v>
      </c>
      <c r="I2568" t="s">
        <v>2746</v>
      </c>
      <c r="L2568" t="s">
        <v>312</v>
      </c>
      <c r="M2568" t="s">
        <v>317</v>
      </c>
    </row>
    <row r="2569" spans="1:27" x14ac:dyDescent="0.3">
      <c r="A2569" t="s">
        <v>2803</v>
      </c>
      <c r="B2569" t="s">
        <v>2733</v>
      </c>
      <c r="C2569" t="s">
        <v>308</v>
      </c>
      <c r="D2569" t="s">
        <v>2811</v>
      </c>
      <c r="E2569" t="s">
        <v>341</v>
      </c>
      <c r="H2569" t="s">
        <v>25</v>
      </c>
      <c r="I2569" t="s">
        <v>342</v>
      </c>
      <c r="L2569" t="s">
        <v>312</v>
      </c>
      <c r="M2569" t="s">
        <v>343</v>
      </c>
    </row>
    <row r="2570" spans="1:27" x14ac:dyDescent="0.3">
      <c r="A2570" t="s">
        <v>2803</v>
      </c>
      <c r="B2570" t="s">
        <v>2733</v>
      </c>
      <c r="C2570" t="s">
        <v>22</v>
      </c>
      <c r="D2570" t="s">
        <v>23</v>
      </c>
      <c r="E2570" t="s">
        <v>28</v>
      </c>
    </row>
    <row r="2571" spans="1:27" x14ac:dyDescent="0.3">
      <c r="A2571" t="s">
        <v>2803</v>
      </c>
      <c r="B2571" t="s">
        <v>2733</v>
      </c>
      <c r="C2571" t="s">
        <v>2748</v>
      </c>
      <c r="D2571">
        <v>1.5</v>
      </c>
      <c r="H2571" t="s">
        <v>312</v>
      </c>
      <c r="I2571" t="s">
        <v>385</v>
      </c>
    </row>
    <row r="2572" spans="1:27" x14ac:dyDescent="0.3">
      <c r="A2572" t="s">
        <v>2803</v>
      </c>
      <c r="B2572" t="s">
        <v>2733</v>
      </c>
      <c r="C2572" t="s">
        <v>378</v>
      </c>
      <c r="D2572">
        <v>165</v>
      </c>
      <c r="H2572" t="s">
        <v>312</v>
      </c>
      <c r="I2572" t="s">
        <v>327</v>
      </c>
    </row>
    <row r="2573" spans="1:27" x14ac:dyDescent="0.3">
      <c r="A2573" t="s">
        <v>2803</v>
      </c>
      <c r="B2573" t="s">
        <v>2733</v>
      </c>
      <c r="C2573" t="s">
        <v>380</v>
      </c>
      <c r="D2573" t="s">
        <v>278</v>
      </c>
      <c r="E2573" t="s">
        <v>279</v>
      </c>
      <c r="F2573" t="s">
        <v>25</v>
      </c>
      <c r="G2573" t="s">
        <v>2812</v>
      </c>
      <c r="J2573" t="s">
        <v>2089</v>
      </c>
      <c r="K2573" t="s">
        <v>2750</v>
      </c>
      <c r="N2573" t="s">
        <v>2751</v>
      </c>
      <c r="O2573">
        <v>2</v>
      </c>
      <c r="R2573" t="s">
        <v>2752</v>
      </c>
      <c r="S2573">
        <v>158</v>
      </c>
      <c r="V2573" t="s">
        <v>2753</v>
      </c>
      <c r="W2573" t="s">
        <v>2754</v>
      </c>
      <c r="Z2573" t="s">
        <v>2755</v>
      </c>
      <c r="AA2573" t="s">
        <v>2756</v>
      </c>
    </row>
    <row r="2574" spans="1:27" x14ac:dyDescent="0.3">
      <c r="A2574" t="s">
        <v>2803</v>
      </c>
      <c r="B2574" t="s">
        <v>2733</v>
      </c>
      <c r="C2574" t="s">
        <v>16</v>
      </c>
      <c r="D2574" t="s">
        <v>65</v>
      </c>
      <c r="E2574" t="s">
        <v>37</v>
      </c>
    </row>
    <row r="2575" spans="1:27" x14ac:dyDescent="0.3">
      <c r="A2575" t="s">
        <v>2803</v>
      </c>
      <c r="B2575" t="s">
        <v>2733</v>
      </c>
      <c r="C2575" t="s">
        <v>11</v>
      </c>
      <c r="D2575" t="s">
        <v>12</v>
      </c>
      <c r="E2575" t="s">
        <v>13</v>
      </c>
      <c r="H2575" t="s">
        <v>382</v>
      </c>
      <c r="I2575" t="s">
        <v>2813</v>
      </c>
      <c r="L2575" t="s">
        <v>14</v>
      </c>
      <c r="M2575" t="s">
        <v>2813</v>
      </c>
    </row>
    <row r="2576" spans="1:27" x14ac:dyDescent="0.3">
      <c r="A2576" t="s">
        <v>2806</v>
      </c>
      <c r="B2576" t="s">
        <v>527</v>
      </c>
      <c r="C2576" t="s">
        <v>11</v>
      </c>
      <c r="D2576" t="s">
        <v>12</v>
      </c>
      <c r="E2576" t="s">
        <v>391</v>
      </c>
      <c r="H2576" t="s">
        <v>392</v>
      </c>
      <c r="I2576" t="s">
        <v>2758</v>
      </c>
      <c r="L2576" t="s">
        <v>394</v>
      </c>
      <c r="M2576" t="s">
        <v>2813</v>
      </c>
    </row>
    <row r="2577" spans="1:13" x14ac:dyDescent="0.3">
      <c r="A2577" t="s">
        <v>2805</v>
      </c>
      <c r="B2577" t="s">
        <v>2738</v>
      </c>
      <c r="C2577" t="s">
        <v>11</v>
      </c>
      <c r="D2577" t="s">
        <v>12</v>
      </c>
      <c r="E2577" t="s">
        <v>391</v>
      </c>
      <c r="H2577" t="s">
        <v>392</v>
      </c>
      <c r="I2577" t="s">
        <v>2814</v>
      </c>
      <c r="L2577" t="s">
        <v>394</v>
      </c>
      <c r="M2577" t="s">
        <v>2813</v>
      </c>
    </row>
    <row r="2578" spans="1:13" x14ac:dyDescent="0.3">
      <c r="A2578" t="s">
        <v>2804</v>
      </c>
      <c r="B2578" t="s">
        <v>2735</v>
      </c>
      <c r="C2578" t="s">
        <v>308</v>
      </c>
      <c r="D2578" t="s">
        <v>2815</v>
      </c>
      <c r="E2578" t="s">
        <v>406</v>
      </c>
      <c r="H2578" t="s">
        <v>25</v>
      </c>
      <c r="I2578" t="s">
        <v>2761</v>
      </c>
      <c r="L2578" t="s">
        <v>312</v>
      </c>
      <c r="M2578" t="s">
        <v>404</v>
      </c>
    </row>
    <row r="2579" spans="1:13" x14ac:dyDescent="0.3">
      <c r="A2579" t="s">
        <v>2815</v>
      </c>
      <c r="B2579" t="s">
        <v>406</v>
      </c>
      <c r="C2579" t="s">
        <v>11</v>
      </c>
      <c r="D2579" t="s">
        <v>12</v>
      </c>
      <c r="E2579" t="s">
        <v>391</v>
      </c>
      <c r="H2579" t="s">
        <v>392</v>
      </c>
      <c r="I2579" t="s">
        <v>2816</v>
      </c>
      <c r="L2579" t="s">
        <v>394</v>
      </c>
      <c r="M2579" t="s">
        <v>2813</v>
      </c>
    </row>
    <row r="2580" spans="1:13" x14ac:dyDescent="0.3">
      <c r="A2580" t="s">
        <v>2808</v>
      </c>
      <c r="B2580" t="s">
        <v>1138</v>
      </c>
      <c r="C2580" t="s">
        <v>11</v>
      </c>
      <c r="D2580" t="s">
        <v>12</v>
      </c>
      <c r="E2580" t="s">
        <v>391</v>
      </c>
      <c r="H2580" t="s">
        <v>392</v>
      </c>
      <c r="I2580" t="s">
        <v>2817</v>
      </c>
      <c r="L2580" t="s">
        <v>394</v>
      </c>
      <c r="M2580" t="s">
        <v>2813</v>
      </c>
    </row>
    <row r="2581" spans="1:13" x14ac:dyDescent="0.3">
      <c r="A2581" t="s">
        <v>2811</v>
      </c>
      <c r="B2581" t="s">
        <v>341</v>
      </c>
      <c r="C2581" t="s">
        <v>11</v>
      </c>
      <c r="D2581" t="s">
        <v>12</v>
      </c>
      <c r="E2581" t="s">
        <v>391</v>
      </c>
      <c r="H2581" t="s">
        <v>392</v>
      </c>
      <c r="I2581" t="s">
        <v>2818</v>
      </c>
      <c r="L2581" t="s">
        <v>394</v>
      </c>
      <c r="M2581" t="s">
        <v>2813</v>
      </c>
    </row>
    <row r="2582" spans="1:13" x14ac:dyDescent="0.3">
      <c r="A2582" t="s">
        <v>2809</v>
      </c>
      <c r="B2582" t="s">
        <v>1134</v>
      </c>
      <c r="C2582" t="s">
        <v>11</v>
      </c>
      <c r="D2582" t="s">
        <v>12</v>
      </c>
      <c r="E2582" t="s">
        <v>391</v>
      </c>
      <c r="H2582" t="s">
        <v>392</v>
      </c>
      <c r="I2582" t="s">
        <v>2819</v>
      </c>
      <c r="L2582" t="s">
        <v>394</v>
      </c>
      <c r="M2582" t="s">
        <v>2813</v>
      </c>
    </row>
    <row r="2583" spans="1:13" x14ac:dyDescent="0.3">
      <c r="A2583" t="s">
        <v>2810</v>
      </c>
      <c r="B2583" t="s">
        <v>1138</v>
      </c>
      <c r="C2583" t="s">
        <v>11</v>
      </c>
      <c r="D2583" t="s">
        <v>12</v>
      </c>
      <c r="E2583" t="s">
        <v>391</v>
      </c>
      <c r="H2583" t="s">
        <v>392</v>
      </c>
      <c r="I2583" t="s">
        <v>2820</v>
      </c>
      <c r="L2583" t="s">
        <v>394</v>
      </c>
      <c r="M2583" t="s">
        <v>2813</v>
      </c>
    </row>
    <row r="2584" spans="1:13" x14ac:dyDescent="0.3">
      <c r="A2584" t="s">
        <v>2807</v>
      </c>
      <c r="B2584" t="s">
        <v>2077</v>
      </c>
      <c r="C2584" t="s">
        <v>11</v>
      </c>
      <c r="D2584" t="s">
        <v>12</v>
      </c>
      <c r="E2584" t="s">
        <v>391</v>
      </c>
      <c r="H2584" t="s">
        <v>392</v>
      </c>
      <c r="I2584" t="s">
        <v>2128</v>
      </c>
      <c r="L2584" t="s">
        <v>394</v>
      </c>
      <c r="M2584" t="s">
        <v>2813</v>
      </c>
    </row>
    <row r="2585" spans="1:13" x14ac:dyDescent="0.3">
      <c r="A2585" t="s">
        <v>2821</v>
      </c>
      <c r="B2585" t="s">
        <v>2733</v>
      </c>
      <c r="C2585" t="s">
        <v>280</v>
      </c>
      <c r="D2585" t="s">
        <v>2822</v>
      </c>
      <c r="E2585" t="s">
        <v>2735</v>
      </c>
      <c r="H2585" t="s">
        <v>25</v>
      </c>
      <c r="I2585" t="s">
        <v>2736</v>
      </c>
    </row>
    <row r="2586" spans="1:13" x14ac:dyDescent="0.3">
      <c r="A2586" t="s">
        <v>2821</v>
      </c>
      <c r="B2586" t="s">
        <v>2733</v>
      </c>
      <c r="C2586" t="s">
        <v>308</v>
      </c>
      <c r="D2586" t="s">
        <v>2823</v>
      </c>
      <c r="E2586" t="s">
        <v>2738</v>
      </c>
      <c r="H2586" t="s">
        <v>25</v>
      </c>
      <c r="I2586" t="s">
        <v>2739</v>
      </c>
      <c r="L2586" t="s">
        <v>312</v>
      </c>
      <c r="M2586" t="s">
        <v>327</v>
      </c>
    </row>
    <row r="2587" spans="1:13" x14ac:dyDescent="0.3">
      <c r="A2587" t="s">
        <v>2821</v>
      </c>
      <c r="B2587" t="s">
        <v>2733</v>
      </c>
      <c r="C2587" t="s">
        <v>308</v>
      </c>
      <c r="D2587" t="s">
        <v>2824</v>
      </c>
      <c r="E2587" t="s">
        <v>527</v>
      </c>
      <c r="H2587" t="s">
        <v>25</v>
      </c>
      <c r="I2587" t="s">
        <v>2741</v>
      </c>
      <c r="L2587" t="s">
        <v>312</v>
      </c>
      <c r="M2587" t="s">
        <v>343</v>
      </c>
    </row>
    <row r="2588" spans="1:13" x14ac:dyDescent="0.3">
      <c r="A2588" t="s">
        <v>2821</v>
      </c>
      <c r="B2588" t="s">
        <v>2733</v>
      </c>
      <c r="C2588" t="s">
        <v>308</v>
      </c>
      <c r="D2588" t="s">
        <v>2825</v>
      </c>
      <c r="E2588" t="s">
        <v>2077</v>
      </c>
      <c r="H2588" t="s">
        <v>25</v>
      </c>
      <c r="I2588" t="s">
        <v>2078</v>
      </c>
      <c r="L2588" t="s">
        <v>312</v>
      </c>
      <c r="M2588" t="s">
        <v>1687</v>
      </c>
    </row>
    <row r="2589" spans="1:13" x14ac:dyDescent="0.3">
      <c r="A2589" t="s">
        <v>2821</v>
      </c>
      <c r="B2589" t="s">
        <v>2733</v>
      </c>
      <c r="C2589" t="s">
        <v>308</v>
      </c>
      <c r="D2589" t="s">
        <v>2826</v>
      </c>
      <c r="E2589" t="s">
        <v>1138</v>
      </c>
      <c r="H2589" t="s">
        <v>25</v>
      </c>
      <c r="I2589" t="s">
        <v>2065</v>
      </c>
      <c r="L2589" t="s">
        <v>312</v>
      </c>
      <c r="M2589" t="s">
        <v>317</v>
      </c>
    </row>
    <row r="2590" spans="1:13" x14ac:dyDescent="0.3">
      <c r="A2590" t="s">
        <v>2821</v>
      </c>
      <c r="B2590" t="s">
        <v>2733</v>
      </c>
      <c r="C2590" t="s">
        <v>308</v>
      </c>
      <c r="D2590" t="s">
        <v>2827</v>
      </c>
      <c r="E2590" t="s">
        <v>1134</v>
      </c>
      <c r="H2590" t="s">
        <v>25</v>
      </c>
      <c r="I2590" t="s">
        <v>2069</v>
      </c>
      <c r="L2590" t="s">
        <v>312</v>
      </c>
      <c r="M2590" t="s">
        <v>317</v>
      </c>
    </row>
    <row r="2591" spans="1:13" x14ac:dyDescent="0.3">
      <c r="A2591" t="s">
        <v>2821</v>
      </c>
      <c r="B2591" t="s">
        <v>2733</v>
      </c>
      <c r="C2591" t="s">
        <v>308</v>
      </c>
      <c r="D2591" t="s">
        <v>2828</v>
      </c>
      <c r="E2591" t="s">
        <v>1138</v>
      </c>
      <c r="H2591" t="s">
        <v>25</v>
      </c>
      <c r="I2591" t="s">
        <v>2746</v>
      </c>
      <c r="L2591" t="s">
        <v>312</v>
      </c>
      <c r="M2591" t="s">
        <v>317</v>
      </c>
    </row>
    <row r="2592" spans="1:13" x14ac:dyDescent="0.3">
      <c r="A2592" t="s">
        <v>2821</v>
      </c>
      <c r="B2592" t="s">
        <v>2733</v>
      </c>
      <c r="C2592" t="s">
        <v>308</v>
      </c>
      <c r="D2592" t="s">
        <v>2829</v>
      </c>
      <c r="E2592" t="s">
        <v>341</v>
      </c>
      <c r="H2592" t="s">
        <v>25</v>
      </c>
      <c r="I2592" t="s">
        <v>342</v>
      </c>
      <c r="L2592" t="s">
        <v>312</v>
      </c>
      <c r="M2592" t="s">
        <v>343</v>
      </c>
    </row>
    <row r="2593" spans="1:27" x14ac:dyDescent="0.3">
      <c r="A2593" t="s">
        <v>2821</v>
      </c>
      <c r="B2593" t="s">
        <v>2733</v>
      </c>
      <c r="C2593" t="s">
        <v>22</v>
      </c>
      <c r="D2593" t="s">
        <v>23</v>
      </c>
      <c r="E2593" t="s">
        <v>28</v>
      </c>
    </row>
    <row r="2594" spans="1:27" x14ac:dyDescent="0.3">
      <c r="A2594" t="s">
        <v>2821</v>
      </c>
      <c r="B2594" t="s">
        <v>2733</v>
      </c>
      <c r="C2594" t="s">
        <v>2748</v>
      </c>
      <c r="D2594">
        <v>1.5</v>
      </c>
      <c r="H2594" t="s">
        <v>312</v>
      </c>
      <c r="I2594" t="s">
        <v>385</v>
      </c>
    </row>
    <row r="2595" spans="1:27" x14ac:dyDescent="0.3">
      <c r="A2595" t="s">
        <v>2821</v>
      </c>
      <c r="B2595" t="s">
        <v>2733</v>
      </c>
      <c r="C2595" t="s">
        <v>378</v>
      </c>
      <c r="D2595">
        <v>205</v>
      </c>
      <c r="H2595" t="s">
        <v>312</v>
      </c>
      <c r="I2595" t="s">
        <v>327</v>
      </c>
    </row>
    <row r="2596" spans="1:27" x14ac:dyDescent="0.3">
      <c r="A2596" t="s">
        <v>2821</v>
      </c>
      <c r="B2596" t="s">
        <v>2733</v>
      </c>
      <c r="C2596" t="s">
        <v>380</v>
      </c>
      <c r="D2596" t="s">
        <v>554</v>
      </c>
      <c r="E2596" t="s">
        <v>279</v>
      </c>
      <c r="F2596" t="s">
        <v>25</v>
      </c>
      <c r="G2596" t="s">
        <v>2830</v>
      </c>
      <c r="J2596" t="s">
        <v>2089</v>
      </c>
      <c r="K2596" t="s">
        <v>2750</v>
      </c>
      <c r="N2596" t="s">
        <v>2751</v>
      </c>
      <c r="O2596">
        <v>2</v>
      </c>
      <c r="R2596" t="s">
        <v>2752</v>
      </c>
      <c r="S2596">
        <v>158</v>
      </c>
      <c r="V2596" t="s">
        <v>2753</v>
      </c>
      <c r="W2596" t="s">
        <v>2754</v>
      </c>
      <c r="Z2596" t="s">
        <v>2755</v>
      </c>
      <c r="AA2596" t="s">
        <v>2756</v>
      </c>
    </row>
    <row r="2597" spans="1:27" x14ac:dyDescent="0.3">
      <c r="A2597" t="s">
        <v>2821</v>
      </c>
      <c r="B2597" t="s">
        <v>2733</v>
      </c>
      <c r="C2597" t="s">
        <v>16</v>
      </c>
      <c r="D2597" t="s">
        <v>67</v>
      </c>
      <c r="E2597" t="s">
        <v>37</v>
      </c>
    </row>
    <row r="2598" spans="1:27" x14ac:dyDescent="0.3">
      <c r="A2598" t="s">
        <v>2821</v>
      </c>
      <c r="B2598" t="s">
        <v>2733</v>
      </c>
      <c r="C2598" t="s">
        <v>11</v>
      </c>
      <c r="D2598" t="s">
        <v>12</v>
      </c>
      <c r="E2598" t="s">
        <v>13</v>
      </c>
      <c r="H2598" t="s">
        <v>382</v>
      </c>
      <c r="I2598" t="s">
        <v>2831</v>
      </c>
      <c r="L2598" t="s">
        <v>14</v>
      </c>
      <c r="M2598" t="s">
        <v>2831</v>
      </c>
    </row>
    <row r="2599" spans="1:27" x14ac:dyDescent="0.3">
      <c r="A2599" t="s">
        <v>2824</v>
      </c>
      <c r="B2599" t="s">
        <v>527</v>
      </c>
      <c r="C2599" t="s">
        <v>11</v>
      </c>
      <c r="D2599" t="s">
        <v>12</v>
      </c>
      <c r="E2599" t="s">
        <v>391</v>
      </c>
      <c r="H2599" t="s">
        <v>392</v>
      </c>
      <c r="I2599" t="s">
        <v>2758</v>
      </c>
      <c r="L2599" t="s">
        <v>394</v>
      </c>
      <c r="M2599" t="s">
        <v>2831</v>
      </c>
    </row>
    <row r="2600" spans="1:27" x14ac:dyDescent="0.3">
      <c r="A2600" t="s">
        <v>2823</v>
      </c>
      <c r="B2600" t="s">
        <v>2738</v>
      </c>
      <c r="C2600" t="s">
        <v>11</v>
      </c>
      <c r="D2600" t="s">
        <v>12</v>
      </c>
      <c r="E2600" t="s">
        <v>391</v>
      </c>
      <c r="H2600" t="s">
        <v>392</v>
      </c>
      <c r="I2600" t="s">
        <v>2832</v>
      </c>
      <c r="L2600" t="s">
        <v>394</v>
      </c>
      <c r="M2600" t="s">
        <v>2831</v>
      </c>
    </row>
    <row r="2601" spans="1:27" x14ac:dyDescent="0.3">
      <c r="A2601" t="s">
        <v>2822</v>
      </c>
      <c r="B2601" t="s">
        <v>2735</v>
      </c>
      <c r="C2601" t="s">
        <v>308</v>
      </c>
      <c r="D2601" t="s">
        <v>2833</v>
      </c>
      <c r="E2601" t="s">
        <v>406</v>
      </c>
      <c r="H2601" t="s">
        <v>25</v>
      </c>
      <c r="I2601" t="s">
        <v>2761</v>
      </c>
      <c r="L2601" t="s">
        <v>312</v>
      </c>
      <c r="M2601" t="s">
        <v>404</v>
      </c>
    </row>
    <row r="2602" spans="1:27" x14ac:dyDescent="0.3">
      <c r="A2602" t="s">
        <v>2833</v>
      </c>
      <c r="B2602" t="s">
        <v>406</v>
      </c>
      <c r="C2602" t="s">
        <v>11</v>
      </c>
      <c r="D2602" t="s">
        <v>12</v>
      </c>
      <c r="E2602" t="s">
        <v>391</v>
      </c>
      <c r="H2602" t="s">
        <v>392</v>
      </c>
      <c r="I2602" t="s">
        <v>2834</v>
      </c>
      <c r="L2602" t="s">
        <v>394</v>
      </c>
      <c r="M2602" t="s">
        <v>2831</v>
      </c>
    </row>
    <row r="2603" spans="1:27" x14ac:dyDescent="0.3">
      <c r="A2603" t="s">
        <v>2826</v>
      </c>
      <c r="B2603" t="s">
        <v>1138</v>
      </c>
      <c r="C2603" t="s">
        <v>11</v>
      </c>
      <c r="D2603" t="s">
        <v>12</v>
      </c>
      <c r="E2603" t="s">
        <v>391</v>
      </c>
      <c r="H2603" t="s">
        <v>392</v>
      </c>
      <c r="I2603" t="s">
        <v>2835</v>
      </c>
      <c r="L2603" t="s">
        <v>394</v>
      </c>
      <c r="M2603" t="s">
        <v>2831</v>
      </c>
    </row>
    <row r="2604" spans="1:27" x14ac:dyDescent="0.3">
      <c r="A2604" t="s">
        <v>2829</v>
      </c>
      <c r="B2604" t="s">
        <v>341</v>
      </c>
      <c r="C2604" t="s">
        <v>11</v>
      </c>
      <c r="D2604" t="s">
        <v>12</v>
      </c>
      <c r="E2604" t="s">
        <v>391</v>
      </c>
      <c r="H2604" t="s">
        <v>392</v>
      </c>
      <c r="I2604" t="s">
        <v>2836</v>
      </c>
      <c r="L2604" t="s">
        <v>394</v>
      </c>
      <c r="M2604" t="s">
        <v>2831</v>
      </c>
    </row>
    <row r="2605" spans="1:27" x14ac:dyDescent="0.3">
      <c r="A2605" t="s">
        <v>2827</v>
      </c>
      <c r="B2605" t="s">
        <v>1134</v>
      </c>
      <c r="C2605" t="s">
        <v>11</v>
      </c>
      <c r="D2605" t="s">
        <v>12</v>
      </c>
      <c r="E2605" t="s">
        <v>391</v>
      </c>
      <c r="H2605" t="s">
        <v>392</v>
      </c>
      <c r="I2605" t="s">
        <v>2837</v>
      </c>
      <c r="L2605" t="s">
        <v>394</v>
      </c>
      <c r="M2605" t="s">
        <v>2831</v>
      </c>
    </row>
    <row r="2606" spans="1:27" x14ac:dyDescent="0.3">
      <c r="A2606" t="s">
        <v>2828</v>
      </c>
      <c r="B2606" t="s">
        <v>1138</v>
      </c>
      <c r="C2606" t="s">
        <v>11</v>
      </c>
      <c r="D2606" t="s">
        <v>12</v>
      </c>
      <c r="E2606" t="s">
        <v>391</v>
      </c>
      <c r="H2606" t="s">
        <v>392</v>
      </c>
      <c r="I2606" t="s">
        <v>2838</v>
      </c>
      <c r="L2606" t="s">
        <v>394</v>
      </c>
      <c r="M2606" t="s">
        <v>2831</v>
      </c>
    </row>
    <row r="2607" spans="1:27" x14ac:dyDescent="0.3">
      <c r="A2607" t="s">
        <v>2825</v>
      </c>
      <c r="B2607" t="s">
        <v>2077</v>
      </c>
      <c r="C2607" t="s">
        <v>11</v>
      </c>
      <c r="D2607" t="s">
        <v>12</v>
      </c>
      <c r="E2607" t="s">
        <v>391</v>
      </c>
      <c r="H2607" t="s">
        <v>392</v>
      </c>
      <c r="I2607" t="s">
        <v>2128</v>
      </c>
      <c r="L2607" t="s">
        <v>394</v>
      </c>
      <c r="M2607" t="s">
        <v>2831</v>
      </c>
    </row>
    <row r="2608" spans="1:27" x14ac:dyDescent="0.3">
      <c r="A2608" t="s">
        <v>2839</v>
      </c>
      <c r="B2608" t="s">
        <v>2733</v>
      </c>
      <c r="C2608" t="s">
        <v>280</v>
      </c>
      <c r="D2608" t="s">
        <v>2840</v>
      </c>
      <c r="E2608" t="s">
        <v>2735</v>
      </c>
      <c r="H2608" t="s">
        <v>25</v>
      </c>
      <c r="I2608" t="s">
        <v>2736</v>
      </c>
    </row>
    <row r="2609" spans="1:27" x14ac:dyDescent="0.3">
      <c r="A2609" t="s">
        <v>2839</v>
      </c>
      <c r="B2609" t="s">
        <v>2733</v>
      </c>
      <c r="C2609" t="s">
        <v>308</v>
      </c>
      <c r="D2609" t="s">
        <v>2841</v>
      </c>
      <c r="E2609" t="s">
        <v>2738</v>
      </c>
      <c r="H2609" t="s">
        <v>25</v>
      </c>
      <c r="I2609" t="s">
        <v>2739</v>
      </c>
      <c r="L2609" t="s">
        <v>312</v>
      </c>
      <c r="M2609" t="s">
        <v>327</v>
      </c>
    </row>
    <row r="2610" spans="1:27" x14ac:dyDescent="0.3">
      <c r="A2610" t="s">
        <v>2839</v>
      </c>
      <c r="B2610" t="s">
        <v>2733</v>
      </c>
      <c r="C2610" t="s">
        <v>308</v>
      </c>
      <c r="D2610" t="s">
        <v>2842</v>
      </c>
      <c r="E2610" t="s">
        <v>527</v>
      </c>
      <c r="H2610" t="s">
        <v>25</v>
      </c>
      <c r="I2610" t="s">
        <v>2741</v>
      </c>
      <c r="L2610" t="s">
        <v>312</v>
      </c>
      <c r="M2610" t="s">
        <v>343</v>
      </c>
    </row>
    <row r="2611" spans="1:27" x14ac:dyDescent="0.3">
      <c r="A2611" t="s">
        <v>2839</v>
      </c>
      <c r="B2611" t="s">
        <v>2733</v>
      </c>
      <c r="C2611" t="s">
        <v>308</v>
      </c>
      <c r="D2611" t="s">
        <v>2843</v>
      </c>
      <c r="E2611" t="s">
        <v>2077</v>
      </c>
      <c r="H2611" t="s">
        <v>25</v>
      </c>
      <c r="I2611" t="s">
        <v>2078</v>
      </c>
      <c r="L2611" t="s">
        <v>312</v>
      </c>
      <c r="M2611" t="s">
        <v>1687</v>
      </c>
    </row>
    <row r="2612" spans="1:27" x14ac:dyDescent="0.3">
      <c r="A2612" t="s">
        <v>2839</v>
      </c>
      <c r="B2612" t="s">
        <v>2733</v>
      </c>
      <c r="C2612" t="s">
        <v>308</v>
      </c>
      <c r="D2612" t="s">
        <v>2844</v>
      </c>
      <c r="E2612" t="s">
        <v>1138</v>
      </c>
      <c r="H2612" t="s">
        <v>25</v>
      </c>
      <c r="I2612" t="s">
        <v>2065</v>
      </c>
      <c r="L2612" t="s">
        <v>312</v>
      </c>
      <c r="M2612" t="s">
        <v>317</v>
      </c>
    </row>
    <row r="2613" spans="1:27" x14ac:dyDescent="0.3">
      <c r="A2613" t="s">
        <v>2839</v>
      </c>
      <c r="B2613" t="s">
        <v>2733</v>
      </c>
      <c r="C2613" t="s">
        <v>308</v>
      </c>
      <c r="D2613" t="s">
        <v>2845</v>
      </c>
      <c r="E2613" t="s">
        <v>1134</v>
      </c>
      <c r="H2613" t="s">
        <v>25</v>
      </c>
      <c r="I2613" t="s">
        <v>2069</v>
      </c>
      <c r="L2613" t="s">
        <v>312</v>
      </c>
      <c r="M2613" t="s">
        <v>317</v>
      </c>
    </row>
    <row r="2614" spans="1:27" x14ac:dyDescent="0.3">
      <c r="A2614" t="s">
        <v>2839</v>
      </c>
      <c r="B2614" t="s">
        <v>2733</v>
      </c>
      <c r="C2614" t="s">
        <v>308</v>
      </c>
      <c r="D2614" t="s">
        <v>2846</v>
      </c>
      <c r="E2614" t="s">
        <v>1138</v>
      </c>
      <c r="H2614" t="s">
        <v>25</v>
      </c>
      <c r="I2614" t="s">
        <v>2746</v>
      </c>
      <c r="L2614" t="s">
        <v>312</v>
      </c>
      <c r="M2614" t="s">
        <v>317</v>
      </c>
    </row>
    <row r="2615" spans="1:27" x14ac:dyDescent="0.3">
      <c r="A2615" t="s">
        <v>2839</v>
      </c>
      <c r="B2615" t="s">
        <v>2733</v>
      </c>
      <c r="C2615" t="s">
        <v>308</v>
      </c>
      <c r="D2615" t="s">
        <v>2847</v>
      </c>
      <c r="E2615" t="s">
        <v>341</v>
      </c>
      <c r="H2615" t="s">
        <v>25</v>
      </c>
      <c r="I2615" t="s">
        <v>342</v>
      </c>
      <c r="L2615" t="s">
        <v>312</v>
      </c>
      <c r="M2615" t="s">
        <v>343</v>
      </c>
    </row>
    <row r="2616" spans="1:27" x14ac:dyDescent="0.3">
      <c r="A2616" t="s">
        <v>2839</v>
      </c>
      <c r="B2616" t="s">
        <v>2733</v>
      </c>
      <c r="C2616" t="s">
        <v>22</v>
      </c>
      <c r="D2616" t="s">
        <v>23</v>
      </c>
      <c r="E2616" t="s">
        <v>28</v>
      </c>
    </row>
    <row r="2617" spans="1:27" x14ac:dyDescent="0.3">
      <c r="A2617" t="s">
        <v>2839</v>
      </c>
      <c r="B2617" t="s">
        <v>2733</v>
      </c>
      <c r="C2617" t="s">
        <v>2748</v>
      </c>
      <c r="D2617">
        <v>1.5</v>
      </c>
      <c r="H2617" t="s">
        <v>312</v>
      </c>
      <c r="I2617" t="s">
        <v>385</v>
      </c>
    </row>
    <row r="2618" spans="1:27" x14ac:dyDescent="0.3">
      <c r="A2618" t="s">
        <v>2839</v>
      </c>
      <c r="B2618" t="s">
        <v>2733</v>
      </c>
      <c r="C2618" t="s">
        <v>378</v>
      </c>
      <c r="D2618">
        <v>205</v>
      </c>
      <c r="H2618" t="s">
        <v>312</v>
      </c>
      <c r="I2618" t="s">
        <v>327</v>
      </c>
    </row>
    <row r="2619" spans="1:27" x14ac:dyDescent="0.3">
      <c r="A2619" t="s">
        <v>2839</v>
      </c>
      <c r="B2619" t="s">
        <v>2733</v>
      </c>
      <c r="C2619" t="s">
        <v>380</v>
      </c>
      <c r="D2619" t="s">
        <v>554</v>
      </c>
      <c r="E2619" t="s">
        <v>279</v>
      </c>
      <c r="F2619" t="s">
        <v>25</v>
      </c>
      <c r="G2619" t="s">
        <v>2848</v>
      </c>
      <c r="J2619" t="s">
        <v>2089</v>
      </c>
      <c r="K2619" t="s">
        <v>2750</v>
      </c>
      <c r="N2619" t="s">
        <v>2751</v>
      </c>
      <c r="O2619">
        <v>2</v>
      </c>
      <c r="R2619" t="s">
        <v>2752</v>
      </c>
      <c r="S2619">
        <v>158</v>
      </c>
      <c r="V2619" t="s">
        <v>2753</v>
      </c>
      <c r="W2619" t="s">
        <v>2754</v>
      </c>
      <c r="Z2619" t="s">
        <v>2755</v>
      </c>
      <c r="AA2619" t="s">
        <v>2756</v>
      </c>
    </row>
    <row r="2620" spans="1:27" x14ac:dyDescent="0.3">
      <c r="A2620" t="s">
        <v>2839</v>
      </c>
      <c r="B2620" t="s">
        <v>2733</v>
      </c>
      <c r="C2620" t="s">
        <v>16</v>
      </c>
      <c r="D2620" t="s">
        <v>67</v>
      </c>
      <c r="E2620" t="s">
        <v>37</v>
      </c>
    </row>
    <row r="2621" spans="1:27" x14ac:dyDescent="0.3">
      <c r="A2621" t="s">
        <v>2839</v>
      </c>
      <c r="B2621" t="s">
        <v>2733</v>
      </c>
      <c r="C2621" t="s">
        <v>11</v>
      </c>
      <c r="D2621" t="s">
        <v>12</v>
      </c>
      <c r="E2621" t="s">
        <v>13</v>
      </c>
      <c r="H2621" t="s">
        <v>382</v>
      </c>
      <c r="I2621" t="s">
        <v>2849</v>
      </c>
      <c r="L2621" t="s">
        <v>14</v>
      </c>
      <c r="M2621" t="s">
        <v>2849</v>
      </c>
    </row>
    <row r="2622" spans="1:27" x14ac:dyDescent="0.3">
      <c r="A2622" t="s">
        <v>2842</v>
      </c>
      <c r="B2622" t="s">
        <v>527</v>
      </c>
      <c r="C2622" t="s">
        <v>11</v>
      </c>
      <c r="D2622" t="s">
        <v>12</v>
      </c>
      <c r="E2622" t="s">
        <v>391</v>
      </c>
      <c r="H2622" t="s">
        <v>392</v>
      </c>
      <c r="I2622" t="s">
        <v>2758</v>
      </c>
      <c r="L2622" t="s">
        <v>394</v>
      </c>
      <c r="M2622" t="s">
        <v>2849</v>
      </c>
    </row>
    <row r="2623" spans="1:27" x14ac:dyDescent="0.3">
      <c r="A2623" t="s">
        <v>2841</v>
      </c>
      <c r="B2623" t="s">
        <v>2738</v>
      </c>
      <c r="C2623" t="s">
        <v>11</v>
      </c>
      <c r="D2623" t="s">
        <v>12</v>
      </c>
      <c r="E2623" t="s">
        <v>391</v>
      </c>
      <c r="H2623" t="s">
        <v>392</v>
      </c>
      <c r="I2623" t="s">
        <v>2850</v>
      </c>
      <c r="L2623" t="s">
        <v>394</v>
      </c>
      <c r="M2623" t="s">
        <v>2849</v>
      </c>
    </row>
    <row r="2624" spans="1:27" x14ac:dyDescent="0.3">
      <c r="A2624" t="s">
        <v>2840</v>
      </c>
      <c r="B2624" t="s">
        <v>2735</v>
      </c>
      <c r="C2624" t="s">
        <v>308</v>
      </c>
      <c r="D2624" t="s">
        <v>2851</v>
      </c>
      <c r="E2624" t="s">
        <v>406</v>
      </c>
      <c r="H2624" t="s">
        <v>25</v>
      </c>
      <c r="I2624" t="s">
        <v>2761</v>
      </c>
      <c r="L2624" t="s">
        <v>312</v>
      </c>
      <c r="M2624" t="s">
        <v>404</v>
      </c>
    </row>
    <row r="2625" spans="1:13" x14ac:dyDescent="0.3">
      <c r="A2625" t="s">
        <v>2851</v>
      </c>
      <c r="B2625" t="s">
        <v>406</v>
      </c>
      <c r="C2625" t="s">
        <v>11</v>
      </c>
      <c r="D2625" t="s">
        <v>12</v>
      </c>
      <c r="E2625" t="s">
        <v>391</v>
      </c>
      <c r="H2625" t="s">
        <v>392</v>
      </c>
      <c r="I2625" t="s">
        <v>2852</v>
      </c>
      <c r="L2625" t="s">
        <v>394</v>
      </c>
      <c r="M2625" t="s">
        <v>2849</v>
      </c>
    </row>
    <row r="2626" spans="1:13" x14ac:dyDescent="0.3">
      <c r="A2626" t="s">
        <v>2844</v>
      </c>
      <c r="B2626" t="s">
        <v>1138</v>
      </c>
      <c r="C2626" t="s">
        <v>11</v>
      </c>
      <c r="D2626" t="s">
        <v>12</v>
      </c>
      <c r="E2626" t="s">
        <v>391</v>
      </c>
      <c r="H2626" t="s">
        <v>392</v>
      </c>
      <c r="I2626" t="s">
        <v>2853</v>
      </c>
      <c r="L2626" t="s">
        <v>394</v>
      </c>
      <c r="M2626" t="s">
        <v>2849</v>
      </c>
    </row>
    <row r="2627" spans="1:13" x14ac:dyDescent="0.3">
      <c r="A2627" t="s">
        <v>2847</v>
      </c>
      <c r="B2627" t="s">
        <v>341</v>
      </c>
      <c r="C2627" t="s">
        <v>11</v>
      </c>
      <c r="D2627" t="s">
        <v>12</v>
      </c>
      <c r="E2627" t="s">
        <v>391</v>
      </c>
      <c r="H2627" t="s">
        <v>392</v>
      </c>
      <c r="I2627" t="s">
        <v>2854</v>
      </c>
      <c r="L2627" t="s">
        <v>394</v>
      </c>
      <c r="M2627" t="s">
        <v>2849</v>
      </c>
    </row>
    <row r="2628" spans="1:13" x14ac:dyDescent="0.3">
      <c r="A2628" t="s">
        <v>2845</v>
      </c>
      <c r="B2628" t="s">
        <v>1134</v>
      </c>
      <c r="C2628" t="s">
        <v>11</v>
      </c>
      <c r="D2628" t="s">
        <v>12</v>
      </c>
      <c r="E2628" t="s">
        <v>391</v>
      </c>
      <c r="H2628" t="s">
        <v>392</v>
      </c>
      <c r="I2628" t="s">
        <v>2855</v>
      </c>
      <c r="L2628" t="s">
        <v>394</v>
      </c>
      <c r="M2628" t="s">
        <v>2849</v>
      </c>
    </row>
    <row r="2629" spans="1:13" x14ac:dyDescent="0.3">
      <c r="A2629" t="s">
        <v>2846</v>
      </c>
      <c r="B2629" t="s">
        <v>1138</v>
      </c>
      <c r="C2629" t="s">
        <v>11</v>
      </c>
      <c r="D2629" t="s">
        <v>12</v>
      </c>
      <c r="E2629" t="s">
        <v>391</v>
      </c>
      <c r="H2629" t="s">
        <v>392</v>
      </c>
      <c r="I2629" t="s">
        <v>2856</v>
      </c>
      <c r="L2629" t="s">
        <v>394</v>
      </c>
      <c r="M2629" t="s">
        <v>2849</v>
      </c>
    </row>
    <row r="2630" spans="1:13" x14ac:dyDescent="0.3">
      <c r="A2630" t="s">
        <v>2843</v>
      </c>
      <c r="B2630" t="s">
        <v>2077</v>
      </c>
      <c r="C2630" t="s">
        <v>11</v>
      </c>
      <c r="D2630" t="s">
        <v>12</v>
      </c>
      <c r="E2630" t="s">
        <v>391</v>
      </c>
      <c r="H2630" t="s">
        <v>392</v>
      </c>
      <c r="I2630" t="s">
        <v>2128</v>
      </c>
      <c r="L2630" t="s">
        <v>394</v>
      </c>
      <c r="M2630" t="s">
        <v>2849</v>
      </c>
    </row>
    <row r="2631" spans="1:13" x14ac:dyDescent="0.3">
      <c r="A2631" t="s">
        <v>2857</v>
      </c>
      <c r="B2631" t="s">
        <v>2733</v>
      </c>
      <c r="C2631" t="s">
        <v>280</v>
      </c>
      <c r="D2631" t="s">
        <v>2858</v>
      </c>
      <c r="E2631" t="s">
        <v>2735</v>
      </c>
      <c r="H2631" t="s">
        <v>25</v>
      </c>
      <c r="I2631" t="s">
        <v>2736</v>
      </c>
    </row>
    <row r="2632" spans="1:13" x14ac:dyDescent="0.3">
      <c r="A2632" t="s">
        <v>2857</v>
      </c>
      <c r="B2632" t="s">
        <v>2733</v>
      </c>
      <c r="C2632" t="s">
        <v>308</v>
      </c>
      <c r="D2632" t="s">
        <v>2859</v>
      </c>
      <c r="E2632" t="s">
        <v>2738</v>
      </c>
      <c r="H2632" t="s">
        <v>25</v>
      </c>
      <c r="I2632" t="s">
        <v>2739</v>
      </c>
      <c r="L2632" t="s">
        <v>312</v>
      </c>
      <c r="M2632" t="s">
        <v>327</v>
      </c>
    </row>
    <row r="2633" spans="1:13" x14ac:dyDescent="0.3">
      <c r="A2633" t="s">
        <v>2857</v>
      </c>
      <c r="B2633" t="s">
        <v>2733</v>
      </c>
      <c r="C2633" t="s">
        <v>308</v>
      </c>
      <c r="D2633" t="s">
        <v>2860</v>
      </c>
      <c r="E2633" t="s">
        <v>527</v>
      </c>
      <c r="H2633" t="s">
        <v>25</v>
      </c>
      <c r="I2633" t="s">
        <v>2741</v>
      </c>
      <c r="L2633" t="s">
        <v>312</v>
      </c>
      <c r="M2633" t="s">
        <v>343</v>
      </c>
    </row>
    <row r="2634" spans="1:13" x14ac:dyDescent="0.3">
      <c r="A2634" t="s">
        <v>2857</v>
      </c>
      <c r="B2634" t="s">
        <v>2733</v>
      </c>
      <c r="C2634" t="s">
        <v>308</v>
      </c>
      <c r="D2634" t="s">
        <v>2861</v>
      </c>
      <c r="E2634" t="s">
        <v>2077</v>
      </c>
      <c r="H2634" t="s">
        <v>25</v>
      </c>
      <c r="I2634" t="s">
        <v>2078</v>
      </c>
      <c r="L2634" t="s">
        <v>312</v>
      </c>
      <c r="M2634" t="s">
        <v>1687</v>
      </c>
    </row>
    <row r="2635" spans="1:13" x14ac:dyDescent="0.3">
      <c r="A2635" t="s">
        <v>2857</v>
      </c>
      <c r="B2635" t="s">
        <v>2733</v>
      </c>
      <c r="C2635" t="s">
        <v>308</v>
      </c>
      <c r="D2635" t="s">
        <v>2862</v>
      </c>
      <c r="E2635" t="s">
        <v>1138</v>
      </c>
      <c r="H2635" t="s">
        <v>25</v>
      </c>
      <c r="I2635" t="s">
        <v>2065</v>
      </c>
      <c r="L2635" t="s">
        <v>312</v>
      </c>
      <c r="M2635" t="s">
        <v>317</v>
      </c>
    </row>
    <row r="2636" spans="1:13" x14ac:dyDescent="0.3">
      <c r="A2636" t="s">
        <v>2857</v>
      </c>
      <c r="B2636" t="s">
        <v>2733</v>
      </c>
      <c r="C2636" t="s">
        <v>308</v>
      </c>
      <c r="D2636" t="s">
        <v>2863</v>
      </c>
      <c r="E2636" t="s">
        <v>1134</v>
      </c>
      <c r="H2636" t="s">
        <v>25</v>
      </c>
      <c r="I2636" t="s">
        <v>2069</v>
      </c>
      <c r="L2636" t="s">
        <v>312</v>
      </c>
      <c r="M2636" t="s">
        <v>317</v>
      </c>
    </row>
    <row r="2637" spans="1:13" x14ac:dyDescent="0.3">
      <c r="A2637" t="s">
        <v>2857</v>
      </c>
      <c r="B2637" t="s">
        <v>2733</v>
      </c>
      <c r="C2637" t="s">
        <v>308</v>
      </c>
      <c r="D2637" t="s">
        <v>2864</v>
      </c>
      <c r="E2637" t="s">
        <v>1138</v>
      </c>
      <c r="H2637" t="s">
        <v>25</v>
      </c>
      <c r="I2637" t="s">
        <v>2746</v>
      </c>
      <c r="L2637" t="s">
        <v>312</v>
      </c>
      <c r="M2637" t="s">
        <v>317</v>
      </c>
    </row>
    <row r="2638" spans="1:13" x14ac:dyDescent="0.3">
      <c r="A2638" t="s">
        <v>2857</v>
      </c>
      <c r="B2638" t="s">
        <v>2733</v>
      </c>
      <c r="C2638" t="s">
        <v>308</v>
      </c>
      <c r="D2638" t="s">
        <v>2865</v>
      </c>
      <c r="E2638" t="s">
        <v>341</v>
      </c>
      <c r="H2638" t="s">
        <v>25</v>
      </c>
      <c r="I2638" t="s">
        <v>342</v>
      </c>
      <c r="L2638" t="s">
        <v>312</v>
      </c>
      <c r="M2638" t="s">
        <v>343</v>
      </c>
    </row>
    <row r="2639" spans="1:13" x14ac:dyDescent="0.3">
      <c r="A2639" t="s">
        <v>2857</v>
      </c>
      <c r="B2639" t="s">
        <v>2733</v>
      </c>
      <c r="C2639" t="s">
        <v>22</v>
      </c>
      <c r="D2639" t="s">
        <v>23</v>
      </c>
      <c r="E2639" t="s">
        <v>28</v>
      </c>
    </row>
    <row r="2640" spans="1:13" x14ac:dyDescent="0.3">
      <c r="A2640" t="s">
        <v>2857</v>
      </c>
      <c r="B2640" t="s">
        <v>2733</v>
      </c>
      <c r="C2640" t="s">
        <v>2748</v>
      </c>
      <c r="D2640">
        <v>1.5</v>
      </c>
      <c r="H2640" t="s">
        <v>312</v>
      </c>
      <c r="I2640" t="s">
        <v>385</v>
      </c>
    </row>
    <row r="2641" spans="1:27" x14ac:dyDescent="0.3">
      <c r="A2641" t="s">
        <v>2857</v>
      </c>
      <c r="B2641" t="s">
        <v>2733</v>
      </c>
      <c r="C2641" t="s">
        <v>378</v>
      </c>
      <c r="D2641">
        <v>205</v>
      </c>
      <c r="H2641" t="s">
        <v>312</v>
      </c>
      <c r="I2641" t="s">
        <v>327</v>
      </c>
    </row>
    <row r="2642" spans="1:27" x14ac:dyDescent="0.3">
      <c r="A2642" t="s">
        <v>2857</v>
      </c>
      <c r="B2642" t="s">
        <v>2733</v>
      </c>
      <c r="C2642" t="s">
        <v>380</v>
      </c>
      <c r="D2642" t="s">
        <v>554</v>
      </c>
      <c r="E2642" t="s">
        <v>279</v>
      </c>
      <c r="F2642" t="s">
        <v>25</v>
      </c>
      <c r="G2642" t="s">
        <v>2866</v>
      </c>
      <c r="J2642" t="s">
        <v>2089</v>
      </c>
      <c r="K2642" t="s">
        <v>2750</v>
      </c>
      <c r="N2642" t="s">
        <v>2751</v>
      </c>
      <c r="O2642">
        <v>1</v>
      </c>
      <c r="R2642" t="s">
        <v>2752</v>
      </c>
      <c r="S2642">
        <v>158</v>
      </c>
      <c r="V2642" t="s">
        <v>2753</v>
      </c>
      <c r="W2642" t="s">
        <v>2754</v>
      </c>
      <c r="Z2642" t="s">
        <v>2755</v>
      </c>
      <c r="AA2642" t="s">
        <v>2756</v>
      </c>
    </row>
    <row r="2643" spans="1:27" x14ac:dyDescent="0.3">
      <c r="A2643" t="s">
        <v>2857</v>
      </c>
      <c r="B2643" t="s">
        <v>2733</v>
      </c>
      <c r="C2643" t="s">
        <v>16</v>
      </c>
      <c r="D2643" t="s">
        <v>67</v>
      </c>
      <c r="E2643" t="s">
        <v>37</v>
      </c>
    </row>
    <row r="2644" spans="1:27" x14ac:dyDescent="0.3">
      <c r="A2644" t="s">
        <v>2857</v>
      </c>
      <c r="B2644" t="s">
        <v>2733</v>
      </c>
      <c r="C2644" t="s">
        <v>11</v>
      </c>
      <c r="D2644" t="s">
        <v>12</v>
      </c>
      <c r="E2644" t="s">
        <v>13</v>
      </c>
      <c r="H2644" t="s">
        <v>382</v>
      </c>
      <c r="I2644" t="s">
        <v>2867</v>
      </c>
      <c r="L2644" t="s">
        <v>14</v>
      </c>
      <c r="M2644" t="s">
        <v>2867</v>
      </c>
    </row>
    <row r="2645" spans="1:27" x14ac:dyDescent="0.3">
      <c r="A2645" t="s">
        <v>2860</v>
      </c>
      <c r="B2645" t="s">
        <v>527</v>
      </c>
      <c r="C2645" t="s">
        <v>11</v>
      </c>
      <c r="D2645" t="s">
        <v>12</v>
      </c>
      <c r="E2645" t="s">
        <v>391</v>
      </c>
      <c r="H2645" t="s">
        <v>392</v>
      </c>
      <c r="I2645" t="s">
        <v>2758</v>
      </c>
      <c r="L2645" t="s">
        <v>394</v>
      </c>
      <c r="M2645" t="s">
        <v>2867</v>
      </c>
    </row>
    <row r="2646" spans="1:27" x14ac:dyDescent="0.3">
      <c r="A2646" t="s">
        <v>2859</v>
      </c>
      <c r="B2646" t="s">
        <v>2738</v>
      </c>
      <c r="C2646" t="s">
        <v>11</v>
      </c>
      <c r="D2646" t="s">
        <v>12</v>
      </c>
      <c r="E2646" t="s">
        <v>391</v>
      </c>
      <c r="H2646" t="s">
        <v>392</v>
      </c>
      <c r="I2646" t="s">
        <v>2868</v>
      </c>
      <c r="L2646" t="s">
        <v>394</v>
      </c>
      <c r="M2646" t="s">
        <v>2867</v>
      </c>
    </row>
    <row r="2647" spans="1:27" x14ac:dyDescent="0.3">
      <c r="A2647" t="s">
        <v>2858</v>
      </c>
      <c r="B2647" t="s">
        <v>2735</v>
      </c>
      <c r="C2647" t="s">
        <v>308</v>
      </c>
      <c r="D2647" t="s">
        <v>2869</v>
      </c>
      <c r="E2647" t="s">
        <v>406</v>
      </c>
      <c r="H2647" t="s">
        <v>25</v>
      </c>
      <c r="I2647" t="s">
        <v>2761</v>
      </c>
      <c r="L2647" t="s">
        <v>312</v>
      </c>
      <c r="M2647" t="s">
        <v>404</v>
      </c>
    </row>
    <row r="2648" spans="1:27" x14ac:dyDescent="0.3">
      <c r="A2648" t="s">
        <v>2869</v>
      </c>
      <c r="B2648" t="s">
        <v>406</v>
      </c>
      <c r="C2648" t="s">
        <v>11</v>
      </c>
      <c r="D2648" t="s">
        <v>12</v>
      </c>
      <c r="E2648" t="s">
        <v>391</v>
      </c>
      <c r="H2648" t="s">
        <v>392</v>
      </c>
      <c r="I2648" t="s">
        <v>2870</v>
      </c>
      <c r="L2648" t="s">
        <v>394</v>
      </c>
      <c r="M2648" t="s">
        <v>2867</v>
      </c>
    </row>
    <row r="2649" spans="1:27" x14ac:dyDescent="0.3">
      <c r="A2649" t="s">
        <v>2862</v>
      </c>
      <c r="B2649" t="s">
        <v>1138</v>
      </c>
      <c r="C2649" t="s">
        <v>11</v>
      </c>
      <c r="D2649" t="s">
        <v>12</v>
      </c>
      <c r="E2649" t="s">
        <v>391</v>
      </c>
      <c r="H2649" t="s">
        <v>392</v>
      </c>
      <c r="I2649" t="s">
        <v>2871</v>
      </c>
      <c r="L2649" t="s">
        <v>394</v>
      </c>
      <c r="M2649" t="s">
        <v>2867</v>
      </c>
    </row>
    <row r="2650" spans="1:27" x14ac:dyDescent="0.3">
      <c r="A2650" t="s">
        <v>2865</v>
      </c>
      <c r="B2650" t="s">
        <v>341</v>
      </c>
      <c r="C2650" t="s">
        <v>11</v>
      </c>
      <c r="D2650" t="s">
        <v>12</v>
      </c>
      <c r="E2650" t="s">
        <v>391</v>
      </c>
      <c r="H2650" t="s">
        <v>392</v>
      </c>
      <c r="I2650" t="s">
        <v>2872</v>
      </c>
      <c r="L2650" t="s">
        <v>394</v>
      </c>
      <c r="M2650" t="s">
        <v>2867</v>
      </c>
    </row>
    <row r="2651" spans="1:27" x14ac:dyDescent="0.3">
      <c r="A2651" t="s">
        <v>2863</v>
      </c>
      <c r="B2651" t="s">
        <v>1134</v>
      </c>
      <c r="C2651" t="s">
        <v>11</v>
      </c>
      <c r="D2651" t="s">
        <v>12</v>
      </c>
      <c r="E2651" t="s">
        <v>391</v>
      </c>
      <c r="H2651" t="s">
        <v>392</v>
      </c>
      <c r="I2651" t="s">
        <v>2873</v>
      </c>
      <c r="L2651" t="s">
        <v>394</v>
      </c>
      <c r="M2651" t="s">
        <v>2867</v>
      </c>
    </row>
    <row r="2652" spans="1:27" x14ac:dyDescent="0.3">
      <c r="A2652" t="s">
        <v>2864</v>
      </c>
      <c r="B2652" t="s">
        <v>1138</v>
      </c>
      <c r="C2652" t="s">
        <v>11</v>
      </c>
      <c r="D2652" t="s">
        <v>12</v>
      </c>
      <c r="E2652" t="s">
        <v>391</v>
      </c>
      <c r="H2652" t="s">
        <v>392</v>
      </c>
      <c r="I2652" t="s">
        <v>2874</v>
      </c>
      <c r="L2652" t="s">
        <v>394</v>
      </c>
      <c r="M2652" t="s">
        <v>2867</v>
      </c>
    </row>
    <row r="2653" spans="1:27" x14ac:dyDescent="0.3">
      <c r="A2653" t="s">
        <v>2861</v>
      </c>
      <c r="B2653" t="s">
        <v>2077</v>
      </c>
      <c r="C2653" t="s">
        <v>11</v>
      </c>
      <c r="D2653" t="s">
        <v>12</v>
      </c>
      <c r="E2653" t="s">
        <v>391</v>
      </c>
      <c r="H2653" t="s">
        <v>392</v>
      </c>
      <c r="I2653" t="s">
        <v>2128</v>
      </c>
      <c r="L2653" t="s">
        <v>394</v>
      </c>
      <c r="M2653" t="s">
        <v>2867</v>
      </c>
    </row>
    <row r="2654" spans="1:27" x14ac:dyDescent="0.3">
      <c r="A2654" t="s">
        <v>2875</v>
      </c>
      <c r="B2654" t="s">
        <v>2733</v>
      </c>
      <c r="C2654" t="s">
        <v>280</v>
      </c>
      <c r="D2654" t="s">
        <v>2876</v>
      </c>
      <c r="E2654" t="s">
        <v>2735</v>
      </c>
      <c r="H2654" t="s">
        <v>25</v>
      </c>
      <c r="I2654" t="s">
        <v>2736</v>
      </c>
    </row>
    <row r="2655" spans="1:27" x14ac:dyDescent="0.3">
      <c r="A2655" t="s">
        <v>2875</v>
      </c>
      <c r="B2655" t="s">
        <v>2733</v>
      </c>
      <c r="C2655" t="s">
        <v>308</v>
      </c>
      <c r="D2655" t="s">
        <v>2877</v>
      </c>
      <c r="E2655" t="s">
        <v>2738</v>
      </c>
      <c r="H2655" t="s">
        <v>25</v>
      </c>
      <c r="I2655" t="s">
        <v>2739</v>
      </c>
      <c r="L2655" t="s">
        <v>312</v>
      </c>
      <c r="M2655" t="s">
        <v>327</v>
      </c>
    </row>
    <row r="2656" spans="1:27" x14ac:dyDescent="0.3">
      <c r="A2656" t="s">
        <v>2875</v>
      </c>
      <c r="B2656" t="s">
        <v>2733</v>
      </c>
      <c r="C2656" t="s">
        <v>308</v>
      </c>
      <c r="D2656" t="s">
        <v>2878</v>
      </c>
      <c r="E2656" t="s">
        <v>527</v>
      </c>
      <c r="H2656" t="s">
        <v>25</v>
      </c>
      <c r="I2656" t="s">
        <v>2741</v>
      </c>
      <c r="L2656" t="s">
        <v>312</v>
      </c>
      <c r="M2656" t="s">
        <v>343</v>
      </c>
    </row>
    <row r="2657" spans="1:27" x14ac:dyDescent="0.3">
      <c r="A2657" t="s">
        <v>2875</v>
      </c>
      <c r="B2657" t="s">
        <v>2733</v>
      </c>
      <c r="C2657" t="s">
        <v>308</v>
      </c>
      <c r="D2657" t="s">
        <v>2879</v>
      </c>
      <c r="E2657" t="s">
        <v>2077</v>
      </c>
      <c r="H2657" t="s">
        <v>25</v>
      </c>
      <c r="I2657" t="s">
        <v>2078</v>
      </c>
      <c r="L2657" t="s">
        <v>312</v>
      </c>
      <c r="M2657" t="s">
        <v>1687</v>
      </c>
    </row>
    <row r="2658" spans="1:27" x14ac:dyDescent="0.3">
      <c r="A2658" t="s">
        <v>2875</v>
      </c>
      <c r="B2658" t="s">
        <v>2733</v>
      </c>
      <c r="C2658" t="s">
        <v>308</v>
      </c>
      <c r="D2658" t="s">
        <v>2880</v>
      </c>
      <c r="E2658" t="s">
        <v>1138</v>
      </c>
      <c r="H2658" t="s">
        <v>25</v>
      </c>
      <c r="I2658" t="s">
        <v>2065</v>
      </c>
      <c r="L2658" t="s">
        <v>312</v>
      </c>
      <c r="M2658" t="s">
        <v>317</v>
      </c>
    </row>
    <row r="2659" spans="1:27" x14ac:dyDescent="0.3">
      <c r="A2659" t="s">
        <v>2875</v>
      </c>
      <c r="B2659" t="s">
        <v>2733</v>
      </c>
      <c r="C2659" t="s">
        <v>308</v>
      </c>
      <c r="D2659" t="s">
        <v>2881</v>
      </c>
      <c r="E2659" t="s">
        <v>1134</v>
      </c>
      <c r="H2659" t="s">
        <v>25</v>
      </c>
      <c r="I2659" t="s">
        <v>2069</v>
      </c>
      <c r="L2659" t="s">
        <v>312</v>
      </c>
      <c r="M2659" t="s">
        <v>317</v>
      </c>
    </row>
    <row r="2660" spans="1:27" x14ac:dyDescent="0.3">
      <c r="A2660" t="s">
        <v>2875</v>
      </c>
      <c r="B2660" t="s">
        <v>2733</v>
      </c>
      <c r="C2660" t="s">
        <v>308</v>
      </c>
      <c r="D2660" t="s">
        <v>2882</v>
      </c>
      <c r="E2660" t="s">
        <v>1138</v>
      </c>
      <c r="H2660" t="s">
        <v>25</v>
      </c>
      <c r="I2660" t="s">
        <v>2746</v>
      </c>
      <c r="L2660" t="s">
        <v>312</v>
      </c>
      <c r="M2660" t="s">
        <v>317</v>
      </c>
    </row>
    <row r="2661" spans="1:27" x14ac:dyDescent="0.3">
      <c r="A2661" t="s">
        <v>2875</v>
      </c>
      <c r="B2661" t="s">
        <v>2733</v>
      </c>
      <c r="C2661" t="s">
        <v>308</v>
      </c>
      <c r="D2661" t="s">
        <v>2883</v>
      </c>
      <c r="E2661" t="s">
        <v>341</v>
      </c>
      <c r="H2661" t="s">
        <v>25</v>
      </c>
      <c r="I2661" t="s">
        <v>342</v>
      </c>
      <c r="L2661" t="s">
        <v>312</v>
      </c>
      <c r="M2661" t="s">
        <v>343</v>
      </c>
    </row>
    <row r="2662" spans="1:27" x14ac:dyDescent="0.3">
      <c r="A2662" t="s">
        <v>2875</v>
      </c>
      <c r="B2662" t="s">
        <v>2733</v>
      </c>
      <c r="C2662" t="s">
        <v>22</v>
      </c>
      <c r="D2662" t="s">
        <v>23</v>
      </c>
      <c r="E2662" t="s">
        <v>28</v>
      </c>
    </row>
    <row r="2663" spans="1:27" x14ac:dyDescent="0.3">
      <c r="A2663" t="s">
        <v>2875</v>
      </c>
      <c r="B2663" t="s">
        <v>2733</v>
      </c>
      <c r="C2663" t="s">
        <v>2748</v>
      </c>
      <c r="D2663">
        <v>2</v>
      </c>
      <c r="H2663" t="s">
        <v>312</v>
      </c>
      <c r="I2663" t="s">
        <v>385</v>
      </c>
    </row>
    <row r="2664" spans="1:27" x14ac:dyDescent="0.3">
      <c r="A2664" t="s">
        <v>2875</v>
      </c>
      <c r="B2664" t="s">
        <v>2733</v>
      </c>
      <c r="C2664" t="s">
        <v>378</v>
      </c>
      <c r="D2664">
        <v>30</v>
      </c>
      <c r="H2664" t="s">
        <v>312</v>
      </c>
      <c r="I2664" t="s">
        <v>327</v>
      </c>
    </row>
    <row r="2665" spans="1:27" x14ac:dyDescent="0.3">
      <c r="A2665" t="s">
        <v>2875</v>
      </c>
      <c r="B2665" t="s">
        <v>2733</v>
      </c>
      <c r="C2665" t="s">
        <v>380</v>
      </c>
      <c r="D2665" t="s">
        <v>554</v>
      </c>
      <c r="E2665" t="s">
        <v>279</v>
      </c>
      <c r="F2665" t="s">
        <v>25</v>
      </c>
      <c r="G2665" t="s">
        <v>2884</v>
      </c>
      <c r="J2665" t="s">
        <v>2089</v>
      </c>
      <c r="K2665" t="s">
        <v>2750</v>
      </c>
      <c r="N2665" t="s">
        <v>2751</v>
      </c>
      <c r="O2665">
        <v>3</v>
      </c>
      <c r="R2665" t="s">
        <v>2752</v>
      </c>
      <c r="S2665">
        <v>198</v>
      </c>
      <c r="V2665" t="s">
        <v>2753</v>
      </c>
      <c r="W2665" t="s">
        <v>2754</v>
      </c>
      <c r="Z2665" t="s">
        <v>2755</v>
      </c>
      <c r="AA2665" t="s">
        <v>2756</v>
      </c>
    </row>
    <row r="2666" spans="1:27" x14ac:dyDescent="0.3">
      <c r="A2666" t="s">
        <v>2875</v>
      </c>
      <c r="B2666" t="s">
        <v>2733</v>
      </c>
      <c r="C2666" t="s">
        <v>16</v>
      </c>
      <c r="D2666" t="s">
        <v>85</v>
      </c>
      <c r="E2666" t="s">
        <v>37</v>
      </c>
    </row>
    <row r="2667" spans="1:27" x14ac:dyDescent="0.3">
      <c r="A2667" t="s">
        <v>2875</v>
      </c>
      <c r="B2667" t="s">
        <v>2733</v>
      </c>
      <c r="C2667" t="s">
        <v>11</v>
      </c>
      <c r="D2667" t="s">
        <v>12</v>
      </c>
      <c r="E2667" t="s">
        <v>13</v>
      </c>
      <c r="H2667" t="s">
        <v>382</v>
      </c>
      <c r="I2667" t="s">
        <v>2885</v>
      </c>
      <c r="L2667" t="s">
        <v>14</v>
      </c>
      <c r="M2667" t="s">
        <v>2885</v>
      </c>
    </row>
    <row r="2668" spans="1:27" x14ac:dyDescent="0.3">
      <c r="A2668" t="s">
        <v>2878</v>
      </c>
      <c r="B2668" t="s">
        <v>527</v>
      </c>
      <c r="C2668" t="s">
        <v>11</v>
      </c>
      <c r="D2668" t="s">
        <v>12</v>
      </c>
      <c r="E2668" t="s">
        <v>391</v>
      </c>
      <c r="H2668" t="s">
        <v>392</v>
      </c>
      <c r="I2668" t="s">
        <v>2758</v>
      </c>
      <c r="L2668" t="s">
        <v>394</v>
      </c>
      <c r="M2668" t="s">
        <v>2885</v>
      </c>
    </row>
    <row r="2669" spans="1:27" x14ac:dyDescent="0.3">
      <c r="A2669" t="s">
        <v>2877</v>
      </c>
      <c r="B2669" t="s">
        <v>2738</v>
      </c>
      <c r="C2669" t="s">
        <v>11</v>
      </c>
      <c r="D2669" t="s">
        <v>12</v>
      </c>
      <c r="E2669" t="s">
        <v>391</v>
      </c>
      <c r="H2669" t="s">
        <v>392</v>
      </c>
      <c r="I2669" t="s">
        <v>2886</v>
      </c>
      <c r="L2669" t="s">
        <v>394</v>
      </c>
      <c r="M2669" t="s">
        <v>2885</v>
      </c>
    </row>
    <row r="2670" spans="1:27" x14ac:dyDescent="0.3">
      <c r="A2670" t="s">
        <v>2876</v>
      </c>
      <c r="B2670" t="s">
        <v>2735</v>
      </c>
      <c r="C2670" t="s">
        <v>308</v>
      </c>
      <c r="D2670" t="s">
        <v>2887</v>
      </c>
      <c r="E2670" t="s">
        <v>406</v>
      </c>
      <c r="H2670" t="s">
        <v>25</v>
      </c>
      <c r="I2670" t="s">
        <v>2761</v>
      </c>
      <c r="L2670" t="s">
        <v>312</v>
      </c>
      <c r="M2670" t="s">
        <v>404</v>
      </c>
    </row>
    <row r="2671" spans="1:27" x14ac:dyDescent="0.3">
      <c r="A2671" t="s">
        <v>2887</v>
      </c>
      <c r="B2671" t="s">
        <v>406</v>
      </c>
      <c r="C2671" t="s">
        <v>11</v>
      </c>
      <c r="D2671" t="s">
        <v>12</v>
      </c>
      <c r="E2671" t="s">
        <v>391</v>
      </c>
      <c r="H2671" t="s">
        <v>392</v>
      </c>
      <c r="I2671" t="s">
        <v>2888</v>
      </c>
      <c r="L2671" t="s">
        <v>394</v>
      </c>
      <c r="M2671" t="s">
        <v>2885</v>
      </c>
    </row>
    <row r="2672" spans="1:27" x14ac:dyDescent="0.3">
      <c r="A2672" t="s">
        <v>2880</v>
      </c>
      <c r="B2672" t="s">
        <v>1138</v>
      </c>
      <c r="C2672" t="s">
        <v>11</v>
      </c>
      <c r="D2672" t="s">
        <v>12</v>
      </c>
      <c r="E2672" t="s">
        <v>391</v>
      </c>
      <c r="H2672" t="s">
        <v>392</v>
      </c>
      <c r="I2672" t="s">
        <v>2889</v>
      </c>
      <c r="L2672" t="s">
        <v>394</v>
      </c>
      <c r="M2672" t="s">
        <v>2885</v>
      </c>
    </row>
    <row r="2673" spans="1:27" x14ac:dyDescent="0.3">
      <c r="A2673" t="s">
        <v>2883</v>
      </c>
      <c r="B2673" t="s">
        <v>341</v>
      </c>
      <c r="C2673" t="s">
        <v>11</v>
      </c>
      <c r="D2673" t="s">
        <v>12</v>
      </c>
      <c r="E2673" t="s">
        <v>391</v>
      </c>
      <c r="H2673" t="s">
        <v>392</v>
      </c>
      <c r="I2673" t="s">
        <v>2890</v>
      </c>
      <c r="L2673" t="s">
        <v>394</v>
      </c>
      <c r="M2673" t="s">
        <v>2885</v>
      </c>
    </row>
    <row r="2674" spans="1:27" x14ac:dyDescent="0.3">
      <c r="A2674" t="s">
        <v>2881</v>
      </c>
      <c r="B2674" t="s">
        <v>1134</v>
      </c>
      <c r="C2674" t="s">
        <v>11</v>
      </c>
      <c r="D2674" t="s">
        <v>12</v>
      </c>
      <c r="E2674" t="s">
        <v>391</v>
      </c>
      <c r="H2674" t="s">
        <v>392</v>
      </c>
      <c r="I2674" t="s">
        <v>2891</v>
      </c>
      <c r="L2674" t="s">
        <v>394</v>
      </c>
      <c r="M2674" t="s">
        <v>2885</v>
      </c>
    </row>
    <row r="2675" spans="1:27" x14ac:dyDescent="0.3">
      <c r="A2675" t="s">
        <v>2882</v>
      </c>
      <c r="B2675" t="s">
        <v>1138</v>
      </c>
      <c r="C2675" t="s">
        <v>11</v>
      </c>
      <c r="D2675" t="s">
        <v>12</v>
      </c>
      <c r="E2675" t="s">
        <v>391</v>
      </c>
      <c r="H2675" t="s">
        <v>392</v>
      </c>
      <c r="I2675" t="s">
        <v>2892</v>
      </c>
      <c r="L2675" t="s">
        <v>394</v>
      </c>
      <c r="M2675" t="s">
        <v>2885</v>
      </c>
    </row>
    <row r="2676" spans="1:27" x14ac:dyDescent="0.3">
      <c r="A2676" t="s">
        <v>2879</v>
      </c>
      <c r="B2676" t="s">
        <v>2077</v>
      </c>
      <c r="C2676" t="s">
        <v>11</v>
      </c>
      <c r="D2676" t="s">
        <v>12</v>
      </c>
      <c r="E2676" t="s">
        <v>391</v>
      </c>
      <c r="H2676" t="s">
        <v>392</v>
      </c>
      <c r="I2676" t="s">
        <v>2128</v>
      </c>
      <c r="L2676" t="s">
        <v>394</v>
      </c>
      <c r="M2676" t="s">
        <v>2885</v>
      </c>
    </row>
    <row r="2677" spans="1:27" x14ac:dyDescent="0.3">
      <c r="A2677" t="s">
        <v>2893</v>
      </c>
      <c r="B2677" t="s">
        <v>2733</v>
      </c>
      <c r="C2677" t="s">
        <v>280</v>
      </c>
      <c r="D2677" t="s">
        <v>2894</v>
      </c>
      <c r="E2677" t="s">
        <v>2735</v>
      </c>
      <c r="H2677" t="s">
        <v>25</v>
      </c>
      <c r="I2677" t="s">
        <v>2736</v>
      </c>
    </row>
    <row r="2678" spans="1:27" x14ac:dyDescent="0.3">
      <c r="A2678" t="s">
        <v>2893</v>
      </c>
      <c r="B2678" t="s">
        <v>2733</v>
      </c>
      <c r="C2678" t="s">
        <v>308</v>
      </c>
      <c r="D2678" t="s">
        <v>2895</v>
      </c>
      <c r="E2678" t="s">
        <v>2738</v>
      </c>
      <c r="H2678" t="s">
        <v>25</v>
      </c>
      <c r="I2678" t="s">
        <v>2739</v>
      </c>
      <c r="L2678" t="s">
        <v>312</v>
      </c>
      <c r="M2678" t="s">
        <v>327</v>
      </c>
    </row>
    <row r="2679" spans="1:27" x14ac:dyDescent="0.3">
      <c r="A2679" t="s">
        <v>2893</v>
      </c>
      <c r="B2679" t="s">
        <v>2733</v>
      </c>
      <c r="C2679" t="s">
        <v>308</v>
      </c>
      <c r="D2679" t="s">
        <v>2896</v>
      </c>
      <c r="E2679" t="s">
        <v>527</v>
      </c>
      <c r="H2679" t="s">
        <v>25</v>
      </c>
      <c r="I2679" t="s">
        <v>2741</v>
      </c>
      <c r="L2679" t="s">
        <v>312</v>
      </c>
      <c r="M2679" t="s">
        <v>343</v>
      </c>
    </row>
    <row r="2680" spans="1:27" x14ac:dyDescent="0.3">
      <c r="A2680" t="s">
        <v>2893</v>
      </c>
      <c r="B2680" t="s">
        <v>2733</v>
      </c>
      <c r="C2680" t="s">
        <v>308</v>
      </c>
      <c r="D2680" t="s">
        <v>2897</v>
      </c>
      <c r="E2680" t="s">
        <v>2077</v>
      </c>
      <c r="H2680" t="s">
        <v>25</v>
      </c>
      <c r="I2680" t="s">
        <v>2078</v>
      </c>
      <c r="L2680" t="s">
        <v>312</v>
      </c>
      <c r="M2680" t="s">
        <v>1687</v>
      </c>
    </row>
    <row r="2681" spans="1:27" x14ac:dyDescent="0.3">
      <c r="A2681" t="s">
        <v>2893</v>
      </c>
      <c r="B2681" t="s">
        <v>2733</v>
      </c>
      <c r="C2681" t="s">
        <v>308</v>
      </c>
      <c r="D2681" t="s">
        <v>2898</v>
      </c>
      <c r="E2681" t="s">
        <v>1138</v>
      </c>
      <c r="H2681" t="s">
        <v>25</v>
      </c>
      <c r="I2681" t="s">
        <v>2065</v>
      </c>
      <c r="L2681" t="s">
        <v>312</v>
      </c>
      <c r="M2681" t="s">
        <v>317</v>
      </c>
    </row>
    <row r="2682" spans="1:27" x14ac:dyDescent="0.3">
      <c r="A2682" t="s">
        <v>2893</v>
      </c>
      <c r="B2682" t="s">
        <v>2733</v>
      </c>
      <c r="C2682" t="s">
        <v>308</v>
      </c>
      <c r="D2682" t="s">
        <v>2899</v>
      </c>
      <c r="E2682" t="s">
        <v>1134</v>
      </c>
      <c r="H2682" t="s">
        <v>25</v>
      </c>
      <c r="I2682" t="s">
        <v>2069</v>
      </c>
      <c r="L2682" t="s">
        <v>312</v>
      </c>
      <c r="M2682" t="s">
        <v>317</v>
      </c>
    </row>
    <row r="2683" spans="1:27" x14ac:dyDescent="0.3">
      <c r="A2683" t="s">
        <v>2893</v>
      </c>
      <c r="B2683" t="s">
        <v>2733</v>
      </c>
      <c r="C2683" t="s">
        <v>308</v>
      </c>
      <c r="D2683" t="s">
        <v>2900</v>
      </c>
      <c r="E2683" t="s">
        <v>1138</v>
      </c>
      <c r="H2683" t="s">
        <v>25</v>
      </c>
      <c r="I2683" t="s">
        <v>2746</v>
      </c>
      <c r="L2683" t="s">
        <v>312</v>
      </c>
      <c r="M2683" t="s">
        <v>317</v>
      </c>
    </row>
    <row r="2684" spans="1:27" x14ac:dyDescent="0.3">
      <c r="A2684" t="s">
        <v>2893</v>
      </c>
      <c r="B2684" t="s">
        <v>2733</v>
      </c>
      <c r="C2684" t="s">
        <v>308</v>
      </c>
      <c r="D2684" t="s">
        <v>2901</v>
      </c>
      <c r="E2684" t="s">
        <v>341</v>
      </c>
      <c r="H2684" t="s">
        <v>25</v>
      </c>
      <c r="I2684" t="s">
        <v>342</v>
      </c>
      <c r="L2684" t="s">
        <v>312</v>
      </c>
      <c r="M2684" t="s">
        <v>343</v>
      </c>
    </row>
    <row r="2685" spans="1:27" x14ac:dyDescent="0.3">
      <c r="A2685" t="s">
        <v>2893</v>
      </c>
      <c r="B2685" t="s">
        <v>2733</v>
      </c>
      <c r="C2685" t="s">
        <v>22</v>
      </c>
      <c r="D2685" t="s">
        <v>23</v>
      </c>
      <c r="E2685" t="s">
        <v>28</v>
      </c>
    </row>
    <row r="2686" spans="1:27" x14ac:dyDescent="0.3">
      <c r="A2686" t="s">
        <v>2893</v>
      </c>
      <c r="B2686" t="s">
        <v>2733</v>
      </c>
      <c r="C2686" t="s">
        <v>2748</v>
      </c>
      <c r="D2686">
        <v>2</v>
      </c>
      <c r="H2686" t="s">
        <v>312</v>
      </c>
      <c r="I2686" t="s">
        <v>385</v>
      </c>
    </row>
    <row r="2687" spans="1:27" x14ac:dyDescent="0.3">
      <c r="A2687" t="s">
        <v>2893</v>
      </c>
      <c r="B2687" t="s">
        <v>2733</v>
      </c>
      <c r="C2687" t="s">
        <v>378</v>
      </c>
      <c r="D2687">
        <v>170</v>
      </c>
      <c r="H2687" t="s">
        <v>312</v>
      </c>
      <c r="I2687" t="s">
        <v>327</v>
      </c>
    </row>
    <row r="2688" spans="1:27" x14ac:dyDescent="0.3">
      <c r="A2688" t="s">
        <v>2893</v>
      </c>
      <c r="B2688" t="s">
        <v>2733</v>
      </c>
      <c r="C2688" t="s">
        <v>380</v>
      </c>
      <c r="D2688" t="s">
        <v>554</v>
      </c>
      <c r="E2688" t="s">
        <v>279</v>
      </c>
      <c r="F2688" t="s">
        <v>25</v>
      </c>
      <c r="G2688" t="s">
        <v>2902</v>
      </c>
      <c r="J2688" t="s">
        <v>2089</v>
      </c>
      <c r="K2688" t="s">
        <v>2750</v>
      </c>
      <c r="N2688" t="s">
        <v>2751</v>
      </c>
      <c r="O2688">
        <v>3</v>
      </c>
      <c r="R2688" t="s">
        <v>2752</v>
      </c>
      <c r="S2688">
        <v>198</v>
      </c>
      <c r="V2688" t="s">
        <v>2753</v>
      </c>
      <c r="W2688" t="s">
        <v>2754</v>
      </c>
      <c r="Z2688" t="s">
        <v>2755</v>
      </c>
      <c r="AA2688" t="s">
        <v>2756</v>
      </c>
    </row>
    <row r="2689" spans="1:13" x14ac:dyDescent="0.3">
      <c r="A2689" t="s">
        <v>2893</v>
      </c>
      <c r="B2689" t="s">
        <v>2733</v>
      </c>
      <c r="C2689" t="s">
        <v>16</v>
      </c>
      <c r="D2689" t="s">
        <v>75</v>
      </c>
      <c r="E2689" t="s">
        <v>37</v>
      </c>
    </row>
    <row r="2690" spans="1:13" x14ac:dyDescent="0.3">
      <c r="A2690" t="s">
        <v>2893</v>
      </c>
      <c r="B2690" t="s">
        <v>2733</v>
      </c>
      <c r="C2690" t="s">
        <v>11</v>
      </c>
      <c r="D2690" t="s">
        <v>12</v>
      </c>
      <c r="E2690" t="s">
        <v>13</v>
      </c>
      <c r="H2690" t="s">
        <v>382</v>
      </c>
      <c r="I2690" t="s">
        <v>2903</v>
      </c>
      <c r="L2690" t="s">
        <v>14</v>
      </c>
      <c r="M2690" t="s">
        <v>2903</v>
      </c>
    </row>
    <row r="2691" spans="1:13" x14ac:dyDescent="0.3">
      <c r="A2691" t="s">
        <v>2896</v>
      </c>
      <c r="B2691" t="s">
        <v>527</v>
      </c>
      <c r="C2691" t="s">
        <v>11</v>
      </c>
      <c r="D2691" t="s">
        <v>12</v>
      </c>
      <c r="E2691" t="s">
        <v>391</v>
      </c>
      <c r="H2691" t="s">
        <v>392</v>
      </c>
      <c r="I2691" t="s">
        <v>2758</v>
      </c>
      <c r="L2691" t="s">
        <v>394</v>
      </c>
      <c r="M2691" t="s">
        <v>2903</v>
      </c>
    </row>
    <row r="2692" spans="1:13" x14ac:dyDescent="0.3">
      <c r="A2692" t="s">
        <v>2895</v>
      </c>
      <c r="B2692" t="s">
        <v>2738</v>
      </c>
      <c r="C2692" t="s">
        <v>11</v>
      </c>
      <c r="D2692" t="s">
        <v>12</v>
      </c>
      <c r="E2692" t="s">
        <v>391</v>
      </c>
      <c r="H2692" t="s">
        <v>392</v>
      </c>
      <c r="I2692" t="s">
        <v>2904</v>
      </c>
      <c r="L2692" t="s">
        <v>394</v>
      </c>
      <c r="M2692" t="s">
        <v>2903</v>
      </c>
    </row>
    <row r="2693" spans="1:13" x14ac:dyDescent="0.3">
      <c r="A2693" t="s">
        <v>2894</v>
      </c>
      <c r="B2693" t="s">
        <v>2735</v>
      </c>
      <c r="C2693" t="s">
        <v>308</v>
      </c>
      <c r="D2693" t="s">
        <v>2905</v>
      </c>
      <c r="E2693" t="s">
        <v>406</v>
      </c>
      <c r="H2693" t="s">
        <v>25</v>
      </c>
      <c r="I2693" t="s">
        <v>2761</v>
      </c>
      <c r="L2693" t="s">
        <v>312</v>
      </c>
      <c r="M2693" t="s">
        <v>404</v>
      </c>
    </row>
    <row r="2694" spans="1:13" x14ac:dyDescent="0.3">
      <c r="A2694" t="s">
        <v>2905</v>
      </c>
      <c r="B2694" t="s">
        <v>406</v>
      </c>
      <c r="C2694" t="s">
        <v>11</v>
      </c>
      <c r="D2694" t="s">
        <v>12</v>
      </c>
      <c r="E2694" t="s">
        <v>391</v>
      </c>
      <c r="H2694" t="s">
        <v>392</v>
      </c>
      <c r="I2694" t="s">
        <v>2906</v>
      </c>
      <c r="L2694" t="s">
        <v>394</v>
      </c>
      <c r="M2694" t="s">
        <v>2903</v>
      </c>
    </row>
    <row r="2695" spans="1:13" x14ac:dyDescent="0.3">
      <c r="A2695" t="s">
        <v>2898</v>
      </c>
      <c r="B2695" t="s">
        <v>1138</v>
      </c>
      <c r="C2695" t="s">
        <v>11</v>
      </c>
      <c r="D2695" t="s">
        <v>12</v>
      </c>
      <c r="E2695" t="s">
        <v>391</v>
      </c>
      <c r="H2695" t="s">
        <v>392</v>
      </c>
      <c r="I2695" t="s">
        <v>2907</v>
      </c>
      <c r="L2695" t="s">
        <v>394</v>
      </c>
      <c r="M2695" t="s">
        <v>2903</v>
      </c>
    </row>
    <row r="2696" spans="1:13" x14ac:dyDescent="0.3">
      <c r="A2696" t="s">
        <v>2901</v>
      </c>
      <c r="B2696" t="s">
        <v>341</v>
      </c>
      <c r="C2696" t="s">
        <v>11</v>
      </c>
      <c r="D2696" t="s">
        <v>12</v>
      </c>
      <c r="E2696" t="s">
        <v>391</v>
      </c>
      <c r="H2696" t="s">
        <v>392</v>
      </c>
      <c r="I2696" t="s">
        <v>2908</v>
      </c>
      <c r="L2696" t="s">
        <v>394</v>
      </c>
      <c r="M2696" t="s">
        <v>2903</v>
      </c>
    </row>
    <row r="2697" spans="1:13" x14ac:dyDescent="0.3">
      <c r="A2697" t="s">
        <v>2899</v>
      </c>
      <c r="B2697" t="s">
        <v>1134</v>
      </c>
      <c r="C2697" t="s">
        <v>11</v>
      </c>
      <c r="D2697" t="s">
        <v>12</v>
      </c>
      <c r="E2697" t="s">
        <v>391</v>
      </c>
      <c r="H2697" t="s">
        <v>392</v>
      </c>
      <c r="I2697" t="s">
        <v>2909</v>
      </c>
      <c r="L2697" t="s">
        <v>394</v>
      </c>
      <c r="M2697" t="s">
        <v>2903</v>
      </c>
    </row>
    <row r="2698" spans="1:13" x14ac:dyDescent="0.3">
      <c r="A2698" t="s">
        <v>2900</v>
      </c>
      <c r="B2698" t="s">
        <v>1138</v>
      </c>
      <c r="C2698" t="s">
        <v>11</v>
      </c>
      <c r="D2698" t="s">
        <v>12</v>
      </c>
      <c r="E2698" t="s">
        <v>391</v>
      </c>
      <c r="H2698" t="s">
        <v>392</v>
      </c>
      <c r="I2698" t="s">
        <v>2910</v>
      </c>
      <c r="L2698" t="s">
        <v>394</v>
      </c>
      <c r="M2698" t="s">
        <v>2903</v>
      </c>
    </row>
    <row r="2699" spans="1:13" x14ac:dyDescent="0.3">
      <c r="A2699" t="s">
        <v>2897</v>
      </c>
      <c r="B2699" t="s">
        <v>2077</v>
      </c>
      <c r="C2699" t="s">
        <v>11</v>
      </c>
      <c r="D2699" t="s">
        <v>12</v>
      </c>
      <c r="E2699" t="s">
        <v>391</v>
      </c>
      <c r="H2699" t="s">
        <v>392</v>
      </c>
      <c r="I2699" t="s">
        <v>2128</v>
      </c>
      <c r="L2699" t="s">
        <v>394</v>
      </c>
      <c r="M2699" t="s">
        <v>2903</v>
      </c>
    </row>
    <row r="2700" spans="1:13" x14ac:dyDescent="0.3">
      <c r="A2700" t="s">
        <v>2911</v>
      </c>
      <c r="B2700" t="s">
        <v>2733</v>
      </c>
      <c r="C2700" t="s">
        <v>280</v>
      </c>
      <c r="D2700" t="s">
        <v>2912</v>
      </c>
      <c r="E2700" t="s">
        <v>2735</v>
      </c>
      <c r="H2700" t="s">
        <v>25</v>
      </c>
      <c r="I2700" t="s">
        <v>2736</v>
      </c>
    </row>
    <row r="2701" spans="1:13" x14ac:dyDescent="0.3">
      <c r="A2701" t="s">
        <v>2911</v>
      </c>
      <c r="B2701" t="s">
        <v>2733</v>
      </c>
      <c r="C2701" t="s">
        <v>308</v>
      </c>
      <c r="D2701" t="s">
        <v>2913</v>
      </c>
      <c r="E2701" t="s">
        <v>2738</v>
      </c>
      <c r="H2701" t="s">
        <v>25</v>
      </c>
      <c r="I2701" t="s">
        <v>2739</v>
      </c>
      <c r="L2701" t="s">
        <v>312</v>
      </c>
      <c r="M2701" t="s">
        <v>327</v>
      </c>
    </row>
    <row r="2702" spans="1:13" x14ac:dyDescent="0.3">
      <c r="A2702" t="s">
        <v>2911</v>
      </c>
      <c r="B2702" t="s">
        <v>2733</v>
      </c>
      <c r="C2702" t="s">
        <v>308</v>
      </c>
      <c r="D2702" t="s">
        <v>2914</v>
      </c>
      <c r="E2702" t="s">
        <v>527</v>
      </c>
      <c r="H2702" t="s">
        <v>25</v>
      </c>
      <c r="I2702" t="s">
        <v>2741</v>
      </c>
      <c r="L2702" t="s">
        <v>312</v>
      </c>
      <c r="M2702" t="s">
        <v>343</v>
      </c>
    </row>
    <row r="2703" spans="1:13" x14ac:dyDescent="0.3">
      <c r="A2703" t="s">
        <v>2911</v>
      </c>
      <c r="B2703" t="s">
        <v>2733</v>
      </c>
      <c r="C2703" t="s">
        <v>308</v>
      </c>
      <c r="D2703" t="s">
        <v>2915</v>
      </c>
      <c r="E2703" t="s">
        <v>2077</v>
      </c>
      <c r="H2703" t="s">
        <v>25</v>
      </c>
      <c r="I2703" t="s">
        <v>2078</v>
      </c>
      <c r="L2703" t="s">
        <v>312</v>
      </c>
      <c r="M2703" t="s">
        <v>1687</v>
      </c>
    </row>
    <row r="2704" spans="1:13" x14ac:dyDescent="0.3">
      <c r="A2704" t="s">
        <v>2911</v>
      </c>
      <c r="B2704" t="s">
        <v>2733</v>
      </c>
      <c r="C2704" t="s">
        <v>308</v>
      </c>
      <c r="D2704" t="s">
        <v>2916</v>
      </c>
      <c r="E2704" t="s">
        <v>1138</v>
      </c>
      <c r="H2704" t="s">
        <v>25</v>
      </c>
      <c r="I2704" t="s">
        <v>2065</v>
      </c>
      <c r="L2704" t="s">
        <v>312</v>
      </c>
      <c r="M2704" t="s">
        <v>317</v>
      </c>
    </row>
    <row r="2705" spans="1:27" x14ac:dyDescent="0.3">
      <c r="A2705" t="s">
        <v>2911</v>
      </c>
      <c r="B2705" t="s">
        <v>2733</v>
      </c>
      <c r="C2705" t="s">
        <v>308</v>
      </c>
      <c r="D2705" t="s">
        <v>2917</v>
      </c>
      <c r="E2705" t="s">
        <v>1134</v>
      </c>
      <c r="H2705" t="s">
        <v>25</v>
      </c>
      <c r="I2705" t="s">
        <v>2069</v>
      </c>
      <c r="L2705" t="s">
        <v>312</v>
      </c>
      <c r="M2705" t="s">
        <v>317</v>
      </c>
    </row>
    <row r="2706" spans="1:27" x14ac:dyDescent="0.3">
      <c r="A2706" t="s">
        <v>2911</v>
      </c>
      <c r="B2706" t="s">
        <v>2733</v>
      </c>
      <c r="C2706" t="s">
        <v>308</v>
      </c>
      <c r="D2706" t="s">
        <v>2918</v>
      </c>
      <c r="E2706" t="s">
        <v>1138</v>
      </c>
      <c r="H2706" t="s">
        <v>25</v>
      </c>
      <c r="I2706" t="s">
        <v>2746</v>
      </c>
      <c r="L2706" t="s">
        <v>312</v>
      </c>
      <c r="M2706" t="s">
        <v>317</v>
      </c>
    </row>
    <row r="2707" spans="1:27" x14ac:dyDescent="0.3">
      <c r="A2707" t="s">
        <v>2911</v>
      </c>
      <c r="B2707" t="s">
        <v>2733</v>
      </c>
      <c r="C2707" t="s">
        <v>308</v>
      </c>
      <c r="D2707" t="s">
        <v>2919</v>
      </c>
      <c r="E2707" t="s">
        <v>341</v>
      </c>
      <c r="H2707" t="s">
        <v>25</v>
      </c>
      <c r="I2707" t="s">
        <v>342</v>
      </c>
      <c r="L2707" t="s">
        <v>312</v>
      </c>
      <c r="M2707" t="s">
        <v>343</v>
      </c>
    </row>
    <row r="2708" spans="1:27" x14ac:dyDescent="0.3">
      <c r="A2708" t="s">
        <v>2911</v>
      </c>
      <c r="B2708" t="s">
        <v>2733</v>
      </c>
      <c r="C2708" t="s">
        <v>22</v>
      </c>
      <c r="D2708" t="s">
        <v>23</v>
      </c>
      <c r="E2708" t="s">
        <v>28</v>
      </c>
    </row>
    <row r="2709" spans="1:27" x14ac:dyDescent="0.3">
      <c r="A2709" t="s">
        <v>2911</v>
      </c>
      <c r="B2709" t="s">
        <v>2733</v>
      </c>
      <c r="C2709" t="s">
        <v>2748</v>
      </c>
      <c r="D2709">
        <v>2</v>
      </c>
      <c r="H2709" t="s">
        <v>312</v>
      </c>
      <c r="I2709" t="s">
        <v>385</v>
      </c>
    </row>
    <row r="2710" spans="1:27" x14ac:dyDescent="0.3">
      <c r="A2710" t="s">
        <v>2911</v>
      </c>
      <c r="B2710" t="s">
        <v>2733</v>
      </c>
      <c r="C2710" t="s">
        <v>378</v>
      </c>
      <c r="D2710">
        <v>170</v>
      </c>
      <c r="H2710" t="s">
        <v>312</v>
      </c>
      <c r="I2710" t="s">
        <v>327</v>
      </c>
    </row>
    <row r="2711" spans="1:27" x14ac:dyDescent="0.3">
      <c r="A2711" t="s">
        <v>2911</v>
      </c>
      <c r="B2711" t="s">
        <v>2733</v>
      </c>
      <c r="C2711" t="s">
        <v>380</v>
      </c>
      <c r="D2711" t="s">
        <v>554</v>
      </c>
      <c r="E2711" t="s">
        <v>279</v>
      </c>
      <c r="F2711" t="s">
        <v>25</v>
      </c>
      <c r="G2711" t="s">
        <v>2920</v>
      </c>
      <c r="J2711" t="s">
        <v>2089</v>
      </c>
      <c r="K2711" t="s">
        <v>2750</v>
      </c>
      <c r="N2711" t="s">
        <v>2751</v>
      </c>
      <c r="O2711">
        <v>3</v>
      </c>
      <c r="R2711" t="s">
        <v>2752</v>
      </c>
      <c r="S2711">
        <v>198</v>
      </c>
      <c r="V2711" t="s">
        <v>2753</v>
      </c>
      <c r="W2711" t="s">
        <v>2754</v>
      </c>
      <c r="Z2711" t="s">
        <v>2755</v>
      </c>
      <c r="AA2711" t="s">
        <v>2756</v>
      </c>
    </row>
    <row r="2712" spans="1:27" x14ac:dyDescent="0.3">
      <c r="A2712" t="s">
        <v>2911</v>
      </c>
      <c r="B2712" t="s">
        <v>2733</v>
      </c>
      <c r="C2712" t="s">
        <v>16</v>
      </c>
      <c r="D2712" t="s">
        <v>75</v>
      </c>
      <c r="E2712" t="s">
        <v>37</v>
      </c>
    </row>
    <row r="2713" spans="1:27" x14ac:dyDescent="0.3">
      <c r="A2713" t="s">
        <v>2911</v>
      </c>
      <c r="B2713" t="s">
        <v>2733</v>
      </c>
      <c r="C2713" t="s">
        <v>11</v>
      </c>
      <c r="D2713" t="s">
        <v>12</v>
      </c>
      <c r="E2713" t="s">
        <v>13</v>
      </c>
      <c r="H2713" t="s">
        <v>382</v>
      </c>
      <c r="I2713" t="s">
        <v>2921</v>
      </c>
      <c r="L2713" t="s">
        <v>14</v>
      </c>
      <c r="M2713" t="s">
        <v>2921</v>
      </c>
    </row>
    <row r="2714" spans="1:27" x14ac:dyDescent="0.3">
      <c r="A2714" t="s">
        <v>2914</v>
      </c>
      <c r="B2714" t="s">
        <v>527</v>
      </c>
      <c r="C2714" t="s">
        <v>11</v>
      </c>
      <c r="D2714" t="s">
        <v>12</v>
      </c>
      <c r="E2714" t="s">
        <v>391</v>
      </c>
      <c r="H2714" t="s">
        <v>392</v>
      </c>
      <c r="I2714" t="s">
        <v>2758</v>
      </c>
      <c r="L2714" t="s">
        <v>394</v>
      </c>
      <c r="M2714" t="s">
        <v>2921</v>
      </c>
    </row>
    <row r="2715" spans="1:27" x14ac:dyDescent="0.3">
      <c r="A2715" t="s">
        <v>2913</v>
      </c>
      <c r="B2715" t="s">
        <v>2738</v>
      </c>
      <c r="C2715" t="s">
        <v>11</v>
      </c>
      <c r="D2715" t="s">
        <v>12</v>
      </c>
      <c r="E2715" t="s">
        <v>391</v>
      </c>
      <c r="H2715" t="s">
        <v>392</v>
      </c>
      <c r="I2715" t="s">
        <v>2922</v>
      </c>
      <c r="L2715" t="s">
        <v>394</v>
      </c>
      <c r="M2715" t="s">
        <v>2921</v>
      </c>
    </row>
    <row r="2716" spans="1:27" x14ac:dyDescent="0.3">
      <c r="A2716" t="s">
        <v>2912</v>
      </c>
      <c r="B2716" t="s">
        <v>2735</v>
      </c>
      <c r="C2716" t="s">
        <v>308</v>
      </c>
      <c r="D2716" t="s">
        <v>2923</v>
      </c>
      <c r="E2716" t="s">
        <v>406</v>
      </c>
      <c r="H2716" t="s">
        <v>25</v>
      </c>
      <c r="I2716" t="s">
        <v>2761</v>
      </c>
      <c r="L2716" t="s">
        <v>312</v>
      </c>
      <c r="M2716" t="s">
        <v>404</v>
      </c>
    </row>
    <row r="2717" spans="1:27" x14ac:dyDescent="0.3">
      <c r="A2717" t="s">
        <v>2923</v>
      </c>
      <c r="B2717" t="s">
        <v>406</v>
      </c>
      <c r="C2717" t="s">
        <v>11</v>
      </c>
      <c r="D2717" t="s">
        <v>12</v>
      </c>
      <c r="E2717" t="s">
        <v>391</v>
      </c>
      <c r="H2717" t="s">
        <v>392</v>
      </c>
      <c r="I2717" t="s">
        <v>2924</v>
      </c>
      <c r="L2717" t="s">
        <v>394</v>
      </c>
      <c r="M2717" t="s">
        <v>2921</v>
      </c>
    </row>
    <row r="2718" spans="1:27" x14ac:dyDescent="0.3">
      <c r="A2718" t="s">
        <v>2916</v>
      </c>
      <c r="B2718" t="s">
        <v>1138</v>
      </c>
      <c r="C2718" t="s">
        <v>11</v>
      </c>
      <c r="D2718" t="s">
        <v>12</v>
      </c>
      <c r="E2718" t="s">
        <v>391</v>
      </c>
      <c r="H2718" t="s">
        <v>392</v>
      </c>
      <c r="I2718" t="s">
        <v>2925</v>
      </c>
      <c r="L2718" t="s">
        <v>394</v>
      </c>
      <c r="M2718" t="s">
        <v>2921</v>
      </c>
    </row>
    <row r="2719" spans="1:27" x14ac:dyDescent="0.3">
      <c r="A2719" t="s">
        <v>2919</v>
      </c>
      <c r="B2719" t="s">
        <v>341</v>
      </c>
      <c r="C2719" t="s">
        <v>11</v>
      </c>
      <c r="D2719" t="s">
        <v>12</v>
      </c>
      <c r="E2719" t="s">
        <v>391</v>
      </c>
      <c r="H2719" t="s">
        <v>392</v>
      </c>
      <c r="I2719" t="s">
        <v>2926</v>
      </c>
      <c r="L2719" t="s">
        <v>394</v>
      </c>
      <c r="M2719" t="s">
        <v>2921</v>
      </c>
    </row>
    <row r="2720" spans="1:27" x14ac:dyDescent="0.3">
      <c r="A2720" t="s">
        <v>2917</v>
      </c>
      <c r="B2720" t="s">
        <v>1134</v>
      </c>
      <c r="C2720" t="s">
        <v>11</v>
      </c>
      <c r="D2720" t="s">
        <v>12</v>
      </c>
      <c r="E2720" t="s">
        <v>391</v>
      </c>
      <c r="H2720" t="s">
        <v>392</v>
      </c>
      <c r="I2720" t="s">
        <v>2927</v>
      </c>
      <c r="L2720" t="s">
        <v>394</v>
      </c>
      <c r="M2720" t="s">
        <v>2921</v>
      </c>
    </row>
    <row r="2721" spans="1:27" x14ac:dyDescent="0.3">
      <c r="A2721" t="s">
        <v>2918</v>
      </c>
      <c r="B2721" t="s">
        <v>1138</v>
      </c>
      <c r="C2721" t="s">
        <v>11</v>
      </c>
      <c r="D2721" t="s">
        <v>12</v>
      </c>
      <c r="E2721" t="s">
        <v>391</v>
      </c>
      <c r="H2721" t="s">
        <v>392</v>
      </c>
      <c r="I2721" t="s">
        <v>2928</v>
      </c>
      <c r="L2721" t="s">
        <v>394</v>
      </c>
      <c r="M2721" t="s">
        <v>2921</v>
      </c>
    </row>
    <row r="2722" spans="1:27" x14ac:dyDescent="0.3">
      <c r="A2722" t="s">
        <v>2915</v>
      </c>
      <c r="B2722" t="s">
        <v>2077</v>
      </c>
      <c r="C2722" t="s">
        <v>11</v>
      </c>
      <c r="D2722" t="s">
        <v>12</v>
      </c>
      <c r="E2722" t="s">
        <v>391</v>
      </c>
      <c r="H2722" t="s">
        <v>392</v>
      </c>
      <c r="I2722" t="s">
        <v>2128</v>
      </c>
      <c r="L2722" t="s">
        <v>394</v>
      </c>
      <c r="M2722" t="s">
        <v>2921</v>
      </c>
    </row>
    <row r="2723" spans="1:27" x14ac:dyDescent="0.3">
      <c r="A2723" t="s">
        <v>2929</v>
      </c>
      <c r="B2723" t="s">
        <v>2733</v>
      </c>
      <c r="C2723" t="s">
        <v>280</v>
      </c>
      <c r="D2723" t="s">
        <v>2930</v>
      </c>
      <c r="E2723" t="s">
        <v>2735</v>
      </c>
      <c r="H2723" t="s">
        <v>25</v>
      </c>
      <c r="I2723" t="s">
        <v>2736</v>
      </c>
    </row>
    <row r="2724" spans="1:27" x14ac:dyDescent="0.3">
      <c r="A2724" t="s">
        <v>2929</v>
      </c>
      <c r="B2724" t="s">
        <v>2733</v>
      </c>
      <c r="C2724" t="s">
        <v>308</v>
      </c>
      <c r="D2724" t="s">
        <v>2931</v>
      </c>
      <c r="E2724" t="s">
        <v>2738</v>
      </c>
      <c r="H2724" t="s">
        <v>25</v>
      </c>
      <c r="I2724" t="s">
        <v>2739</v>
      </c>
      <c r="L2724" t="s">
        <v>312</v>
      </c>
      <c r="M2724" t="s">
        <v>327</v>
      </c>
    </row>
    <row r="2725" spans="1:27" x14ac:dyDescent="0.3">
      <c r="A2725" t="s">
        <v>2929</v>
      </c>
      <c r="B2725" t="s">
        <v>2733</v>
      </c>
      <c r="C2725" t="s">
        <v>308</v>
      </c>
      <c r="D2725" t="s">
        <v>2932</v>
      </c>
      <c r="E2725" t="s">
        <v>527</v>
      </c>
      <c r="H2725" t="s">
        <v>25</v>
      </c>
      <c r="I2725" t="s">
        <v>2741</v>
      </c>
      <c r="L2725" t="s">
        <v>312</v>
      </c>
      <c r="M2725" t="s">
        <v>343</v>
      </c>
    </row>
    <row r="2726" spans="1:27" x14ac:dyDescent="0.3">
      <c r="A2726" t="s">
        <v>2929</v>
      </c>
      <c r="B2726" t="s">
        <v>2733</v>
      </c>
      <c r="C2726" t="s">
        <v>308</v>
      </c>
      <c r="D2726" t="s">
        <v>2933</v>
      </c>
      <c r="E2726" t="s">
        <v>2077</v>
      </c>
      <c r="H2726" t="s">
        <v>25</v>
      </c>
      <c r="I2726" t="s">
        <v>2078</v>
      </c>
      <c r="L2726" t="s">
        <v>312</v>
      </c>
      <c r="M2726" t="s">
        <v>1687</v>
      </c>
    </row>
    <row r="2727" spans="1:27" x14ac:dyDescent="0.3">
      <c r="A2727" t="s">
        <v>2929</v>
      </c>
      <c r="B2727" t="s">
        <v>2733</v>
      </c>
      <c r="C2727" t="s">
        <v>308</v>
      </c>
      <c r="D2727" t="s">
        <v>2934</v>
      </c>
      <c r="E2727" t="s">
        <v>1138</v>
      </c>
      <c r="H2727" t="s">
        <v>25</v>
      </c>
      <c r="I2727" t="s">
        <v>2065</v>
      </c>
      <c r="L2727" t="s">
        <v>312</v>
      </c>
      <c r="M2727" t="s">
        <v>317</v>
      </c>
    </row>
    <row r="2728" spans="1:27" x14ac:dyDescent="0.3">
      <c r="A2728" t="s">
        <v>2929</v>
      </c>
      <c r="B2728" t="s">
        <v>2733</v>
      </c>
      <c r="C2728" t="s">
        <v>308</v>
      </c>
      <c r="D2728" t="s">
        <v>2935</v>
      </c>
      <c r="E2728" t="s">
        <v>1134</v>
      </c>
      <c r="H2728" t="s">
        <v>25</v>
      </c>
      <c r="I2728" t="s">
        <v>2069</v>
      </c>
      <c r="L2728" t="s">
        <v>312</v>
      </c>
      <c r="M2728" t="s">
        <v>317</v>
      </c>
    </row>
    <row r="2729" spans="1:27" x14ac:dyDescent="0.3">
      <c r="A2729" t="s">
        <v>2929</v>
      </c>
      <c r="B2729" t="s">
        <v>2733</v>
      </c>
      <c r="C2729" t="s">
        <v>308</v>
      </c>
      <c r="D2729" t="s">
        <v>2936</v>
      </c>
      <c r="E2729" t="s">
        <v>1138</v>
      </c>
      <c r="H2729" t="s">
        <v>25</v>
      </c>
      <c r="I2729" t="s">
        <v>2746</v>
      </c>
      <c r="L2729" t="s">
        <v>312</v>
      </c>
      <c r="M2729" t="s">
        <v>317</v>
      </c>
    </row>
    <row r="2730" spans="1:27" x14ac:dyDescent="0.3">
      <c r="A2730" t="s">
        <v>2929</v>
      </c>
      <c r="B2730" t="s">
        <v>2733</v>
      </c>
      <c r="C2730" t="s">
        <v>308</v>
      </c>
      <c r="D2730" t="s">
        <v>2937</v>
      </c>
      <c r="E2730" t="s">
        <v>341</v>
      </c>
      <c r="H2730" t="s">
        <v>25</v>
      </c>
      <c r="I2730" t="s">
        <v>342</v>
      </c>
      <c r="L2730" t="s">
        <v>312</v>
      </c>
      <c r="M2730" t="s">
        <v>343</v>
      </c>
    </row>
    <row r="2731" spans="1:27" x14ac:dyDescent="0.3">
      <c r="A2731" t="s">
        <v>2929</v>
      </c>
      <c r="B2731" t="s">
        <v>2733</v>
      </c>
      <c r="C2731" t="s">
        <v>22</v>
      </c>
      <c r="D2731" t="s">
        <v>23</v>
      </c>
      <c r="E2731" t="s">
        <v>28</v>
      </c>
    </row>
    <row r="2732" spans="1:27" x14ac:dyDescent="0.3">
      <c r="A2732" t="s">
        <v>2929</v>
      </c>
      <c r="B2732" t="s">
        <v>2733</v>
      </c>
      <c r="C2732" t="s">
        <v>2748</v>
      </c>
      <c r="D2732">
        <v>2</v>
      </c>
      <c r="H2732" t="s">
        <v>312</v>
      </c>
      <c r="I2732" t="s">
        <v>385</v>
      </c>
    </row>
    <row r="2733" spans="1:27" x14ac:dyDescent="0.3">
      <c r="A2733" t="s">
        <v>2929</v>
      </c>
      <c r="B2733" t="s">
        <v>2733</v>
      </c>
      <c r="C2733" t="s">
        <v>378</v>
      </c>
      <c r="D2733">
        <v>170</v>
      </c>
      <c r="H2733" t="s">
        <v>312</v>
      </c>
      <c r="I2733" t="s">
        <v>327</v>
      </c>
    </row>
    <row r="2734" spans="1:27" x14ac:dyDescent="0.3">
      <c r="A2734" t="s">
        <v>2929</v>
      </c>
      <c r="B2734" t="s">
        <v>2733</v>
      </c>
      <c r="C2734" t="s">
        <v>380</v>
      </c>
      <c r="D2734" t="s">
        <v>554</v>
      </c>
      <c r="E2734" t="s">
        <v>279</v>
      </c>
      <c r="F2734" t="s">
        <v>25</v>
      </c>
      <c r="G2734" t="s">
        <v>2938</v>
      </c>
      <c r="J2734" t="s">
        <v>2089</v>
      </c>
      <c r="K2734" t="s">
        <v>2750</v>
      </c>
      <c r="N2734" t="s">
        <v>2751</v>
      </c>
      <c r="O2734">
        <v>3</v>
      </c>
      <c r="R2734" t="s">
        <v>2752</v>
      </c>
      <c r="S2734">
        <v>198</v>
      </c>
      <c r="V2734" t="s">
        <v>2753</v>
      </c>
      <c r="W2734" t="s">
        <v>2754</v>
      </c>
      <c r="Z2734" t="s">
        <v>2755</v>
      </c>
      <c r="AA2734" t="s">
        <v>2756</v>
      </c>
    </row>
    <row r="2735" spans="1:27" x14ac:dyDescent="0.3">
      <c r="A2735" t="s">
        <v>2929</v>
      </c>
      <c r="B2735" t="s">
        <v>2733</v>
      </c>
      <c r="C2735" t="s">
        <v>16</v>
      </c>
      <c r="D2735" t="s">
        <v>75</v>
      </c>
      <c r="E2735" t="s">
        <v>37</v>
      </c>
    </row>
    <row r="2736" spans="1:27" x14ac:dyDescent="0.3">
      <c r="A2736" t="s">
        <v>2929</v>
      </c>
      <c r="B2736" t="s">
        <v>2733</v>
      </c>
      <c r="C2736" t="s">
        <v>11</v>
      </c>
      <c r="D2736" t="s">
        <v>12</v>
      </c>
      <c r="E2736" t="s">
        <v>13</v>
      </c>
      <c r="H2736" t="s">
        <v>382</v>
      </c>
      <c r="I2736" t="s">
        <v>2939</v>
      </c>
      <c r="L2736" t="s">
        <v>14</v>
      </c>
      <c r="M2736" t="s">
        <v>2939</v>
      </c>
    </row>
    <row r="2737" spans="1:13" x14ac:dyDescent="0.3">
      <c r="A2737" t="s">
        <v>2932</v>
      </c>
      <c r="B2737" t="s">
        <v>527</v>
      </c>
      <c r="C2737" t="s">
        <v>11</v>
      </c>
      <c r="D2737" t="s">
        <v>12</v>
      </c>
      <c r="E2737" t="s">
        <v>391</v>
      </c>
      <c r="H2737" t="s">
        <v>392</v>
      </c>
      <c r="I2737" t="s">
        <v>2758</v>
      </c>
      <c r="L2737" t="s">
        <v>394</v>
      </c>
      <c r="M2737" t="s">
        <v>2939</v>
      </c>
    </row>
    <row r="2738" spans="1:13" x14ac:dyDescent="0.3">
      <c r="A2738" t="s">
        <v>2931</v>
      </c>
      <c r="B2738" t="s">
        <v>2738</v>
      </c>
      <c r="C2738" t="s">
        <v>11</v>
      </c>
      <c r="D2738" t="s">
        <v>12</v>
      </c>
      <c r="E2738" t="s">
        <v>391</v>
      </c>
      <c r="H2738" t="s">
        <v>392</v>
      </c>
      <c r="I2738" t="s">
        <v>2940</v>
      </c>
      <c r="L2738" t="s">
        <v>394</v>
      </c>
      <c r="M2738" t="s">
        <v>2939</v>
      </c>
    </row>
    <row r="2739" spans="1:13" x14ac:dyDescent="0.3">
      <c r="A2739" t="s">
        <v>2930</v>
      </c>
      <c r="B2739" t="s">
        <v>2735</v>
      </c>
      <c r="C2739" t="s">
        <v>308</v>
      </c>
      <c r="D2739" t="s">
        <v>2941</v>
      </c>
      <c r="E2739" t="s">
        <v>406</v>
      </c>
      <c r="H2739" t="s">
        <v>25</v>
      </c>
      <c r="I2739" t="s">
        <v>2761</v>
      </c>
      <c r="L2739" t="s">
        <v>312</v>
      </c>
      <c r="M2739" t="s">
        <v>404</v>
      </c>
    </row>
    <row r="2740" spans="1:13" x14ac:dyDescent="0.3">
      <c r="A2740" t="s">
        <v>2941</v>
      </c>
      <c r="B2740" t="s">
        <v>406</v>
      </c>
      <c r="C2740" t="s">
        <v>11</v>
      </c>
      <c r="D2740" t="s">
        <v>12</v>
      </c>
      <c r="E2740" t="s">
        <v>391</v>
      </c>
      <c r="H2740" t="s">
        <v>392</v>
      </c>
      <c r="I2740" t="s">
        <v>2942</v>
      </c>
      <c r="L2740" t="s">
        <v>394</v>
      </c>
      <c r="M2740" t="s">
        <v>2939</v>
      </c>
    </row>
    <row r="2741" spans="1:13" x14ac:dyDescent="0.3">
      <c r="A2741" t="s">
        <v>2934</v>
      </c>
      <c r="B2741" t="s">
        <v>1138</v>
      </c>
      <c r="C2741" t="s">
        <v>11</v>
      </c>
      <c r="D2741" t="s">
        <v>12</v>
      </c>
      <c r="E2741" t="s">
        <v>391</v>
      </c>
      <c r="H2741" t="s">
        <v>392</v>
      </c>
      <c r="I2741" t="s">
        <v>2943</v>
      </c>
      <c r="L2741" t="s">
        <v>394</v>
      </c>
      <c r="M2741" t="s">
        <v>2939</v>
      </c>
    </row>
    <row r="2742" spans="1:13" x14ac:dyDescent="0.3">
      <c r="A2742" t="s">
        <v>2937</v>
      </c>
      <c r="B2742" t="s">
        <v>341</v>
      </c>
      <c r="C2742" t="s">
        <v>11</v>
      </c>
      <c r="D2742" t="s">
        <v>12</v>
      </c>
      <c r="E2742" t="s">
        <v>391</v>
      </c>
      <c r="H2742" t="s">
        <v>392</v>
      </c>
      <c r="I2742" t="s">
        <v>2944</v>
      </c>
      <c r="L2742" t="s">
        <v>394</v>
      </c>
      <c r="M2742" t="s">
        <v>2939</v>
      </c>
    </row>
    <row r="2743" spans="1:13" x14ac:dyDescent="0.3">
      <c r="A2743" t="s">
        <v>2935</v>
      </c>
      <c r="B2743" t="s">
        <v>1134</v>
      </c>
      <c r="C2743" t="s">
        <v>11</v>
      </c>
      <c r="D2743" t="s">
        <v>12</v>
      </c>
      <c r="E2743" t="s">
        <v>391</v>
      </c>
      <c r="H2743" t="s">
        <v>392</v>
      </c>
      <c r="I2743" t="s">
        <v>2945</v>
      </c>
      <c r="L2743" t="s">
        <v>394</v>
      </c>
      <c r="M2743" t="s">
        <v>2939</v>
      </c>
    </row>
    <row r="2744" spans="1:13" x14ac:dyDescent="0.3">
      <c r="A2744" t="s">
        <v>2936</v>
      </c>
      <c r="B2744" t="s">
        <v>1138</v>
      </c>
      <c r="C2744" t="s">
        <v>11</v>
      </c>
      <c r="D2744" t="s">
        <v>12</v>
      </c>
      <c r="E2744" t="s">
        <v>391</v>
      </c>
      <c r="H2744" t="s">
        <v>392</v>
      </c>
      <c r="I2744" t="s">
        <v>2946</v>
      </c>
      <c r="L2744" t="s">
        <v>394</v>
      </c>
      <c r="M2744" t="s">
        <v>2939</v>
      </c>
    </row>
    <row r="2745" spans="1:13" x14ac:dyDescent="0.3">
      <c r="A2745" t="s">
        <v>2933</v>
      </c>
      <c r="B2745" t="s">
        <v>2077</v>
      </c>
      <c r="C2745" t="s">
        <v>11</v>
      </c>
      <c r="D2745" t="s">
        <v>12</v>
      </c>
      <c r="E2745" t="s">
        <v>391</v>
      </c>
      <c r="H2745" t="s">
        <v>392</v>
      </c>
      <c r="I2745" t="s">
        <v>2128</v>
      </c>
      <c r="L2745" t="s">
        <v>394</v>
      </c>
      <c r="M2745" t="s">
        <v>2939</v>
      </c>
    </row>
    <row r="2746" spans="1:13" x14ac:dyDescent="0.3">
      <c r="A2746" t="s">
        <v>2947</v>
      </c>
      <c r="B2746" t="s">
        <v>2733</v>
      </c>
      <c r="C2746" t="s">
        <v>280</v>
      </c>
      <c r="D2746" t="s">
        <v>2948</v>
      </c>
      <c r="E2746" t="s">
        <v>2735</v>
      </c>
      <c r="H2746" t="s">
        <v>25</v>
      </c>
      <c r="I2746" t="s">
        <v>2736</v>
      </c>
    </row>
    <row r="2747" spans="1:13" x14ac:dyDescent="0.3">
      <c r="A2747" t="s">
        <v>2947</v>
      </c>
      <c r="B2747" t="s">
        <v>2733</v>
      </c>
      <c r="C2747" t="s">
        <v>308</v>
      </c>
      <c r="D2747" t="s">
        <v>2949</v>
      </c>
      <c r="E2747" t="s">
        <v>2738</v>
      </c>
      <c r="H2747" t="s">
        <v>25</v>
      </c>
      <c r="I2747" t="s">
        <v>2739</v>
      </c>
      <c r="L2747" t="s">
        <v>312</v>
      </c>
      <c r="M2747" t="s">
        <v>327</v>
      </c>
    </row>
    <row r="2748" spans="1:13" x14ac:dyDescent="0.3">
      <c r="A2748" t="s">
        <v>2947</v>
      </c>
      <c r="B2748" t="s">
        <v>2733</v>
      </c>
      <c r="C2748" t="s">
        <v>308</v>
      </c>
      <c r="D2748" t="s">
        <v>2950</v>
      </c>
      <c r="E2748" t="s">
        <v>527</v>
      </c>
      <c r="H2748" t="s">
        <v>25</v>
      </c>
      <c r="I2748" t="s">
        <v>2741</v>
      </c>
      <c r="L2748" t="s">
        <v>312</v>
      </c>
      <c r="M2748" t="s">
        <v>343</v>
      </c>
    </row>
    <row r="2749" spans="1:13" x14ac:dyDescent="0.3">
      <c r="A2749" t="s">
        <v>2947</v>
      </c>
      <c r="B2749" t="s">
        <v>2733</v>
      </c>
      <c r="C2749" t="s">
        <v>308</v>
      </c>
      <c r="D2749" t="s">
        <v>2951</v>
      </c>
      <c r="E2749" t="s">
        <v>2077</v>
      </c>
      <c r="H2749" t="s">
        <v>25</v>
      </c>
      <c r="I2749" t="s">
        <v>2078</v>
      </c>
      <c r="L2749" t="s">
        <v>312</v>
      </c>
      <c r="M2749" t="s">
        <v>1687</v>
      </c>
    </row>
    <row r="2750" spans="1:13" x14ac:dyDescent="0.3">
      <c r="A2750" t="s">
        <v>2947</v>
      </c>
      <c r="B2750" t="s">
        <v>2733</v>
      </c>
      <c r="C2750" t="s">
        <v>308</v>
      </c>
      <c r="D2750" t="s">
        <v>2952</v>
      </c>
      <c r="E2750" t="s">
        <v>1138</v>
      </c>
      <c r="H2750" t="s">
        <v>25</v>
      </c>
      <c r="I2750" t="s">
        <v>2065</v>
      </c>
      <c r="L2750" t="s">
        <v>312</v>
      </c>
      <c r="M2750" t="s">
        <v>317</v>
      </c>
    </row>
    <row r="2751" spans="1:13" x14ac:dyDescent="0.3">
      <c r="A2751" t="s">
        <v>2947</v>
      </c>
      <c r="B2751" t="s">
        <v>2733</v>
      </c>
      <c r="C2751" t="s">
        <v>308</v>
      </c>
      <c r="D2751" t="s">
        <v>2953</v>
      </c>
      <c r="E2751" t="s">
        <v>1134</v>
      </c>
      <c r="H2751" t="s">
        <v>25</v>
      </c>
      <c r="I2751" t="s">
        <v>2069</v>
      </c>
      <c r="L2751" t="s">
        <v>312</v>
      </c>
      <c r="M2751" t="s">
        <v>317</v>
      </c>
    </row>
    <row r="2752" spans="1:13" x14ac:dyDescent="0.3">
      <c r="A2752" t="s">
        <v>2947</v>
      </c>
      <c r="B2752" t="s">
        <v>2733</v>
      </c>
      <c r="C2752" t="s">
        <v>308</v>
      </c>
      <c r="D2752" t="s">
        <v>2954</v>
      </c>
      <c r="E2752" t="s">
        <v>1138</v>
      </c>
      <c r="H2752" t="s">
        <v>25</v>
      </c>
      <c r="I2752" t="s">
        <v>2746</v>
      </c>
      <c r="L2752" t="s">
        <v>312</v>
      </c>
      <c r="M2752" t="s">
        <v>317</v>
      </c>
    </row>
    <row r="2753" spans="1:27" x14ac:dyDescent="0.3">
      <c r="A2753" t="s">
        <v>2947</v>
      </c>
      <c r="B2753" t="s">
        <v>2733</v>
      </c>
      <c r="C2753" t="s">
        <v>308</v>
      </c>
      <c r="D2753" t="s">
        <v>2955</v>
      </c>
      <c r="E2753" t="s">
        <v>341</v>
      </c>
      <c r="H2753" t="s">
        <v>25</v>
      </c>
      <c r="I2753" t="s">
        <v>342</v>
      </c>
      <c r="L2753" t="s">
        <v>312</v>
      </c>
      <c r="M2753" t="s">
        <v>343</v>
      </c>
    </row>
    <row r="2754" spans="1:27" x14ac:dyDescent="0.3">
      <c r="A2754" t="s">
        <v>2947</v>
      </c>
      <c r="B2754" t="s">
        <v>2733</v>
      </c>
      <c r="C2754" t="s">
        <v>22</v>
      </c>
      <c r="D2754" t="s">
        <v>23</v>
      </c>
      <c r="E2754" t="s">
        <v>28</v>
      </c>
    </row>
    <row r="2755" spans="1:27" x14ac:dyDescent="0.3">
      <c r="A2755" t="s">
        <v>2947</v>
      </c>
      <c r="B2755" t="s">
        <v>2733</v>
      </c>
      <c r="C2755" t="s">
        <v>2748</v>
      </c>
      <c r="D2755">
        <v>2</v>
      </c>
      <c r="H2755" t="s">
        <v>312</v>
      </c>
      <c r="I2755" t="s">
        <v>385</v>
      </c>
    </row>
    <row r="2756" spans="1:27" x14ac:dyDescent="0.3">
      <c r="A2756" t="s">
        <v>2947</v>
      </c>
      <c r="B2756" t="s">
        <v>2733</v>
      </c>
      <c r="C2756" t="s">
        <v>378</v>
      </c>
      <c r="D2756">
        <v>170</v>
      </c>
      <c r="H2756" t="s">
        <v>312</v>
      </c>
      <c r="I2756" t="s">
        <v>327</v>
      </c>
    </row>
    <row r="2757" spans="1:27" x14ac:dyDescent="0.3">
      <c r="A2757" t="s">
        <v>2947</v>
      </c>
      <c r="B2757" t="s">
        <v>2733</v>
      </c>
      <c r="C2757" t="s">
        <v>380</v>
      </c>
      <c r="D2757" t="s">
        <v>554</v>
      </c>
      <c r="E2757" t="s">
        <v>279</v>
      </c>
      <c r="F2757" t="s">
        <v>25</v>
      </c>
      <c r="G2757" t="s">
        <v>2956</v>
      </c>
      <c r="J2757" t="s">
        <v>2089</v>
      </c>
      <c r="K2757" t="s">
        <v>2750</v>
      </c>
      <c r="N2757" t="s">
        <v>2751</v>
      </c>
      <c r="O2757">
        <v>3</v>
      </c>
      <c r="R2757" t="s">
        <v>2752</v>
      </c>
      <c r="S2757">
        <v>198</v>
      </c>
      <c r="V2757" t="s">
        <v>2753</v>
      </c>
      <c r="W2757" t="s">
        <v>2754</v>
      </c>
      <c r="Z2757" t="s">
        <v>2755</v>
      </c>
      <c r="AA2757" t="s">
        <v>2756</v>
      </c>
    </row>
    <row r="2758" spans="1:27" x14ac:dyDescent="0.3">
      <c r="A2758" t="s">
        <v>2947</v>
      </c>
      <c r="B2758" t="s">
        <v>2733</v>
      </c>
      <c r="C2758" t="s">
        <v>16</v>
      </c>
      <c r="D2758" t="s">
        <v>75</v>
      </c>
      <c r="E2758" t="s">
        <v>37</v>
      </c>
    </row>
    <row r="2759" spans="1:27" x14ac:dyDescent="0.3">
      <c r="A2759" t="s">
        <v>2947</v>
      </c>
      <c r="B2759" t="s">
        <v>2733</v>
      </c>
      <c r="C2759" t="s">
        <v>11</v>
      </c>
      <c r="D2759" t="s">
        <v>12</v>
      </c>
      <c r="E2759" t="s">
        <v>13</v>
      </c>
      <c r="H2759" t="s">
        <v>382</v>
      </c>
      <c r="I2759" t="s">
        <v>2957</v>
      </c>
      <c r="L2759" t="s">
        <v>14</v>
      </c>
      <c r="M2759" t="s">
        <v>2957</v>
      </c>
    </row>
    <row r="2760" spans="1:27" x14ac:dyDescent="0.3">
      <c r="A2760" t="s">
        <v>2950</v>
      </c>
      <c r="B2760" t="s">
        <v>527</v>
      </c>
      <c r="C2760" t="s">
        <v>11</v>
      </c>
      <c r="D2760" t="s">
        <v>12</v>
      </c>
      <c r="E2760" t="s">
        <v>391</v>
      </c>
      <c r="H2760" t="s">
        <v>392</v>
      </c>
      <c r="I2760" t="s">
        <v>2758</v>
      </c>
      <c r="L2760" t="s">
        <v>394</v>
      </c>
      <c r="M2760" t="s">
        <v>2957</v>
      </c>
    </row>
    <row r="2761" spans="1:27" x14ac:dyDescent="0.3">
      <c r="A2761" t="s">
        <v>2949</v>
      </c>
      <c r="B2761" t="s">
        <v>2738</v>
      </c>
      <c r="C2761" t="s">
        <v>11</v>
      </c>
      <c r="D2761" t="s">
        <v>12</v>
      </c>
      <c r="E2761" t="s">
        <v>391</v>
      </c>
      <c r="H2761" t="s">
        <v>392</v>
      </c>
      <c r="I2761" t="s">
        <v>2958</v>
      </c>
      <c r="L2761" t="s">
        <v>394</v>
      </c>
      <c r="M2761" t="s">
        <v>2957</v>
      </c>
    </row>
    <row r="2762" spans="1:27" x14ac:dyDescent="0.3">
      <c r="A2762" t="s">
        <v>2948</v>
      </c>
      <c r="B2762" t="s">
        <v>2735</v>
      </c>
      <c r="C2762" t="s">
        <v>308</v>
      </c>
      <c r="D2762" t="s">
        <v>2959</v>
      </c>
      <c r="E2762" t="s">
        <v>406</v>
      </c>
      <c r="H2762" t="s">
        <v>25</v>
      </c>
      <c r="I2762" t="s">
        <v>2761</v>
      </c>
      <c r="L2762" t="s">
        <v>312</v>
      </c>
      <c r="M2762" t="s">
        <v>404</v>
      </c>
    </row>
    <row r="2763" spans="1:27" x14ac:dyDescent="0.3">
      <c r="A2763" t="s">
        <v>2959</v>
      </c>
      <c r="B2763" t="s">
        <v>406</v>
      </c>
      <c r="C2763" t="s">
        <v>11</v>
      </c>
      <c r="D2763" t="s">
        <v>12</v>
      </c>
      <c r="E2763" t="s">
        <v>391</v>
      </c>
      <c r="H2763" t="s">
        <v>392</v>
      </c>
      <c r="I2763" t="s">
        <v>2960</v>
      </c>
      <c r="L2763" t="s">
        <v>394</v>
      </c>
      <c r="M2763" t="s">
        <v>2957</v>
      </c>
    </row>
    <row r="2764" spans="1:27" x14ac:dyDescent="0.3">
      <c r="A2764" t="s">
        <v>2952</v>
      </c>
      <c r="B2764" t="s">
        <v>1138</v>
      </c>
      <c r="C2764" t="s">
        <v>11</v>
      </c>
      <c r="D2764" t="s">
        <v>12</v>
      </c>
      <c r="E2764" t="s">
        <v>391</v>
      </c>
      <c r="H2764" t="s">
        <v>392</v>
      </c>
      <c r="I2764" t="s">
        <v>2961</v>
      </c>
      <c r="L2764" t="s">
        <v>394</v>
      </c>
      <c r="M2764" t="s">
        <v>2957</v>
      </c>
    </row>
    <row r="2765" spans="1:27" x14ac:dyDescent="0.3">
      <c r="A2765" t="s">
        <v>2955</v>
      </c>
      <c r="B2765" t="s">
        <v>341</v>
      </c>
      <c r="C2765" t="s">
        <v>11</v>
      </c>
      <c r="D2765" t="s">
        <v>12</v>
      </c>
      <c r="E2765" t="s">
        <v>391</v>
      </c>
      <c r="H2765" t="s">
        <v>392</v>
      </c>
      <c r="I2765" t="s">
        <v>2962</v>
      </c>
      <c r="L2765" t="s">
        <v>394</v>
      </c>
      <c r="M2765" t="s">
        <v>2957</v>
      </c>
    </row>
    <row r="2766" spans="1:27" x14ac:dyDescent="0.3">
      <c r="A2766" t="s">
        <v>2953</v>
      </c>
      <c r="B2766" t="s">
        <v>1134</v>
      </c>
      <c r="C2766" t="s">
        <v>11</v>
      </c>
      <c r="D2766" t="s">
        <v>12</v>
      </c>
      <c r="E2766" t="s">
        <v>391</v>
      </c>
      <c r="H2766" t="s">
        <v>392</v>
      </c>
      <c r="I2766" t="s">
        <v>2963</v>
      </c>
      <c r="L2766" t="s">
        <v>394</v>
      </c>
      <c r="M2766" t="s">
        <v>2957</v>
      </c>
    </row>
    <row r="2767" spans="1:27" x14ac:dyDescent="0.3">
      <c r="A2767" t="s">
        <v>2954</v>
      </c>
      <c r="B2767" t="s">
        <v>1138</v>
      </c>
      <c r="C2767" t="s">
        <v>11</v>
      </c>
      <c r="D2767" t="s">
        <v>12</v>
      </c>
      <c r="E2767" t="s">
        <v>391</v>
      </c>
      <c r="H2767" t="s">
        <v>392</v>
      </c>
      <c r="I2767" t="s">
        <v>2964</v>
      </c>
      <c r="L2767" t="s">
        <v>394</v>
      </c>
      <c r="M2767" t="s">
        <v>2957</v>
      </c>
    </row>
    <row r="2768" spans="1:27" x14ac:dyDescent="0.3">
      <c r="A2768" t="s">
        <v>2951</v>
      </c>
      <c r="B2768" t="s">
        <v>2077</v>
      </c>
      <c r="C2768" t="s">
        <v>11</v>
      </c>
      <c r="D2768" t="s">
        <v>12</v>
      </c>
      <c r="E2768" t="s">
        <v>391</v>
      </c>
      <c r="H2768" t="s">
        <v>392</v>
      </c>
      <c r="I2768" t="s">
        <v>2128</v>
      </c>
      <c r="L2768" t="s">
        <v>394</v>
      </c>
      <c r="M2768" t="s">
        <v>2957</v>
      </c>
    </row>
    <row r="2769" spans="1:27" x14ac:dyDescent="0.3">
      <c r="A2769" t="s">
        <v>2965</v>
      </c>
      <c r="B2769" t="s">
        <v>2733</v>
      </c>
      <c r="C2769" t="s">
        <v>280</v>
      </c>
      <c r="D2769" t="s">
        <v>2966</v>
      </c>
      <c r="E2769" t="s">
        <v>2735</v>
      </c>
      <c r="H2769" t="s">
        <v>25</v>
      </c>
      <c r="I2769" t="s">
        <v>2736</v>
      </c>
    </row>
    <row r="2770" spans="1:27" x14ac:dyDescent="0.3">
      <c r="A2770" t="s">
        <v>2965</v>
      </c>
      <c r="B2770" t="s">
        <v>2733</v>
      </c>
      <c r="C2770" t="s">
        <v>308</v>
      </c>
      <c r="D2770" t="s">
        <v>2967</v>
      </c>
      <c r="E2770" t="s">
        <v>2738</v>
      </c>
      <c r="H2770" t="s">
        <v>25</v>
      </c>
      <c r="I2770" t="s">
        <v>2739</v>
      </c>
      <c r="L2770" t="s">
        <v>312</v>
      </c>
      <c r="M2770" t="s">
        <v>327</v>
      </c>
    </row>
    <row r="2771" spans="1:27" x14ac:dyDescent="0.3">
      <c r="A2771" t="s">
        <v>2965</v>
      </c>
      <c r="B2771" t="s">
        <v>2733</v>
      </c>
      <c r="C2771" t="s">
        <v>308</v>
      </c>
      <c r="D2771" t="s">
        <v>2968</v>
      </c>
      <c r="E2771" t="s">
        <v>527</v>
      </c>
      <c r="H2771" t="s">
        <v>25</v>
      </c>
      <c r="I2771" t="s">
        <v>2741</v>
      </c>
      <c r="L2771" t="s">
        <v>312</v>
      </c>
      <c r="M2771" t="s">
        <v>343</v>
      </c>
    </row>
    <row r="2772" spans="1:27" x14ac:dyDescent="0.3">
      <c r="A2772" t="s">
        <v>2965</v>
      </c>
      <c r="B2772" t="s">
        <v>2733</v>
      </c>
      <c r="C2772" t="s">
        <v>308</v>
      </c>
      <c r="D2772" t="s">
        <v>2969</v>
      </c>
      <c r="E2772" t="s">
        <v>2077</v>
      </c>
      <c r="H2772" t="s">
        <v>25</v>
      </c>
      <c r="I2772" t="s">
        <v>2078</v>
      </c>
      <c r="L2772" t="s">
        <v>312</v>
      </c>
      <c r="M2772" t="s">
        <v>1687</v>
      </c>
    </row>
    <row r="2773" spans="1:27" x14ac:dyDescent="0.3">
      <c r="A2773" t="s">
        <v>2965</v>
      </c>
      <c r="B2773" t="s">
        <v>2733</v>
      </c>
      <c r="C2773" t="s">
        <v>308</v>
      </c>
      <c r="D2773" t="s">
        <v>2970</v>
      </c>
      <c r="E2773" t="s">
        <v>1138</v>
      </c>
      <c r="H2773" t="s">
        <v>25</v>
      </c>
      <c r="I2773" t="s">
        <v>2065</v>
      </c>
      <c r="L2773" t="s">
        <v>312</v>
      </c>
      <c r="M2773" t="s">
        <v>317</v>
      </c>
    </row>
    <row r="2774" spans="1:27" x14ac:dyDescent="0.3">
      <c r="A2774" t="s">
        <v>2965</v>
      </c>
      <c r="B2774" t="s">
        <v>2733</v>
      </c>
      <c r="C2774" t="s">
        <v>308</v>
      </c>
      <c r="D2774" t="s">
        <v>2971</v>
      </c>
      <c r="E2774" t="s">
        <v>1134</v>
      </c>
      <c r="H2774" t="s">
        <v>25</v>
      </c>
      <c r="I2774" t="s">
        <v>2069</v>
      </c>
      <c r="L2774" t="s">
        <v>312</v>
      </c>
      <c r="M2774" t="s">
        <v>317</v>
      </c>
    </row>
    <row r="2775" spans="1:27" x14ac:dyDescent="0.3">
      <c r="A2775" t="s">
        <v>2965</v>
      </c>
      <c r="B2775" t="s">
        <v>2733</v>
      </c>
      <c r="C2775" t="s">
        <v>308</v>
      </c>
      <c r="D2775" t="s">
        <v>2972</v>
      </c>
      <c r="E2775" t="s">
        <v>1138</v>
      </c>
      <c r="H2775" t="s">
        <v>25</v>
      </c>
      <c r="I2775" t="s">
        <v>2746</v>
      </c>
      <c r="L2775" t="s">
        <v>312</v>
      </c>
      <c r="M2775" t="s">
        <v>317</v>
      </c>
    </row>
    <row r="2776" spans="1:27" x14ac:dyDescent="0.3">
      <c r="A2776" t="s">
        <v>2965</v>
      </c>
      <c r="B2776" t="s">
        <v>2733</v>
      </c>
      <c r="C2776" t="s">
        <v>308</v>
      </c>
      <c r="D2776" t="s">
        <v>2973</v>
      </c>
      <c r="E2776" t="s">
        <v>341</v>
      </c>
      <c r="H2776" t="s">
        <v>25</v>
      </c>
      <c r="I2776" t="s">
        <v>342</v>
      </c>
      <c r="L2776" t="s">
        <v>312</v>
      </c>
      <c r="M2776" t="s">
        <v>343</v>
      </c>
    </row>
    <row r="2777" spans="1:27" x14ac:dyDescent="0.3">
      <c r="A2777" t="s">
        <v>2965</v>
      </c>
      <c r="B2777" t="s">
        <v>2733</v>
      </c>
      <c r="C2777" t="s">
        <v>22</v>
      </c>
      <c r="D2777" t="s">
        <v>23</v>
      </c>
      <c r="E2777" t="s">
        <v>28</v>
      </c>
    </row>
    <row r="2778" spans="1:27" x14ac:dyDescent="0.3">
      <c r="A2778" t="s">
        <v>2965</v>
      </c>
      <c r="B2778" t="s">
        <v>2733</v>
      </c>
      <c r="C2778" t="s">
        <v>2748</v>
      </c>
      <c r="D2778">
        <v>2</v>
      </c>
      <c r="H2778" t="s">
        <v>312</v>
      </c>
      <c r="I2778" t="s">
        <v>385</v>
      </c>
    </row>
    <row r="2779" spans="1:27" x14ac:dyDescent="0.3">
      <c r="A2779" t="s">
        <v>2965</v>
      </c>
      <c r="B2779" t="s">
        <v>2733</v>
      </c>
      <c r="C2779" t="s">
        <v>378</v>
      </c>
      <c r="D2779">
        <v>170</v>
      </c>
      <c r="H2779" t="s">
        <v>312</v>
      </c>
      <c r="I2779" t="s">
        <v>327</v>
      </c>
    </row>
    <row r="2780" spans="1:27" x14ac:dyDescent="0.3">
      <c r="A2780" t="s">
        <v>2965</v>
      </c>
      <c r="B2780" t="s">
        <v>2733</v>
      </c>
      <c r="C2780" t="s">
        <v>380</v>
      </c>
      <c r="D2780" t="s">
        <v>554</v>
      </c>
      <c r="E2780" t="s">
        <v>279</v>
      </c>
      <c r="F2780" t="s">
        <v>25</v>
      </c>
      <c r="G2780" t="s">
        <v>2974</v>
      </c>
      <c r="J2780" t="s">
        <v>2089</v>
      </c>
      <c r="K2780" t="s">
        <v>2750</v>
      </c>
      <c r="N2780" t="s">
        <v>2751</v>
      </c>
      <c r="O2780">
        <v>3</v>
      </c>
      <c r="R2780" t="s">
        <v>2752</v>
      </c>
      <c r="S2780">
        <v>198</v>
      </c>
      <c r="V2780" t="s">
        <v>2753</v>
      </c>
      <c r="W2780" t="s">
        <v>2754</v>
      </c>
      <c r="Z2780" t="s">
        <v>2755</v>
      </c>
      <c r="AA2780" t="s">
        <v>2756</v>
      </c>
    </row>
    <row r="2781" spans="1:27" x14ac:dyDescent="0.3">
      <c r="A2781" t="s">
        <v>2965</v>
      </c>
      <c r="B2781" t="s">
        <v>2733</v>
      </c>
      <c r="C2781" t="s">
        <v>16</v>
      </c>
      <c r="D2781" t="s">
        <v>75</v>
      </c>
      <c r="E2781" t="s">
        <v>37</v>
      </c>
    </row>
    <row r="2782" spans="1:27" x14ac:dyDescent="0.3">
      <c r="A2782" t="s">
        <v>2965</v>
      </c>
      <c r="B2782" t="s">
        <v>2733</v>
      </c>
      <c r="C2782" t="s">
        <v>11</v>
      </c>
      <c r="D2782" t="s">
        <v>12</v>
      </c>
      <c r="E2782" t="s">
        <v>13</v>
      </c>
      <c r="H2782" t="s">
        <v>382</v>
      </c>
      <c r="I2782" t="s">
        <v>2975</v>
      </c>
      <c r="L2782" t="s">
        <v>14</v>
      </c>
      <c r="M2782" t="s">
        <v>2975</v>
      </c>
    </row>
    <row r="2783" spans="1:27" x14ac:dyDescent="0.3">
      <c r="A2783" t="s">
        <v>2968</v>
      </c>
      <c r="B2783" t="s">
        <v>527</v>
      </c>
      <c r="C2783" t="s">
        <v>11</v>
      </c>
      <c r="D2783" t="s">
        <v>12</v>
      </c>
      <c r="E2783" t="s">
        <v>391</v>
      </c>
      <c r="H2783" t="s">
        <v>392</v>
      </c>
      <c r="I2783" t="s">
        <v>2758</v>
      </c>
      <c r="L2783" t="s">
        <v>394</v>
      </c>
      <c r="M2783" t="s">
        <v>2975</v>
      </c>
    </row>
    <row r="2784" spans="1:27" x14ac:dyDescent="0.3">
      <c r="A2784" t="s">
        <v>2967</v>
      </c>
      <c r="B2784" t="s">
        <v>2738</v>
      </c>
      <c r="C2784" t="s">
        <v>11</v>
      </c>
      <c r="D2784" t="s">
        <v>12</v>
      </c>
      <c r="E2784" t="s">
        <v>391</v>
      </c>
      <c r="H2784" t="s">
        <v>392</v>
      </c>
      <c r="I2784" t="s">
        <v>2976</v>
      </c>
      <c r="L2784" t="s">
        <v>394</v>
      </c>
      <c r="M2784" t="s">
        <v>2975</v>
      </c>
    </row>
    <row r="2785" spans="1:13" x14ac:dyDescent="0.3">
      <c r="A2785" t="s">
        <v>2966</v>
      </c>
      <c r="B2785" t="s">
        <v>2735</v>
      </c>
      <c r="C2785" t="s">
        <v>308</v>
      </c>
      <c r="D2785" t="s">
        <v>2977</v>
      </c>
      <c r="E2785" t="s">
        <v>406</v>
      </c>
      <c r="H2785" t="s">
        <v>25</v>
      </c>
      <c r="I2785" t="s">
        <v>2761</v>
      </c>
      <c r="L2785" t="s">
        <v>312</v>
      </c>
      <c r="M2785" t="s">
        <v>404</v>
      </c>
    </row>
    <row r="2786" spans="1:13" x14ac:dyDescent="0.3">
      <c r="A2786" t="s">
        <v>2977</v>
      </c>
      <c r="B2786" t="s">
        <v>406</v>
      </c>
      <c r="C2786" t="s">
        <v>11</v>
      </c>
      <c r="D2786" t="s">
        <v>12</v>
      </c>
      <c r="E2786" t="s">
        <v>391</v>
      </c>
      <c r="H2786" t="s">
        <v>392</v>
      </c>
      <c r="I2786" t="s">
        <v>2978</v>
      </c>
      <c r="L2786" t="s">
        <v>394</v>
      </c>
      <c r="M2786" t="s">
        <v>2975</v>
      </c>
    </row>
    <row r="2787" spans="1:13" x14ac:dyDescent="0.3">
      <c r="A2787" t="s">
        <v>2970</v>
      </c>
      <c r="B2787" t="s">
        <v>1138</v>
      </c>
      <c r="C2787" t="s">
        <v>11</v>
      </c>
      <c r="D2787" t="s">
        <v>12</v>
      </c>
      <c r="E2787" t="s">
        <v>391</v>
      </c>
      <c r="H2787" t="s">
        <v>392</v>
      </c>
      <c r="I2787" t="s">
        <v>2979</v>
      </c>
      <c r="L2787" t="s">
        <v>394</v>
      </c>
      <c r="M2787" t="s">
        <v>2975</v>
      </c>
    </row>
    <row r="2788" spans="1:13" x14ac:dyDescent="0.3">
      <c r="A2788" t="s">
        <v>2973</v>
      </c>
      <c r="B2788" t="s">
        <v>341</v>
      </c>
      <c r="C2788" t="s">
        <v>11</v>
      </c>
      <c r="D2788" t="s">
        <v>12</v>
      </c>
      <c r="E2788" t="s">
        <v>391</v>
      </c>
      <c r="H2788" t="s">
        <v>392</v>
      </c>
      <c r="I2788" t="s">
        <v>2980</v>
      </c>
      <c r="L2788" t="s">
        <v>394</v>
      </c>
      <c r="M2788" t="s">
        <v>2975</v>
      </c>
    </row>
    <row r="2789" spans="1:13" x14ac:dyDescent="0.3">
      <c r="A2789" t="s">
        <v>2971</v>
      </c>
      <c r="B2789" t="s">
        <v>1134</v>
      </c>
      <c r="C2789" t="s">
        <v>11</v>
      </c>
      <c r="D2789" t="s">
        <v>12</v>
      </c>
      <c r="E2789" t="s">
        <v>391</v>
      </c>
      <c r="H2789" t="s">
        <v>392</v>
      </c>
      <c r="I2789" t="s">
        <v>2981</v>
      </c>
      <c r="L2789" t="s">
        <v>394</v>
      </c>
      <c r="M2789" t="s">
        <v>2975</v>
      </c>
    </row>
    <row r="2790" spans="1:13" x14ac:dyDescent="0.3">
      <c r="A2790" t="s">
        <v>2972</v>
      </c>
      <c r="B2790" t="s">
        <v>1138</v>
      </c>
      <c r="C2790" t="s">
        <v>11</v>
      </c>
      <c r="D2790" t="s">
        <v>12</v>
      </c>
      <c r="E2790" t="s">
        <v>391</v>
      </c>
      <c r="H2790" t="s">
        <v>392</v>
      </c>
      <c r="I2790" t="s">
        <v>2982</v>
      </c>
      <c r="L2790" t="s">
        <v>394</v>
      </c>
      <c r="M2790" t="s">
        <v>2975</v>
      </c>
    </row>
    <row r="2791" spans="1:13" x14ac:dyDescent="0.3">
      <c r="A2791" t="s">
        <v>2969</v>
      </c>
      <c r="B2791" t="s">
        <v>2077</v>
      </c>
      <c r="C2791" t="s">
        <v>11</v>
      </c>
      <c r="D2791" t="s">
        <v>12</v>
      </c>
      <c r="E2791" t="s">
        <v>391</v>
      </c>
      <c r="H2791" t="s">
        <v>392</v>
      </c>
      <c r="I2791" t="s">
        <v>2128</v>
      </c>
      <c r="L2791" t="s">
        <v>394</v>
      </c>
      <c r="M2791" t="s">
        <v>2975</v>
      </c>
    </row>
    <row r="2792" spans="1:13" x14ac:dyDescent="0.3">
      <c r="A2792" t="s">
        <v>2983</v>
      </c>
      <c r="B2792" t="s">
        <v>2733</v>
      </c>
      <c r="C2792" t="s">
        <v>280</v>
      </c>
      <c r="D2792" t="s">
        <v>2984</v>
      </c>
      <c r="E2792" t="s">
        <v>2735</v>
      </c>
      <c r="H2792" t="s">
        <v>25</v>
      </c>
      <c r="I2792" t="s">
        <v>2736</v>
      </c>
    </row>
    <row r="2793" spans="1:13" x14ac:dyDescent="0.3">
      <c r="A2793" t="s">
        <v>2983</v>
      </c>
      <c r="B2793" t="s">
        <v>2733</v>
      </c>
      <c r="C2793" t="s">
        <v>308</v>
      </c>
      <c r="D2793" t="s">
        <v>2985</v>
      </c>
      <c r="E2793" t="s">
        <v>2738</v>
      </c>
      <c r="H2793" t="s">
        <v>25</v>
      </c>
      <c r="I2793" t="s">
        <v>2739</v>
      </c>
      <c r="L2793" t="s">
        <v>312</v>
      </c>
      <c r="M2793" t="s">
        <v>327</v>
      </c>
    </row>
    <row r="2794" spans="1:13" x14ac:dyDescent="0.3">
      <c r="A2794" t="s">
        <v>2983</v>
      </c>
      <c r="B2794" t="s">
        <v>2733</v>
      </c>
      <c r="C2794" t="s">
        <v>308</v>
      </c>
      <c r="D2794" t="s">
        <v>2986</v>
      </c>
      <c r="E2794" t="s">
        <v>527</v>
      </c>
      <c r="H2794" t="s">
        <v>25</v>
      </c>
      <c r="I2794" t="s">
        <v>2741</v>
      </c>
      <c r="L2794" t="s">
        <v>312</v>
      </c>
      <c r="M2794" t="s">
        <v>343</v>
      </c>
    </row>
    <row r="2795" spans="1:13" x14ac:dyDescent="0.3">
      <c r="A2795" t="s">
        <v>2983</v>
      </c>
      <c r="B2795" t="s">
        <v>2733</v>
      </c>
      <c r="C2795" t="s">
        <v>308</v>
      </c>
      <c r="D2795" t="s">
        <v>2987</v>
      </c>
      <c r="E2795" t="s">
        <v>2077</v>
      </c>
      <c r="H2795" t="s">
        <v>25</v>
      </c>
      <c r="I2795" t="s">
        <v>2078</v>
      </c>
      <c r="L2795" t="s">
        <v>312</v>
      </c>
      <c r="M2795" t="s">
        <v>1687</v>
      </c>
    </row>
    <row r="2796" spans="1:13" x14ac:dyDescent="0.3">
      <c r="A2796" t="s">
        <v>2983</v>
      </c>
      <c r="B2796" t="s">
        <v>2733</v>
      </c>
      <c r="C2796" t="s">
        <v>308</v>
      </c>
      <c r="D2796" t="s">
        <v>2988</v>
      </c>
      <c r="E2796" t="s">
        <v>1138</v>
      </c>
      <c r="H2796" t="s">
        <v>25</v>
      </c>
      <c r="I2796" t="s">
        <v>2065</v>
      </c>
      <c r="L2796" t="s">
        <v>312</v>
      </c>
      <c r="M2796" t="s">
        <v>317</v>
      </c>
    </row>
    <row r="2797" spans="1:13" x14ac:dyDescent="0.3">
      <c r="A2797" t="s">
        <v>2983</v>
      </c>
      <c r="B2797" t="s">
        <v>2733</v>
      </c>
      <c r="C2797" t="s">
        <v>308</v>
      </c>
      <c r="D2797" t="s">
        <v>2989</v>
      </c>
      <c r="E2797" t="s">
        <v>1134</v>
      </c>
      <c r="H2797" t="s">
        <v>25</v>
      </c>
      <c r="I2797" t="s">
        <v>2069</v>
      </c>
      <c r="L2797" t="s">
        <v>312</v>
      </c>
      <c r="M2797" t="s">
        <v>317</v>
      </c>
    </row>
    <row r="2798" spans="1:13" x14ac:dyDescent="0.3">
      <c r="A2798" t="s">
        <v>2983</v>
      </c>
      <c r="B2798" t="s">
        <v>2733</v>
      </c>
      <c r="C2798" t="s">
        <v>308</v>
      </c>
      <c r="D2798" t="s">
        <v>2990</v>
      </c>
      <c r="E2798" t="s">
        <v>1138</v>
      </c>
      <c r="H2798" t="s">
        <v>25</v>
      </c>
      <c r="I2798" t="s">
        <v>2746</v>
      </c>
      <c r="L2798" t="s">
        <v>312</v>
      </c>
      <c r="M2798" t="s">
        <v>317</v>
      </c>
    </row>
    <row r="2799" spans="1:13" x14ac:dyDescent="0.3">
      <c r="A2799" t="s">
        <v>2983</v>
      </c>
      <c r="B2799" t="s">
        <v>2733</v>
      </c>
      <c r="C2799" t="s">
        <v>308</v>
      </c>
      <c r="D2799" t="s">
        <v>2991</v>
      </c>
      <c r="E2799" t="s">
        <v>341</v>
      </c>
      <c r="H2799" t="s">
        <v>25</v>
      </c>
      <c r="I2799" t="s">
        <v>342</v>
      </c>
      <c r="L2799" t="s">
        <v>312</v>
      </c>
      <c r="M2799" t="s">
        <v>343</v>
      </c>
    </row>
    <row r="2800" spans="1:13" x14ac:dyDescent="0.3">
      <c r="A2800" t="s">
        <v>2983</v>
      </c>
      <c r="B2800" t="s">
        <v>2733</v>
      </c>
      <c r="C2800" t="s">
        <v>22</v>
      </c>
      <c r="D2800" t="s">
        <v>23</v>
      </c>
      <c r="E2800" t="s">
        <v>28</v>
      </c>
    </row>
    <row r="2801" spans="1:27" x14ac:dyDescent="0.3">
      <c r="A2801" t="s">
        <v>2983</v>
      </c>
      <c r="B2801" t="s">
        <v>2733</v>
      </c>
      <c r="C2801" t="s">
        <v>2748</v>
      </c>
      <c r="D2801">
        <v>1.5</v>
      </c>
      <c r="H2801" t="s">
        <v>312</v>
      </c>
      <c r="I2801" t="s">
        <v>385</v>
      </c>
    </row>
    <row r="2802" spans="1:27" x14ac:dyDescent="0.3">
      <c r="A2802" t="s">
        <v>2983</v>
      </c>
      <c r="B2802" t="s">
        <v>2733</v>
      </c>
      <c r="C2802" t="s">
        <v>378</v>
      </c>
      <c r="D2802">
        <v>170</v>
      </c>
      <c r="H2802" t="s">
        <v>312</v>
      </c>
      <c r="I2802" t="s">
        <v>327</v>
      </c>
    </row>
    <row r="2803" spans="1:27" x14ac:dyDescent="0.3">
      <c r="A2803" t="s">
        <v>2983</v>
      </c>
      <c r="B2803" t="s">
        <v>2733</v>
      </c>
      <c r="C2803" t="s">
        <v>380</v>
      </c>
      <c r="D2803" t="s">
        <v>554</v>
      </c>
      <c r="E2803" t="s">
        <v>279</v>
      </c>
      <c r="F2803" t="s">
        <v>25</v>
      </c>
      <c r="G2803" t="s">
        <v>2992</v>
      </c>
      <c r="J2803" t="s">
        <v>2089</v>
      </c>
      <c r="K2803" t="s">
        <v>2750</v>
      </c>
      <c r="N2803" t="s">
        <v>2751</v>
      </c>
      <c r="O2803">
        <v>2</v>
      </c>
      <c r="R2803" t="s">
        <v>2752</v>
      </c>
      <c r="S2803">
        <v>158</v>
      </c>
      <c r="V2803" t="s">
        <v>2753</v>
      </c>
      <c r="W2803" t="s">
        <v>2754</v>
      </c>
      <c r="Z2803" t="s">
        <v>2755</v>
      </c>
      <c r="AA2803" t="s">
        <v>2756</v>
      </c>
    </row>
    <row r="2804" spans="1:27" x14ac:dyDescent="0.3">
      <c r="A2804" t="s">
        <v>2983</v>
      </c>
      <c r="B2804" t="s">
        <v>2733</v>
      </c>
      <c r="C2804" t="s">
        <v>16</v>
      </c>
      <c r="D2804" t="s">
        <v>75</v>
      </c>
      <c r="E2804" t="s">
        <v>37</v>
      </c>
    </row>
    <row r="2805" spans="1:27" x14ac:dyDescent="0.3">
      <c r="A2805" t="s">
        <v>2983</v>
      </c>
      <c r="B2805" t="s">
        <v>2733</v>
      </c>
      <c r="C2805" t="s">
        <v>11</v>
      </c>
      <c r="D2805" t="s">
        <v>12</v>
      </c>
      <c r="E2805" t="s">
        <v>13</v>
      </c>
      <c r="H2805" t="s">
        <v>382</v>
      </c>
      <c r="I2805" t="s">
        <v>2993</v>
      </c>
      <c r="L2805" t="s">
        <v>14</v>
      </c>
      <c r="M2805" t="s">
        <v>2993</v>
      </c>
    </row>
    <row r="2806" spans="1:27" x14ac:dyDescent="0.3">
      <c r="A2806" t="s">
        <v>2986</v>
      </c>
      <c r="B2806" t="s">
        <v>527</v>
      </c>
      <c r="C2806" t="s">
        <v>11</v>
      </c>
      <c r="D2806" t="s">
        <v>12</v>
      </c>
      <c r="E2806" t="s">
        <v>391</v>
      </c>
      <c r="H2806" t="s">
        <v>392</v>
      </c>
      <c r="I2806" t="s">
        <v>2758</v>
      </c>
      <c r="L2806" t="s">
        <v>394</v>
      </c>
      <c r="M2806" t="s">
        <v>2993</v>
      </c>
    </row>
    <row r="2807" spans="1:27" x14ac:dyDescent="0.3">
      <c r="A2807" t="s">
        <v>2985</v>
      </c>
      <c r="B2807" t="s">
        <v>2738</v>
      </c>
      <c r="C2807" t="s">
        <v>11</v>
      </c>
      <c r="D2807" t="s">
        <v>12</v>
      </c>
      <c r="E2807" t="s">
        <v>391</v>
      </c>
      <c r="H2807" t="s">
        <v>392</v>
      </c>
      <c r="I2807" t="s">
        <v>2994</v>
      </c>
      <c r="L2807" t="s">
        <v>394</v>
      </c>
      <c r="M2807" t="s">
        <v>2993</v>
      </c>
    </row>
    <row r="2808" spans="1:27" x14ac:dyDescent="0.3">
      <c r="A2808" t="s">
        <v>2984</v>
      </c>
      <c r="B2808" t="s">
        <v>2735</v>
      </c>
      <c r="C2808" t="s">
        <v>308</v>
      </c>
      <c r="D2808" t="s">
        <v>2995</v>
      </c>
      <c r="E2808" t="s">
        <v>406</v>
      </c>
      <c r="H2808" t="s">
        <v>25</v>
      </c>
      <c r="I2808" t="s">
        <v>2761</v>
      </c>
      <c r="L2808" t="s">
        <v>312</v>
      </c>
      <c r="M2808" t="s">
        <v>404</v>
      </c>
    </row>
    <row r="2809" spans="1:27" x14ac:dyDescent="0.3">
      <c r="A2809" t="s">
        <v>2995</v>
      </c>
      <c r="B2809" t="s">
        <v>406</v>
      </c>
      <c r="C2809" t="s">
        <v>11</v>
      </c>
      <c r="D2809" t="s">
        <v>12</v>
      </c>
      <c r="E2809" t="s">
        <v>391</v>
      </c>
      <c r="H2809" t="s">
        <v>392</v>
      </c>
      <c r="I2809" t="s">
        <v>2996</v>
      </c>
      <c r="L2809" t="s">
        <v>394</v>
      </c>
      <c r="M2809" t="s">
        <v>2993</v>
      </c>
    </row>
    <row r="2810" spans="1:27" x14ac:dyDescent="0.3">
      <c r="A2810" t="s">
        <v>2988</v>
      </c>
      <c r="B2810" t="s">
        <v>1138</v>
      </c>
      <c r="C2810" t="s">
        <v>11</v>
      </c>
      <c r="D2810" t="s">
        <v>12</v>
      </c>
      <c r="E2810" t="s">
        <v>391</v>
      </c>
      <c r="H2810" t="s">
        <v>392</v>
      </c>
      <c r="I2810" t="s">
        <v>2997</v>
      </c>
      <c r="L2810" t="s">
        <v>394</v>
      </c>
      <c r="M2810" t="s">
        <v>2993</v>
      </c>
    </row>
    <row r="2811" spans="1:27" x14ac:dyDescent="0.3">
      <c r="A2811" t="s">
        <v>2991</v>
      </c>
      <c r="B2811" t="s">
        <v>341</v>
      </c>
      <c r="C2811" t="s">
        <v>11</v>
      </c>
      <c r="D2811" t="s">
        <v>12</v>
      </c>
      <c r="E2811" t="s">
        <v>391</v>
      </c>
      <c r="H2811" t="s">
        <v>392</v>
      </c>
      <c r="I2811" t="s">
        <v>2998</v>
      </c>
      <c r="L2811" t="s">
        <v>394</v>
      </c>
      <c r="M2811" t="s">
        <v>2993</v>
      </c>
    </row>
    <row r="2812" spans="1:27" x14ac:dyDescent="0.3">
      <c r="A2812" t="s">
        <v>2989</v>
      </c>
      <c r="B2812" t="s">
        <v>1134</v>
      </c>
      <c r="C2812" t="s">
        <v>11</v>
      </c>
      <c r="D2812" t="s">
        <v>12</v>
      </c>
      <c r="E2812" t="s">
        <v>391</v>
      </c>
      <c r="H2812" t="s">
        <v>392</v>
      </c>
      <c r="I2812" t="s">
        <v>2999</v>
      </c>
      <c r="L2812" t="s">
        <v>394</v>
      </c>
      <c r="M2812" t="s">
        <v>2993</v>
      </c>
    </row>
    <row r="2813" spans="1:27" x14ac:dyDescent="0.3">
      <c r="A2813" t="s">
        <v>2990</v>
      </c>
      <c r="B2813" t="s">
        <v>1138</v>
      </c>
      <c r="C2813" t="s">
        <v>11</v>
      </c>
      <c r="D2813" t="s">
        <v>12</v>
      </c>
      <c r="E2813" t="s">
        <v>391</v>
      </c>
      <c r="H2813" t="s">
        <v>392</v>
      </c>
      <c r="I2813" t="s">
        <v>3000</v>
      </c>
      <c r="L2813" t="s">
        <v>394</v>
      </c>
      <c r="M2813" t="s">
        <v>2993</v>
      </c>
    </row>
    <row r="2814" spans="1:27" x14ac:dyDescent="0.3">
      <c r="A2814" t="s">
        <v>2987</v>
      </c>
      <c r="B2814" t="s">
        <v>2077</v>
      </c>
      <c r="C2814" t="s">
        <v>11</v>
      </c>
      <c r="D2814" t="s">
        <v>12</v>
      </c>
      <c r="E2814" t="s">
        <v>391</v>
      </c>
      <c r="H2814" t="s">
        <v>392</v>
      </c>
      <c r="I2814" t="s">
        <v>2128</v>
      </c>
      <c r="L2814" t="s">
        <v>394</v>
      </c>
      <c r="M2814" t="s">
        <v>2993</v>
      </c>
    </row>
    <row r="2815" spans="1:27" x14ac:dyDescent="0.3">
      <c r="A2815" t="s">
        <v>3001</v>
      </c>
      <c r="B2815" t="s">
        <v>2733</v>
      </c>
      <c r="C2815" t="s">
        <v>280</v>
      </c>
      <c r="D2815" t="s">
        <v>3002</v>
      </c>
      <c r="E2815" t="s">
        <v>2735</v>
      </c>
      <c r="H2815" t="s">
        <v>25</v>
      </c>
      <c r="I2815" t="s">
        <v>2736</v>
      </c>
    </row>
    <row r="2816" spans="1:27" x14ac:dyDescent="0.3">
      <c r="A2816" t="s">
        <v>3001</v>
      </c>
      <c r="B2816" t="s">
        <v>2733</v>
      </c>
      <c r="C2816" t="s">
        <v>308</v>
      </c>
      <c r="D2816" t="s">
        <v>3003</v>
      </c>
      <c r="E2816" t="s">
        <v>2738</v>
      </c>
      <c r="H2816" t="s">
        <v>25</v>
      </c>
      <c r="I2816" t="s">
        <v>2739</v>
      </c>
      <c r="L2816" t="s">
        <v>312</v>
      </c>
      <c r="M2816" t="s">
        <v>327</v>
      </c>
    </row>
    <row r="2817" spans="1:27" x14ac:dyDescent="0.3">
      <c r="A2817" t="s">
        <v>3001</v>
      </c>
      <c r="B2817" t="s">
        <v>2733</v>
      </c>
      <c r="C2817" t="s">
        <v>308</v>
      </c>
      <c r="D2817" t="s">
        <v>3004</v>
      </c>
      <c r="E2817" t="s">
        <v>527</v>
      </c>
      <c r="H2817" t="s">
        <v>25</v>
      </c>
      <c r="I2817" t="s">
        <v>2741</v>
      </c>
      <c r="L2817" t="s">
        <v>312</v>
      </c>
      <c r="M2817" t="s">
        <v>343</v>
      </c>
    </row>
    <row r="2818" spans="1:27" x14ac:dyDescent="0.3">
      <c r="A2818" t="s">
        <v>3001</v>
      </c>
      <c r="B2818" t="s">
        <v>2733</v>
      </c>
      <c r="C2818" t="s">
        <v>308</v>
      </c>
      <c r="D2818" t="s">
        <v>3005</v>
      </c>
      <c r="E2818" t="s">
        <v>2077</v>
      </c>
      <c r="H2818" t="s">
        <v>25</v>
      </c>
      <c r="I2818" t="s">
        <v>2078</v>
      </c>
      <c r="L2818" t="s">
        <v>312</v>
      </c>
      <c r="M2818" t="s">
        <v>1687</v>
      </c>
    </row>
    <row r="2819" spans="1:27" x14ac:dyDescent="0.3">
      <c r="A2819" t="s">
        <v>3001</v>
      </c>
      <c r="B2819" t="s">
        <v>2733</v>
      </c>
      <c r="C2819" t="s">
        <v>308</v>
      </c>
      <c r="D2819" t="s">
        <v>3006</v>
      </c>
      <c r="E2819" t="s">
        <v>1138</v>
      </c>
      <c r="H2819" t="s">
        <v>25</v>
      </c>
      <c r="I2819" t="s">
        <v>2065</v>
      </c>
      <c r="L2819" t="s">
        <v>312</v>
      </c>
      <c r="M2819" t="s">
        <v>317</v>
      </c>
    </row>
    <row r="2820" spans="1:27" x14ac:dyDescent="0.3">
      <c r="A2820" t="s">
        <v>3001</v>
      </c>
      <c r="B2820" t="s">
        <v>2733</v>
      </c>
      <c r="C2820" t="s">
        <v>308</v>
      </c>
      <c r="D2820" t="s">
        <v>3007</v>
      </c>
      <c r="E2820" t="s">
        <v>1134</v>
      </c>
      <c r="H2820" t="s">
        <v>25</v>
      </c>
      <c r="I2820" t="s">
        <v>2069</v>
      </c>
      <c r="L2820" t="s">
        <v>312</v>
      </c>
      <c r="M2820" t="s">
        <v>317</v>
      </c>
    </row>
    <row r="2821" spans="1:27" x14ac:dyDescent="0.3">
      <c r="A2821" t="s">
        <v>3001</v>
      </c>
      <c r="B2821" t="s">
        <v>2733</v>
      </c>
      <c r="C2821" t="s">
        <v>308</v>
      </c>
      <c r="D2821" t="s">
        <v>3008</v>
      </c>
      <c r="E2821" t="s">
        <v>1138</v>
      </c>
      <c r="H2821" t="s">
        <v>25</v>
      </c>
      <c r="I2821" t="s">
        <v>2746</v>
      </c>
      <c r="L2821" t="s">
        <v>312</v>
      </c>
      <c r="M2821" t="s">
        <v>317</v>
      </c>
    </row>
    <row r="2822" spans="1:27" x14ac:dyDescent="0.3">
      <c r="A2822" t="s">
        <v>3001</v>
      </c>
      <c r="B2822" t="s">
        <v>2733</v>
      </c>
      <c r="C2822" t="s">
        <v>308</v>
      </c>
      <c r="D2822" t="s">
        <v>3009</v>
      </c>
      <c r="E2822" t="s">
        <v>341</v>
      </c>
      <c r="H2822" t="s">
        <v>25</v>
      </c>
      <c r="I2822" t="s">
        <v>342</v>
      </c>
      <c r="L2822" t="s">
        <v>312</v>
      </c>
      <c r="M2822" t="s">
        <v>343</v>
      </c>
    </row>
    <row r="2823" spans="1:27" x14ac:dyDescent="0.3">
      <c r="A2823" t="s">
        <v>3001</v>
      </c>
      <c r="B2823" t="s">
        <v>2733</v>
      </c>
      <c r="C2823" t="s">
        <v>22</v>
      </c>
      <c r="D2823" t="s">
        <v>23</v>
      </c>
      <c r="E2823" t="s">
        <v>28</v>
      </c>
    </row>
    <row r="2824" spans="1:27" x14ac:dyDescent="0.3">
      <c r="A2824" t="s">
        <v>3001</v>
      </c>
      <c r="B2824" t="s">
        <v>2733</v>
      </c>
      <c r="C2824" t="s">
        <v>2748</v>
      </c>
      <c r="D2824">
        <v>1.5</v>
      </c>
      <c r="H2824" t="s">
        <v>312</v>
      </c>
      <c r="I2824" t="s">
        <v>385</v>
      </c>
    </row>
    <row r="2825" spans="1:27" x14ac:dyDescent="0.3">
      <c r="A2825" t="s">
        <v>3001</v>
      </c>
      <c r="B2825" t="s">
        <v>2733</v>
      </c>
      <c r="C2825" t="s">
        <v>378</v>
      </c>
      <c r="D2825">
        <v>185</v>
      </c>
      <c r="H2825" t="s">
        <v>312</v>
      </c>
      <c r="I2825" t="s">
        <v>327</v>
      </c>
    </row>
    <row r="2826" spans="1:27" x14ac:dyDescent="0.3">
      <c r="A2826" t="s">
        <v>3001</v>
      </c>
      <c r="B2826" t="s">
        <v>2733</v>
      </c>
      <c r="C2826" t="s">
        <v>380</v>
      </c>
      <c r="D2826" t="s">
        <v>554</v>
      </c>
      <c r="E2826" t="s">
        <v>279</v>
      </c>
      <c r="F2826" t="s">
        <v>25</v>
      </c>
      <c r="G2826" t="s">
        <v>3010</v>
      </c>
      <c r="J2826" t="s">
        <v>2089</v>
      </c>
      <c r="K2826" t="s">
        <v>2750</v>
      </c>
      <c r="N2826" t="s">
        <v>2751</v>
      </c>
      <c r="O2826">
        <v>2</v>
      </c>
      <c r="R2826" t="s">
        <v>2752</v>
      </c>
      <c r="S2826">
        <v>158</v>
      </c>
      <c r="V2826" t="s">
        <v>2753</v>
      </c>
      <c r="W2826" t="s">
        <v>2754</v>
      </c>
      <c r="Z2826" t="s">
        <v>2755</v>
      </c>
      <c r="AA2826" t="s">
        <v>2756</v>
      </c>
    </row>
    <row r="2827" spans="1:27" x14ac:dyDescent="0.3">
      <c r="A2827" t="s">
        <v>3001</v>
      </c>
      <c r="B2827" t="s">
        <v>2733</v>
      </c>
      <c r="C2827" t="s">
        <v>16</v>
      </c>
      <c r="D2827" t="s">
        <v>95</v>
      </c>
      <c r="E2827" t="s">
        <v>37</v>
      </c>
    </row>
    <row r="2828" spans="1:27" x14ac:dyDescent="0.3">
      <c r="A2828" t="s">
        <v>3001</v>
      </c>
      <c r="B2828" t="s">
        <v>2733</v>
      </c>
      <c r="C2828" t="s">
        <v>11</v>
      </c>
      <c r="D2828" t="s">
        <v>12</v>
      </c>
      <c r="E2828" t="s">
        <v>13</v>
      </c>
      <c r="H2828" t="s">
        <v>382</v>
      </c>
      <c r="I2828" t="s">
        <v>3011</v>
      </c>
      <c r="L2828" t="s">
        <v>14</v>
      </c>
      <c r="M2828" t="s">
        <v>3011</v>
      </c>
    </row>
    <row r="2829" spans="1:27" x14ac:dyDescent="0.3">
      <c r="A2829" t="s">
        <v>3004</v>
      </c>
      <c r="B2829" t="s">
        <v>527</v>
      </c>
      <c r="C2829" t="s">
        <v>11</v>
      </c>
      <c r="D2829" t="s">
        <v>12</v>
      </c>
      <c r="E2829" t="s">
        <v>391</v>
      </c>
      <c r="H2829" t="s">
        <v>392</v>
      </c>
      <c r="I2829" t="s">
        <v>2758</v>
      </c>
      <c r="L2829" t="s">
        <v>394</v>
      </c>
      <c r="M2829" t="s">
        <v>3011</v>
      </c>
    </row>
    <row r="2830" spans="1:27" x14ac:dyDescent="0.3">
      <c r="A2830" t="s">
        <v>3003</v>
      </c>
      <c r="B2830" t="s">
        <v>2738</v>
      </c>
      <c r="C2830" t="s">
        <v>11</v>
      </c>
      <c r="D2830" t="s">
        <v>12</v>
      </c>
      <c r="E2830" t="s">
        <v>391</v>
      </c>
      <c r="H2830" t="s">
        <v>392</v>
      </c>
      <c r="I2830" t="s">
        <v>3012</v>
      </c>
      <c r="L2830" t="s">
        <v>394</v>
      </c>
      <c r="M2830" t="s">
        <v>3011</v>
      </c>
    </row>
    <row r="2831" spans="1:27" x14ac:dyDescent="0.3">
      <c r="A2831" t="s">
        <v>3002</v>
      </c>
      <c r="B2831" t="s">
        <v>2735</v>
      </c>
      <c r="C2831" t="s">
        <v>308</v>
      </c>
      <c r="D2831" t="s">
        <v>3013</v>
      </c>
      <c r="E2831" t="s">
        <v>406</v>
      </c>
      <c r="H2831" t="s">
        <v>25</v>
      </c>
      <c r="I2831" t="s">
        <v>2761</v>
      </c>
      <c r="L2831" t="s">
        <v>312</v>
      </c>
      <c r="M2831" t="s">
        <v>404</v>
      </c>
    </row>
    <row r="2832" spans="1:27" x14ac:dyDescent="0.3">
      <c r="A2832" t="s">
        <v>3013</v>
      </c>
      <c r="B2832" t="s">
        <v>406</v>
      </c>
      <c r="C2832" t="s">
        <v>11</v>
      </c>
      <c r="D2832" t="s">
        <v>12</v>
      </c>
      <c r="E2832" t="s">
        <v>391</v>
      </c>
      <c r="H2832" t="s">
        <v>392</v>
      </c>
      <c r="I2832" t="s">
        <v>3014</v>
      </c>
      <c r="L2832" t="s">
        <v>394</v>
      </c>
      <c r="M2832" t="s">
        <v>3011</v>
      </c>
    </row>
    <row r="2833" spans="1:13" x14ac:dyDescent="0.3">
      <c r="A2833" t="s">
        <v>3006</v>
      </c>
      <c r="B2833" t="s">
        <v>1138</v>
      </c>
      <c r="C2833" t="s">
        <v>11</v>
      </c>
      <c r="D2833" t="s">
        <v>12</v>
      </c>
      <c r="E2833" t="s">
        <v>391</v>
      </c>
      <c r="H2833" t="s">
        <v>392</v>
      </c>
      <c r="I2833" t="s">
        <v>3015</v>
      </c>
      <c r="L2833" t="s">
        <v>394</v>
      </c>
      <c r="M2833" t="s">
        <v>3011</v>
      </c>
    </row>
    <row r="2834" spans="1:13" x14ac:dyDescent="0.3">
      <c r="A2834" t="s">
        <v>3009</v>
      </c>
      <c r="B2834" t="s">
        <v>341</v>
      </c>
      <c r="C2834" t="s">
        <v>11</v>
      </c>
      <c r="D2834" t="s">
        <v>12</v>
      </c>
      <c r="E2834" t="s">
        <v>391</v>
      </c>
      <c r="H2834" t="s">
        <v>392</v>
      </c>
      <c r="I2834" t="s">
        <v>3016</v>
      </c>
      <c r="L2834" t="s">
        <v>394</v>
      </c>
      <c r="M2834" t="s">
        <v>3011</v>
      </c>
    </row>
    <row r="2835" spans="1:13" x14ac:dyDescent="0.3">
      <c r="A2835" t="s">
        <v>3007</v>
      </c>
      <c r="B2835" t="s">
        <v>1134</v>
      </c>
      <c r="C2835" t="s">
        <v>11</v>
      </c>
      <c r="D2835" t="s">
        <v>12</v>
      </c>
      <c r="E2835" t="s">
        <v>391</v>
      </c>
      <c r="H2835" t="s">
        <v>392</v>
      </c>
      <c r="I2835" t="s">
        <v>3017</v>
      </c>
      <c r="L2835" t="s">
        <v>394</v>
      </c>
      <c r="M2835" t="s">
        <v>3011</v>
      </c>
    </row>
    <row r="2836" spans="1:13" x14ac:dyDescent="0.3">
      <c r="A2836" t="s">
        <v>3008</v>
      </c>
      <c r="B2836" t="s">
        <v>1138</v>
      </c>
      <c r="C2836" t="s">
        <v>11</v>
      </c>
      <c r="D2836" t="s">
        <v>12</v>
      </c>
      <c r="E2836" t="s">
        <v>391</v>
      </c>
      <c r="H2836" t="s">
        <v>392</v>
      </c>
      <c r="I2836" t="s">
        <v>3018</v>
      </c>
      <c r="L2836" t="s">
        <v>394</v>
      </c>
      <c r="M2836" t="s">
        <v>3011</v>
      </c>
    </row>
    <row r="2837" spans="1:13" x14ac:dyDescent="0.3">
      <c r="A2837" t="s">
        <v>3005</v>
      </c>
      <c r="B2837" t="s">
        <v>2077</v>
      </c>
      <c r="C2837" t="s">
        <v>11</v>
      </c>
      <c r="D2837" t="s">
        <v>12</v>
      </c>
      <c r="E2837" t="s">
        <v>391</v>
      </c>
      <c r="H2837" t="s">
        <v>392</v>
      </c>
      <c r="I2837" t="s">
        <v>2128</v>
      </c>
      <c r="L2837" t="s">
        <v>394</v>
      </c>
      <c r="M2837" t="s">
        <v>3011</v>
      </c>
    </row>
    <row r="2838" spans="1:13" x14ac:dyDescent="0.3">
      <c r="A2838" t="s">
        <v>3019</v>
      </c>
      <c r="B2838" t="s">
        <v>2733</v>
      </c>
      <c r="C2838" t="s">
        <v>280</v>
      </c>
      <c r="D2838" t="s">
        <v>3020</v>
      </c>
      <c r="E2838" t="s">
        <v>2735</v>
      </c>
      <c r="H2838" t="s">
        <v>25</v>
      </c>
      <c r="I2838" t="s">
        <v>2736</v>
      </c>
    </row>
    <row r="2839" spans="1:13" x14ac:dyDescent="0.3">
      <c r="A2839" t="s">
        <v>3019</v>
      </c>
      <c r="B2839" t="s">
        <v>2733</v>
      </c>
      <c r="C2839" t="s">
        <v>308</v>
      </c>
      <c r="D2839" t="s">
        <v>3021</v>
      </c>
      <c r="E2839" t="s">
        <v>2738</v>
      </c>
      <c r="H2839" t="s">
        <v>25</v>
      </c>
      <c r="I2839" t="s">
        <v>2739</v>
      </c>
      <c r="L2839" t="s">
        <v>312</v>
      </c>
      <c r="M2839" t="s">
        <v>327</v>
      </c>
    </row>
    <row r="2840" spans="1:13" x14ac:dyDescent="0.3">
      <c r="A2840" t="s">
        <v>3019</v>
      </c>
      <c r="B2840" t="s">
        <v>2733</v>
      </c>
      <c r="C2840" t="s">
        <v>308</v>
      </c>
      <c r="D2840" t="s">
        <v>3022</v>
      </c>
      <c r="E2840" t="s">
        <v>527</v>
      </c>
      <c r="H2840" t="s">
        <v>25</v>
      </c>
      <c r="I2840" t="s">
        <v>2741</v>
      </c>
      <c r="L2840" t="s">
        <v>312</v>
      </c>
      <c r="M2840" t="s">
        <v>343</v>
      </c>
    </row>
    <row r="2841" spans="1:13" x14ac:dyDescent="0.3">
      <c r="A2841" t="s">
        <v>3019</v>
      </c>
      <c r="B2841" t="s">
        <v>2733</v>
      </c>
      <c r="C2841" t="s">
        <v>308</v>
      </c>
      <c r="D2841" t="s">
        <v>3023</v>
      </c>
      <c r="E2841" t="s">
        <v>2077</v>
      </c>
      <c r="H2841" t="s">
        <v>25</v>
      </c>
      <c r="I2841" t="s">
        <v>2078</v>
      </c>
      <c r="L2841" t="s">
        <v>312</v>
      </c>
      <c r="M2841" t="s">
        <v>1687</v>
      </c>
    </row>
    <row r="2842" spans="1:13" x14ac:dyDescent="0.3">
      <c r="A2842" t="s">
        <v>3019</v>
      </c>
      <c r="B2842" t="s">
        <v>2733</v>
      </c>
      <c r="C2842" t="s">
        <v>308</v>
      </c>
      <c r="D2842" t="s">
        <v>3024</v>
      </c>
      <c r="E2842" t="s">
        <v>1138</v>
      </c>
      <c r="H2842" t="s">
        <v>25</v>
      </c>
      <c r="I2842" t="s">
        <v>2065</v>
      </c>
      <c r="L2842" t="s">
        <v>312</v>
      </c>
      <c r="M2842" t="s">
        <v>317</v>
      </c>
    </row>
    <row r="2843" spans="1:13" x14ac:dyDescent="0.3">
      <c r="A2843" t="s">
        <v>3019</v>
      </c>
      <c r="B2843" t="s">
        <v>2733</v>
      </c>
      <c r="C2843" t="s">
        <v>308</v>
      </c>
      <c r="D2843" t="s">
        <v>3025</v>
      </c>
      <c r="E2843" t="s">
        <v>1134</v>
      </c>
      <c r="H2843" t="s">
        <v>25</v>
      </c>
      <c r="I2843" t="s">
        <v>2069</v>
      </c>
      <c r="L2843" t="s">
        <v>312</v>
      </c>
      <c r="M2843" t="s">
        <v>317</v>
      </c>
    </row>
    <row r="2844" spans="1:13" x14ac:dyDescent="0.3">
      <c r="A2844" t="s">
        <v>3019</v>
      </c>
      <c r="B2844" t="s">
        <v>2733</v>
      </c>
      <c r="C2844" t="s">
        <v>308</v>
      </c>
      <c r="D2844" t="s">
        <v>3026</v>
      </c>
      <c r="E2844" t="s">
        <v>1138</v>
      </c>
      <c r="H2844" t="s">
        <v>25</v>
      </c>
      <c r="I2844" t="s">
        <v>2746</v>
      </c>
      <c r="L2844" t="s">
        <v>312</v>
      </c>
      <c r="M2844" t="s">
        <v>317</v>
      </c>
    </row>
    <row r="2845" spans="1:13" x14ac:dyDescent="0.3">
      <c r="A2845" t="s">
        <v>3019</v>
      </c>
      <c r="B2845" t="s">
        <v>2733</v>
      </c>
      <c r="C2845" t="s">
        <v>308</v>
      </c>
      <c r="D2845" t="s">
        <v>3027</v>
      </c>
      <c r="E2845" t="s">
        <v>341</v>
      </c>
      <c r="H2845" t="s">
        <v>25</v>
      </c>
      <c r="I2845" t="s">
        <v>342</v>
      </c>
      <c r="L2845" t="s">
        <v>312</v>
      </c>
      <c r="M2845" t="s">
        <v>343</v>
      </c>
    </row>
    <row r="2846" spans="1:13" x14ac:dyDescent="0.3">
      <c r="A2846" t="s">
        <v>3019</v>
      </c>
      <c r="B2846" t="s">
        <v>2733</v>
      </c>
      <c r="C2846" t="s">
        <v>22</v>
      </c>
      <c r="D2846" t="s">
        <v>23</v>
      </c>
      <c r="E2846" t="s">
        <v>28</v>
      </c>
    </row>
    <row r="2847" spans="1:13" x14ac:dyDescent="0.3">
      <c r="A2847" t="s">
        <v>3019</v>
      </c>
      <c r="B2847" t="s">
        <v>2733</v>
      </c>
      <c r="C2847" t="s">
        <v>2748</v>
      </c>
      <c r="D2847">
        <v>1.5</v>
      </c>
      <c r="H2847" t="s">
        <v>312</v>
      </c>
      <c r="I2847" t="s">
        <v>385</v>
      </c>
    </row>
    <row r="2848" spans="1:13" x14ac:dyDescent="0.3">
      <c r="A2848" t="s">
        <v>3019</v>
      </c>
      <c r="B2848" t="s">
        <v>2733</v>
      </c>
      <c r="C2848" t="s">
        <v>378</v>
      </c>
      <c r="D2848">
        <v>185</v>
      </c>
      <c r="H2848" t="s">
        <v>312</v>
      </c>
      <c r="I2848" t="s">
        <v>327</v>
      </c>
    </row>
    <row r="2849" spans="1:27" x14ac:dyDescent="0.3">
      <c r="A2849" t="s">
        <v>3019</v>
      </c>
      <c r="B2849" t="s">
        <v>2733</v>
      </c>
      <c r="C2849" t="s">
        <v>380</v>
      </c>
      <c r="D2849" t="s">
        <v>554</v>
      </c>
      <c r="E2849" t="s">
        <v>279</v>
      </c>
      <c r="F2849" t="s">
        <v>25</v>
      </c>
      <c r="G2849" t="s">
        <v>3028</v>
      </c>
      <c r="J2849" t="s">
        <v>2089</v>
      </c>
      <c r="K2849" t="s">
        <v>2750</v>
      </c>
      <c r="N2849" t="s">
        <v>2751</v>
      </c>
      <c r="O2849">
        <v>2</v>
      </c>
      <c r="R2849" t="s">
        <v>2752</v>
      </c>
      <c r="S2849">
        <v>158</v>
      </c>
      <c r="V2849" t="s">
        <v>2753</v>
      </c>
      <c r="W2849" t="s">
        <v>2754</v>
      </c>
      <c r="Z2849" t="s">
        <v>2755</v>
      </c>
      <c r="AA2849" t="s">
        <v>2756</v>
      </c>
    </row>
    <row r="2850" spans="1:27" x14ac:dyDescent="0.3">
      <c r="A2850" t="s">
        <v>3019</v>
      </c>
      <c r="B2850" t="s">
        <v>2733</v>
      </c>
      <c r="C2850" t="s">
        <v>16</v>
      </c>
      <c r="D2850" t="s">
        <v>97</v>
      </c>
      <c r="E2850" t="s">
        <v>37</v>
      </c>
    </row>
    <row r="2851" spans="1:27" x14ac:dyDescent="0.3">
      <c r="A2851" t="s">
        <v>3019</v>
      </c>
      <c r="B2851" t="s">
        <v>2733</v>
      </c>
      <c r="C2851" t="s">
        <v>11</v>
      </c>
      <c r="D2851" t="s">
        <v>12</v>
      </c>
      <c r="E2851" t="s">
        <v>13</v>
      </c>
      <c r="H2851" t="s">
        <v>382</v>
      </c>
      <c r="I2851" t="s">
        <v>3029</v>
      </c>
      <c r="L2851" t="s">
        <v>14</v>
      </c>
      <c r="M2851" t="s">
        <v>3029</v>
      </c>
    </row>
    <row r="2852" spans="1:27" x14ac:dyDescent="0.3">
      <c r="A2852" t="s">
        <v>3022</v>
      </c>
      <c r="B2852" t="s">
        <v>527</v>
      </c>
      <c r="C2852" t="s">
        <v>11</v>
      </c>
      <c r="D2852" t="s">
        <v>12</v>
      </c>
      <c r="E2852" t="s">
        <v>391</v>
      </c>
      <c r="H2852" t="s">
        <v>392</v>
      </c>
      <c r="I2852" t="s">
        <v>2758</v>
      </c>
      <c r="L2852" t="s">
        <v>394</v>
      </c>
      <c r="M2852" t="s">
        <v>3029</v>
      </c>
    </row>
    <row r="2853" spans="1:27" x14ac:dyDescent="0.3">
      <c r="A2853" t="s">
        <v>3021</v>
      </c>
      <c r="B2853" t="s">
        <v>2738</v>
      </c>
      <c r="C2853" t="s">
        <v>11</v>
      </c>
      <c r="D2853" t="s">
        <v>12</v>
      </c>
      <c r="E2853" t="s">
        <v>391</v>
      </c>
      <c r="H2853" t="s">
        <v>392</v>
      </c>
      <c r="I2853" t="s">
        <v>3030</v>
      </c>
      <c r="L2853" t="s">
        <v>394</v>
      </c>
      <c r="M2853" t="s">
        <v>3029</v>
      </c>
    </row>
    <row r="2854" spans="1:27" x14ac:dyDescent="0.3">
      <c r="A2854" t="s">
        <v>3020</v>
      </c>
      <c r="B2854" t="s">
        <v>2735</v>
      </c>
      <c r="C2854" t="s">
        <v>308</v>
      </c>
      <c r="D2854" t="s">
        <v>3031</v>
      </c>
      <c r="E2854" t="s">
        <v>406</v>
      </c>
      <c r="H2854" t="s">
        <v>25</v>
      </c>
      <c r="I2854" t="s">
        <v>2761</v>
      </c>
      <c r="L2854" t="s">
        <v>312</v>
      </c>
      <c r="M2854" t="s">
        <v>404</v>
      </c>
    </row>
    <row r="2855" spans="1:27" x14ac:dyDescent="0.3">
      <c r="A2855" t="s">
        <v>3031</v>
      </c>
      <c r="B2855" t="s">
        <v>406</v>
      </c>
      <c r="C2855" t="s">
        <v>11</v>
      </c>
      <c r="D2855" t="s">
        <v>12</v>
      </c>
      <c r="E2855" t="s">
        <v>391</v>
      </c>
      <c r="H2855" t="s">
        <v>392</v>
      </c>
      <c r="I2855" t="s">
        <v>3032</v>
      </c>
      <c r="L2855" t="s">
        <v>394</v>
      </c>
      <c r="M2855" t="s">
        <v>3029</v>
      </c>
    </row>
    <row r="2856" spans="1:27" x14ac:dyDescent="0.3">
      <c r="A2856" t="s">
        <v>3024</v>
      </c>
      <c r="B2856" t="s">
        <v>1138</v>
      </c>
      <c r="C2856" t="s">
        <v>11</v>
      </c>
      <c r="D2856" t="s">
        <v>12</v>
      </c>
      <c r="E2856" t="s">
        <v>391</v>
      </c>
      <c r="H2856" t="s">
        <v>392</v>
      </c>
      <c r="I2856" t="s">
        <v>3033</v>
      </c>
      <c r="L2856" t="s">
        <v>394</v>
      </c>
      <c r="M2856" t="s">
        <v>3029</v>
      </c>
    </row>
    <row r="2857" spans="1:27" x14ac:dyDescent="0.3">
      <c r="A2857" t="s">
        <v>3027</v>
      </c>
      <c r="B2857" t="s">
        <v>341</v>
      </c>
      <c r="C2857" t="s">
        <v>11</v>
      </c>
      <c r="D2857" t="s">
        <v>12</v>
      </c>
      <c r="E2857" t="s">
        <v>391</v>
      </c>
      <c r="H2857" t="s">
        <v>392</v>
      </c>
      <c r="I2857" t="s">
        <v>3034</v>
      </c>
      <c r="L2857" t="s">
        <v>394</v>
      </c>
      <c r="M2857" t="s">
        <v>3029</v>
      </c>
    </row>
    <row r="2858" spans="1:27" x14ac:dyDescent="0.3">
      <c r="A2858" t="s">
        <v>3025</v>
      </c>
      <c r="B2858" t="s">
        <v>1134</v>
      </c>
      <c r="C2858" t="s">
        <v>11</v>
      </c>
      <c r="D2858" t="s">
        <v>12</v>
      </c>
      <c r="E2858" t="s">
        <v>391</v>
      </c>
      <c r="H2858" t="s">
        <v>392</v>
      </c>
      <c r="I2858" t="s">
        <v>3035</v>
      </c>
      <c r="L2858" t="s">
        <v>394</v>
      </c>
      <c r="M2858" t="s">
        <v>3029</v>
      </c>
    </row>
    <row r="2859" spans="1:27" x14ac:dyDescent="0.3">
      <c r="A2859" t="s">
        <v>3026</v>
      </c>
      <c r="B2859" t="s">
        <v>1138</v>
      </c>
      <c r="C2859" t="s">
        <v>11</v>
      </c>
      <c r="D2859" t="s">
        <v>12</v>
      </c>
      <c r="E2859" t="s">
        <v>391</v>
      </c>
      <c r="H2859" t="s">
        <v>392</v>
      </c>
      <c r="I2859" t="s">
        <v>3036</v>
      </c>
      <c r="L2859" t="s">
        <v>394</v>
      </c>
      <c r="M2859" t="s">
        <v>3029</v>
      </c>
    </row>
    <row r="2860" spans="1:27" x14ac:dyDescent="0.3">
      <c r="A2860" t="s">
        <v>3023</v>
      </c>
      <c r="B2860" t="s">
        <v>2077</v>
      </c>
      <c r="C2860" t="s">
        <v>11</v>
      </c>
      <c r="D2860" t="s">
        <v>12</v>
      </c>
      <c r="E2860" t="s">
        <v>391</v>
      </c>
      <c r="H2860" t="s">
        <v>392</v>
      </c>
      <c r="I2860" t="s">
        <v>2128</v>
      </c>
      <c r="L2860" t="s">
        <v>394</v>
      </c>
      <c r="M2860" t="s">
        <v>3029</v>
      </c>
    </row>
    <row r="2861" spans="1:27" x14ac:dyDescent="0.3">
      <c r="A2861" t="s">
        <v>3037</v>
      </c>
      <c r="B2861" t="s">
        <v>2733</v>
      </c>
      <c r="C2861" t="s">
        <v>280</v>
      </c>
      <c r="D2861" t="s">
        <v>3038</v>
      </c>
      <c r="E2861" t="s">
        <v>2735</v>
      </c>
      <c r="H2861" t="s">
        <v>25</v>
      </c>
      <c r="I2861" t="s">
        <v>2736</v>
      </c>
    </row>
    <row r="2862" spans="1:27" x14ac:dyDescent="0.3">
      <c r="A2862" t="s">
        <v>3037</v>
      </c>
      <c r="B2862" t="s">
        <v>2733</v>
      </c>
      <c r="C2862" t="s">
        <v>308</v>
      </c>
      <c r="D2862" t="s">
        <v>3039</v>
      </c>
      <c r="E2862" t="s">
        <v>2738</v>
      </c>
      <c r="H2862" t="s">
        <v>25</v>
      </c>
      <c r="I2862" t="s">
        <v>2739</v>
      </c>
      <c r="L2862" t="s">
        <v>312</v>
      </c>
      <c r="M2862" t="s">
        <v>327</v>
      </c>
    </row>
    <row r="2863" spans="1:27" x14ac:dyDescent="0.3">
      <c r="A2863" t="s">
        <v>3037</v>
      </c>
      <c r="B2863" t="s">
        <v>2733</v>
      </c>
      <c r="C2863" t="s">
        <v>308</v>
      </c>
      <c r="D2863" t="s">
        <v>3040</v>
      </c>
      <c r="E2863" t="s">
        <v>527</v>
      </c>
      <c r="H2863" t="s">
        <v>25</v>
      </c>
      <c r="I2863" t="s">
        <v>2741</v>
      </c>
      <c r="L2863" t="s">
        <v>312</v>
      </c>
      <c r="M2863" t="s">
        <v>343</v>
      </c>
    </row>
    <row r="2864" spans="1:27" x14ac:dyDescent="0.3">
      <c r="A2864" t="s">
        <v>3037</v>
      </c>
      <c r="B2864" t="s">
        <v>2733</v>
      </c>
      <c r="C2864" t="s">
        <v>308</v>
      </c>
      <c r="D2864" t="s">
        <v>3041</v>
      </c>
      <c r="E2864" t="s">
        <v>2077</v>
      </c>
      <c r="H2864" t="s">
        <v>25</v>
      </c>
      <c r="I2864" t="s">
        <v>2078</v>
      </c>
      <c r="L2864" t="s">
        <v>312</v>
      </c>
      <c r="M2864" t="s">
        <v>1687</v>
      </c>
    </row>
    <row r="2865" spans="1:27" x14ac:dyDescent="0.3">
      <c r="A2865" t="s">
        <v>3037</v>
      </c>
      <c r="B2865" t="s">
        <v>2733</v>
      </c>
      <c r="C2865" t="s">
        <v>308</v>
      </c>
      <c r="D2865" t="s">
        <v>3042</v>
      </c>
      <c r="E2865" t="s">
        <v>1138</v>
      </c>
      <c r="H2865" t="s">
        <v>25</v>
      </c>
      <c r="I2865" t="s">
        <v>2065</v>
      </c>
      <c r="L2865" t="s">
        <v>312</v>
      </c>
      <c r="M2865" t="s">
        <v>317</v>
      </c>
    </row>
    <row r="2866" spans="1:27" x14ac:dyDescent="0.3">
      <c r="A2866" t="s">
        <v>3037</v>
      </c>
      <c r="B2866" t="s">
        <v>2733</v>
      </c>
      <c r="C2866" t="s">
        <v>308</v>
      </c>
      <c r="D2866" t="s">
        <v>3043</v>
      </c>
      <c r="E2866" t="s">
        <v>1134</v>
      </c>
      <c r="H2866" t="s">
        <v>25</v>
      </c>
      <c r="I2866" t="s">
        <v>2069</v>
      </c>
      <c r="L2866" t="s">
        <v>312</v>
      </c>
      <c r="M2866" t="s">
        <v>317</v>
      </c>
    </row>
    <row r="2867" spans="1:27" x14ac:dyDescent="0.3">
      <c r="A2867" t="s">
        <v>3037</v>
      </c>
      <c r="B2867" t="s">
        <v>2733</v>
      </c>
      <c r="C2867" t="s">
        <v>308</v>
      </c>
      <c r="D2867" t="s">
        <v>3044</v>
      </c>
      <c r="E2867" t="s">
        <v>1138</v>
      </c>
      <c r="H2867" t="s">
        <v>25</v>
      </c>
      <c r="I2867" t="s">
        <v>2746</v>
      </c>
      <c r="L2867" t="s">
        <v>312</v>
      </c>
      <c r="M2867" t="s">
        <v>317</v>
      </c>
    </row>
    <row r="2868" spans="1:27" x14ac:dyDescent="0.3">
      <c r="A2868" t="s">
        <v>3037</v>
      </c>
      <c r="B2868" t="s">
        <v>2733</v>
      </c>
      <c r="C2868" t="s">
        <v>308</v>
      </c>
      <c r="D2868" t="s">
        <v>3045</v>
      </c>
      <c r="E2868" t="s">
        <v>341</v>
      </c>
      <c r="H2868" t="s">
        <v>25</v>
      </c>
      <c r="I2868" t="s">
        <v>342</v>
      </c>
      <c r="L2868" t="s">
        <v>312</v>
      </c>
      <c r="M2868" t="s">
        <v>343</v>
      </c>
    </row>
    <row r="2869" spans="1:27" x14ac:dyDescent="0.3">
      <c r="A2869" t="s">
        <v>3037</v>
      </c>
      <c r="B2869" t="s">
        <v>2733</v>
      </c>
      <c r="C2869" t="s">
        <v>22</v>
      </c>
      <c r="D2869" t="s">
        <v>23</v>
      </c>
      <c r="E2869" t="s">
        <v>28</v>
      </c>
    </row>
    <row r="2870" spans="1:27" x14ac:dyDescent="0.3">
      <c r="A2870" t="s">
        <v>3037</v>
      </c>
      <c r="B2870" t="s">
        <v>2733</v>
      </c>
      <c r="C2870" t="s">
        <v>2748</v>
      </c>
      <c r="D2870">
        <v>1.5</v>
      </c>
      <c r="H2870" t="s">
        <v>312</v>
      </c>
      <c r="I2870" t="s">
        <v>385</v>
      </c>
    </row>
    <row r="2871" spans="1:27" x14ac:dyDescent="0.3">
      <c r="A2871" t="s">
        <v>3037</v>
      </c>
      <c r="B2871" t="s">
        <v>2733</v>
      </c>
      <c r="C2871" t="s">
        <v>378</v>
      </c>
      <c r="D2871">
        <v>185</v>
      </c>
      <c r="H2871" t="s">
        <v>312</v>
      </c>
      <c r="I2871" t="s">
        <v>327</v>
      </c>
    </row>
    <row r="2872" spans="1:27" x14ac:dyDescent="0.3">
      <c r="A2872" t="s">
        <v>3037</v>
      </c>
      <c r="B2872" t="s">
        <v>2733</v>
      </c>
      <c r="C2872" t="s">
        <v>380</v>
      </c>
      <c r="D2872" t="s">
        <v>554</v>
      </c>
      <c r="E2872" t="s">
        <v>279</v>
      </c>
      <c r="F2872" t="s">
        <v>25</v>
      </c>
      <c r="G2872" t="s">
        <v>3046</v>
      </c>
      <c r="J2872" t="s">
        <v>2089</v>
      </c>
      <c r="K2872" t="s">
        <v>2750</v>
      </c>
      <c r="N2872" t="s">
        <v>2751</v>
      </c>
      <c r="O2872">
        <v>2</v>
      </c>
      <c r="R2872" t="s">
        <v>2752</v>
      </c>
      <c r="S2872">
        <v>158</v>
      </c>
      <c r="V2872" t="s">
        <v>2753</v>
      </c>
      <c r="W2872" t="s">
        <v>2754</v>
      </c>
      <c r="Z2872" t="s">
        <v>2755</v>
      </c>
      <c r="AA2872" t="s">
        <v>2756</v>
      </c>
    </row>
    <row r="2873" spans="1:27" x14ac:dyDescent="0.3">
      <c r="A2873" t="s">
        <v>3037</v>
      </c>
      <c r="B2873" t="s">
        <v>2733</v>
      </c>
      <c r="C2873" t="s">
        <v>16</v>
      </c>
      <c r="D2873" t="s">
        <v>98</v>
      </c>
      <c r="E2873" t="s">
        <v>37</v>
      </c>
    </row>
    <row r="2874" spans="1:27" x14ac:dyDescent="0.3">
      <c r="A2874" t="s">
        <v>3037</v>
      </c>
      <c r="B2874" t="s">
        <v>2733</v>
      </c>
      <c r="C2874" t="s">
        <v>11</v>
      </c>
      <c r="D2874" t="s">
        <v>12</v>
      </c>
      <c r="E2874" t="s">
        <v>13</v>
      </c>
      <c r="H2874" t="s">
        <v>382</v>
      </c>
      <c r="I2874" t="s">
        <v>3047</v>
      </c>
      <c r="L2874" t="s">
        <v>14</v>
      </c>
      <c r="M2874" t="s">
        <v>3047</v>
      </c>
    </row>
    <row r="2875" spans="1:27" x14ac:dyDescent="0.3">
      <c r="A2875" t="s">
        <v>3040</v>
      </c>
      <c r="B2875" t="s">
        <v>527</v>
      </c>
      <c r="C2875" t="s">
        <v>11</v>
      </c>
      <c r="D2875" t="s">
        <v>12</v>
      </c>
      <c r="E2875" t="s">
        <v>391</v>
      </c>
      <c r="H2875" t="s">
        <v>392</v>
      </c>
      <c r="I2875" t="s">
        <v>2758</v>
      </c>
      <c r="L2875" t="s">
        <v>394</v>
      </c>
      <c r="M2875" t="s">
        <v>3047</v>
      </c>
    </row>
    <row r="2876" spans="1:27" x14ac:dyDescent="0.3">
      <c r="A2876" t="s">
        <v>3039</v>
      </c>
      <c r="B2876" t="s">
        <v>2738</v>
      </c>
      <c r="C2876" t="s">
        <v>11</v>
      </c>
      <c r="D2876" t="s">
        <v>12</v>
      </c>
      <c r="E2876" t="s">
        <v>391</v>
      </c>
      <c r="H2876" t="s">
        <v>392</v>
      </c>
      <c r="I2876" t="s">
        <v>3048</v>
      </c>
      <c r="L2876" t="s">
        <v>394</v>
      </c>
      <c r="M2876" t="s">
        <v>3047</v>
      </c>
    </row>
    <row r="2877" spans="1:27" x14ac:dyDescent="0.3">
      <c r="A2877" t="s">
        <v>3038</v>
      </c>
      <c r="B2877" t="s">
        <v>2735</v>
      </c>
      <c r="C2877" t="s">
        <v>308</v>
      </c>
      <c r="D2877" t="s">
        <v>3049</v>
      </c>
      <c r="E2877" t="s">
        <v>406</v>
      </c>
      <c r="H2877" t="s">
        <v>25</v>
      </c>
      <c r="I2877" t="s">
        <v>2761</v>
      </c>
      <c r="L2877" t="s">
        <v>312</v>
      </c>
      <c r="M2877" t="s">
        <v>404</v>
      </c>
    </row>
    <row r="2878" spans="1:27" x14ac:dyDescent="0.3">
      <c r="A2878" t="s">
        <v>3049</v>
      </c>
      <c r="B2878" t="s">
        <v>406</v>
      </c>
      <c r="C2878" t="s">
        <v>11</v>
      </c>
      <c r="D2878" t="s">
        <v>12</v>
      </c>
      <c r="E2878" t="s">
        <v>391</v>
      </c>
      <c r="H2878" t="s">
        <v>392</v>
      </c>
      <c r="I2878" t="s">
        <v>3050</v>
      </c>
      <c r="L2878" t="s">
        <v>394</v>
      </c>
      <c r="M2878" t="s">
        <v>3047</v>
      </c>
    </row>
    <row r="2879" spans="1:27" x14ac:dyDescent="0.3">
      <c r="A2879" t="s">
        <v>3042</v>
      </c>
      <c r="B2879" t="s">
        <v>1138</v>
      </c>
      <c r="C2879" t="s">
        <v>11</v>
      </c>
      <c r="D2879" t="s">
        <v>12</v>
      </c>
      <c r="E2879" t="s">
        <v>391</v>
      </c>
      <c r="H2879" t="s">
        <v>392</v>
      </c>
      <c r="I2879" t="s">
        <v>3051</v>
      </c>
      <c r="L2879" t="s">
        <v>394</v>
      </c>
      <c r="M2879" t="s">
        <v>3047</v>
      </c>
    </row>
    <row r="2880" spans="1:27" x14ac:dyDescent="0.3">
      <c r="A2880" t="s">
        <v>3045</v>
      </c>
      <c r="B2880" t="s">
        <v>341</v>
      </c>
      <c r="C2880" t="s">
        <v>11</v>
      </c>
      <c r="D2880" t="s">
        <v>12</v>
      </c>
      <c r="E2880" t="s">
        <v>391</v>
      </c>
      <c r="H2880" t="s">
        <v>392</v>
      </c>
      <c r="I2880" t="s">
        <v>3052</v>
      </c>
      <c r="L2880" t="s">
        <v>394</v>
      </c>
      <c r="M2880" t="s">
        <v>3047</v>
      </c>
    </row>
    <row r="2881" spans="1:27" x14ac:dyDescent="0.3">
      <c r="A2881" t="s">
        <v>3043</v>
      </c>
      <c r="B2881" t="s">
        <v>1134</v>
      </c>
      <c r="C2881" t="s">
        <v>11</v>
      </c>
      <c r="D2881" t="s">
        <v>12</v>
      </c>
      <c r="E2881" t="s">
        <v>391</v>
      </c>
      <c r="H2881" t="s">
        <v>392</v>
      </c>
      <c r="I2881" t="s">
        <v>3053</v>
      </c>
      <c r="L2881" t="s">
        <v>394</v>
      </c>
      <c r="M2881" t="s">
        <v>3047</v>
      </c>
    </row>
    <row r="2882" spans="1:27" x14ac:dyDescent="0.3">
      <c r="A2882" t="s">
        <v>3044</v>
      </c>
      <c r="B2882" t="s">
        <v>1138</v>
      </c>
      <c r="C2882" t="s">
        <v>11</v>
      </c>
      <c r="D2882" t="s">
        <v>12</v>
      </c>
      <c r="E2882" t="s">
        <v>391</v>
      </c>
      <c r="H2882" t="s">
        <v>392</v>
      </c>
      <c r="I2882" t="s">
        <v>3054</v>
      </c>
      <c r="L2882" t="s">
        <v>394</v>
      </c>
      <c r="M2882" t="s">
        <v>3047</v>
      </c>
    </row>
    <row r="2883" spans="1:27" x14ac:dyDescent="0.3">
      <c r="A2883" t="s">
        <v>3041</v>
      </c>
      <c r="B2883" t="s">
        <v>2077</v>
      </c>
      <c r="C2883" t="s">
        <v>11</v>
      </c>
      <c r="D2883" t="s">
        <v>12</v>
      </c>
      <c r="E2883" t="s">
        <v>391</v>
      </c>
      <c r="H2883" t="s">
        <v>392</v>
      </c>
      <c r="I2883" t="s">
        <v>2128</v>
      </c>
      <c r="L2883" t="s">
        <v>394</v>
      </c>
      <c r="M2883" t="s">
        <v>3047</v>
      </c>
    </row>
    <row r="2884" spans="1:27" x14ac:dyDescent="0.3">
      <c r="A2884" t="s">
        <v>3055</v>
      </c>
      <c r="B2884" t="s">
        <v>2733</v>
      </c>
      <c r="C2884" t="s">
        <v>280</v>
      </c>
      <c r="D2884" t="s">
        <v>3056</v>
      </c>
      <c r="E2884" t="s">
        <v>2735</v>
      </c>
      <c r="H2884" t="s">
        <v>25</v>
      </c>
      <c r="I2884" t="s">
        <v>2736</v>
      </c>
    </row>
    <row r="2885" spans="1:27" x14ac:dyDescent="0.3">
      <c r="A2885" t="s">
        <v>3055</v>
      </c>
      <c r="B2885" t="s">
        <v>2733</v>
      </c>
      <c r="C2885" t="s">
        <v>308</v>
      </c>
      <c r="D2885" t="s">
        <v>3057</v>
      </c>
      <c r="E2885" t="s">
        <v>2738</v>
      </c>
      <c r="H2885" t="s">
        <v>25</v>
      </c>
      <c r="I2885" t="s">
        <v>2739</v>
      </c>
      <c r="L2885" t="s">
        <v>312</v>
      </c>
      <c r="M2885" t="s">
        <v>327</v>
      </c>
    </row>
    <row r="2886" spans="1:27" x14ac:dyDescent="0.3">
      <c r="A2886" t="s">
        <v>3055</v>
      </c>
      <c r="B2886" t="s">
        <v>2733</v>
      </c>
      <c r="C2886" t="s">
        <v>308</v>
      </c>
      <c r="D2886" t="s">
        <v>3058</v>
      </c>
      <c r="E2886" t="s">
        <v>527</v>
      </c>
      <c r="H2886" t="s">
        <v>25</v>
      </c>
      <c r="I2886" t="s">
        <v>2741</v>
      </c>
      <c r="L2886" t="s">
        <v>312</v>
      </c>
      <c r="M2886" t="s">
        <v>343</v>
      </c>
    </row>
    <row r="2887" spans="1:27" x14ac:dyDescent="0.3">
      <c r="A2887" t="s">
        <v>3055</v>
      </c>
      <c r="B2887" t="s">
        <v>2733</v>
      </c>
      <c r="C2887" t="s">
        <v>308</v>
      </c>
      <c r="D2887" t="s">
        <v>3059</v>
      </c>
      <c r="E2887" t="s">
        <v>2077</v>
      </c>
      <c r="H2887" t="s">
        <v>25</v>
      </c>
      <c r="I2887" t="s">
        <v>2078</v>
      </c>
      <c r="L2887" t="s">
        <v>312</v>
      </c>
      <c r="M2887" t="s">
        <v>1687</v>
      </c>
    </row>
    <row r="2888" spans="1:27" x14ac:dyDescent="0.3">
      <c r="A2888" t="s">
        <v>3055</v>
      </c>
      <c r="B2888" t="s">
        <v>2733</v>
      </c>
      <c r="C2888" t="s">
        <v>308</v>
      </c>
      <c r="D2888" t="s">
        <v>3060</v>
      </c>
      <c r="E2888" t="s">
        <v>1138</v>
      </c>
      <c r="H2888" t="s">
        <v>25</v>
      </c>
      <c r="I2888" t="s">
        <v>2065</v>
      </c>
      <c r="L2888" t="s">
        <v>312</v>
      </c>
      <c r="M2888" t="s">
        <v>317</v>
      </c>
    </row>
    <row r="2889" spans="1:27" x14ac:dyDescent="0.3">
      <c r="A2889" t="s">
        <v>3055</v>
      </c>
      <c r="B2889" t="s">
        <v>2733</v>
      </c>
      <c r="C2889" t="s">
        <v>308</v>
      </c>
      <c r="D2889" t="s">
        <v>3061</v>
      </c>
      <c r="E2889" t="s">
        <v>1134</v>
      </c>
      <c r="H2889" t="s">
        <v>25</v>
      </c>
      <c r="I2889" t="s">
        <v>2069</v>
      </c>
      <c r="L2889" t="s">
        <v>312</v>
      </c>
      <c r="M2889" t="s">
        <v>317</v>
      </c>
    </row>
    <row r="2890" spans="1:27" x14ac:dyDescent="0.3">
      <c r="A2890" t="s">
        <v>3055</v>
      </c>
      <c r="B2890" t="s">
        <v>2733</v>
      </c>
      <c r="C2890" t="s">
        <v>308</v>
      </c>
      <c r="D2890" t="s">
        <v>3062</v>
      </c>
      <c r="E2890" t="s">
        <v>1138</v>
      </c>
      <c r="H2890" t="s">
        <v>25</v>
      </c>
      <c r="I2890" t="s">
        <v>2746</v>
      </c>
      <c r="L2890" t="s">
        <v>312</v>
      </c>
      <c r="M2890" t="s">
        <v>317</v>
      </c>
    </row>
    <row r="2891" spans="1:27" x14ac:dyDescent="0.3">
      <c r="A2891" t="s">
        <v>3055</v>
      </c>
      <c r="B2891" t="s">
        <v>2733</v>
      </c>
      <c r="C2891" t="s">
        <v>308</v>
      </c>
      <c r="D2891" t="s">
        <v>3063</v>
      </c>
      <c r="E2891" t="s">
        <v>341</v>
      </c>
      <c r="H2891" t="s">
        <v>25</v>
      </c>
      <c r="I2891" t="s">
        <v>342</v>
      </c>
      <c r="L2891" t="s">
        <v>312</v>
      </c>
      <c r="M2891" t="s">
        <v>343</v>
      </c>
    </row>
    <row r="2892" spans="1:27" x14ac:dyDescent="0.3">
      <c r="A2892" t="s">
        <v>3055</v>
      </c>
      <c r="B2892" t="s">
        <v>2733</v>
      </c>
      <c r="C2892" t="s">
        <v>22</v>
      </c>
      <c r="D2892" t="s">
        <v>23</v>
      </c>
      <c r="E2892" t="s">
        <v>28</v>
      </c>
    </row>
    <row r="2893" spans="1:27" x14ac:dyDescent="0.3">
      <c r="A2893" t="s">
        <v>3055</v>
      </c>
      <c r="B2893" t="s">
        <v>2733</v>
      </c>
      <c r="C2893" t="s">
        <v>2748</v>
      </c>
      <c r="D2893">
        <v>1.5</v>
      </c>
      <c r="H2893" t="s">
        <v>312</v>
      </c>
      <c r="I2893" t="s">
        <v>385</v>
      </c>
    </row>
    <row r="2894" spans="1:27" x14ac:dyDescent="0.3">
      <c r="A2894" t="s">
        <v>3055</v>
      </c>
      <c r="B2894" t="s">
        <v>2733</v>
      </c>
      <c r="C2894" t="s">
        <v>378</v>
      </c>
      <c r="D2894">
        <v>185</v>
      </c>
      <c r="H2894" t="s">
        <v>312</v>
      </c>
      <c r="I2894" t="s">
        <v>327</v>
      </c>
    </row>
    <row r="2895" spans="1:27" x14ac:dyDescent="0.3">
      <c r="A2895" t="s">
        <v>3055</v>
      </c>
      <c r="B2895" t="s">
        <v>2733</v>
      </c>
      <c r="C2895" t="s">
        <v>380</v>
      </c>
      <c r="D2895" t="s">
        <v>554</v>
      </c>
      <c r="E2895" t="s">
        <v>279</v>
      </c>
      <c r="F2895" t="s">
        <v>25</v>
      </c>
      <c r="G2895" t="s">
        <v>3064</v>
      </c>
      <c r="J2895" t="s">
        <v>2089</v>
      </c>
      <c r="K2895" t="s">
        <v>2750</v>
      </c>
      <c r="N2895" t="s">
        <v>2751</v>
      </c>
      <c r="O2895">
        <v>2</v>
      </c>
      <c r="R2895" t="s">
        <v>2752</v>
      </c>
      <c r="S2895">
        <v>158</v>
      </c>
      <c r="V2895" t="s">
        <v>2753</v>
      </c>
      <c r="W2895" t="s">
        <v>2754</v>
      </c>
      <c r="Z2895" t="s">
        <v>2755</v>
      </c>
      <c r="AA2895" t="s">
        <v>2756</v>
      </c>
    </row>
    <row r="2896" spans="1:27" x14ac:dyDescent="0.3">
      <c r="A2896" t="s">
        <v>3055</v>
      </c>
      <c r="B2896" t="s">
        <v>2733</v>
      </c>
      <c r="C2896" t="s">
        <v>16</v>
      </c>
      <c r="D2896" t="s">
        <v>99</v>
      </c>
      <c r="E2896" t="s">
        <v>37</v>
      </c>
    </row>
    <row r="2897" spans="1:13" x14ac:dyDescent="0.3">
      <c r="A2897" t="s">
        <v>3055</v>
      </c>
      <c r="B2897" t="s">
        <v>2733</v>
      </c>
      <c r="C2897" t="s">
        <v>11</v>
      </c>
      <c r="D2897" t="s">
        <v>12</v>
      </c>
      <c r="E2897" t="s">
        <v>13</v>
      </c>
      <c r="H2897" t="s">
        <v>382</v>
      </c>
      <c r="I2897" t="s">
        <v>3065</v>
      </c>
      <c r="L2897" t="s">
        <v>14</v>
      </c>
      <c r="M2897" t="s">
        <v>3065</v>
      </c>
    </row>
    <row r="2898" spans="1:13" x14ac:dyDescent="0.3">
      <c r="A2898" t="s">
        <v>3058</v>
      </c>
      <c r="B2898" t="s">
        <v>527</v>
      </c>
      <c r="C2898" t="s">
        <v>11</v>
      </c>
      <c r="D2898" t="s">
        <v>12</v>
      </c>
      <c r="E2898" t="s">
        <v>391</v>
      </c>
      <c r="H2898" t="s">
        <v>392</v>
      </c>
      <c r="I2898" t="s">
        <v>2758</v>
      </c>
      <c r="L2898" t="s">
        <v>394</v>
      </c>
      <c r="M2898" t="s">
        <v>3065</v>
      </c>
    </row>
    <row r="2899" spans="1:13" x14ac:dyDescent="0.3">
      <c r="A2899" t="s">
        <v>3057</v>
      </c>
      <c r="B2899" t="s">
        <v>2738</v>
      </c>
      <c r="C2899" t="s">
        <v>11</v>
      </c>
      <c r="D2899" t="s">
        <v>12</v>
      </c>
      <c r="E2899" t="s">
        <v>391</v>
      </c>
      <c r="H2899" t="s">
        <v>392</v>
      </c>
      <c r="I2899" t="s">
        <v>3066</v>
      </c>
      <c r="L2899" t="s">
        <v>394</v>
      </c>
      <c r="M2899" t="s">
        <v>3065</v>
      </c>
    </row>
    <row r="2900" spans="1:13" x14ac:dyDescent="0.3">
      <c r="A2900" t="s">
        <v>3056</v>
      </c>
      <c r="B2900" t="s">
        <v>2735</v>
      </c>
      <c r="C2900" t="s">
        <v>308</v>
      </c>
      <c r="D2900" t="s">
        <v>3067</v>
      </c>
      <c r="E2900" t="s">
        <v>406</v>
      </c>
      <c r="H2900" t="s">
        <v>25</v>
      </c>
      <c r="I2900" t="s">
        <v>2761</v>
      </c>
      <c r="L2900" t="s">
        <v>312</v>
      </c>
      <c r="M2900" t="s">
        <v>404</v>
      </c>
    </row>
    <row r="2901" spans="1:13" x14ac:dyDescent="0.3">
      <c r="A2901" t="s">
        <v>3067</v>
      </c>
      <c r="B2901" t="s">
        <v>406</v>
      </c>
      <c r="C2901" t="s">
        <v>11</v>
      </c>
      <c r="D2901" t="s">
        <v>12</v>
      </c>
      <c r="E2901" t="s">
        <v>391</v>
      </c>
      <c r="H2901" t="s">
        <v>392</v>
      </c>
      <c r="I2901" t="s">
        <v>3068</v>
      </c>
      <c r="L2901" t="s">
        <v>394</v>
      </c>
      <c r="M2901" t="s">
        <v>3065</v>
      </c>
    </row>
    <row r="2902" spans="1:13" x14ac:dyDescent="0.3">
      <c r="A2902" t="s">
        <v>3060</v>
      </c>
      <c r="B2902" t="s">
        <v>1138</v>
      </c>
      <c r="C2902" t="s">
        <v>11</v>
      </c>
      <c r="D2902" t="s">
        <v>12</v>
      </c>
      <c r="E2902" t="s">
        <v>391</v>
      </c>
      <c r="H2902" t="s">
        <v>392</v>
      </c>
      <c r="I2902" t="s">
        <v>3069</v>
      </c>
      <c r="L2902" t="s">
        <v>394</v>
      </c>
      <c r="M2902" t="s">
        <v>3065</v>
      </c>
    </row>
    <row r="2903" spans="1:13" x14ac:dyDescent="0.3">
      <c r="A2903" t="s">
        <v>3063</v>
      </c>
      <c r="B2903" t="s">
        <v>341</v>
      </c>
      <c r="C2903" t="s">
        <v>11</v>
      </c>
      <c r="D2903" t="s">
        <v>12</v>
      </c>
      <c r="E2903" t="s">
        <v>391</v>
      </c>
      <c r="H2903" t="s">
        <v>392</v>
      </c>
      <c r="I2903" t="s">
        <v>3070</v>
      </c>
      <c r="L2903" t="s">
        <v>394</v>
      </c>
      <c r="M2903" t="s">
        <v>3065</v>
      </c>
    </row>
    <row r="2904" spans="1:13" x14ac:dyDescent="0.3">
      <c r="A2904" t="s">
        <v>3061</v>
      </c>
      <c r="B2904" t="s">
        <v>1134</v>
      </c>
      <c r="C2904" t="s">
        <v>11</v>
      </c>
      <c r="D2904" t="s">
        <v>12</v>
      </c>
      <c r="E2904" t="s">
        <v>391</v>
      </c>
      <c r="H2904" t="s">
        <v>392</v>
      </c>
      <c r="I2904" t="s">
        <v>3071</v>
      </c>
      <c r="L2904" t="s">
        <v>394</v>
      </c>
      <c r="M2904" t="s">
        <v>3065</v>
      </c>
    </row>
    <row r="2905" spans="1:13" x14ac:dyDescent="0.3">
      <c r="A2905" t="s">
        <v>3062</v>
      </c>
      <c r="B2905" t="s">
        <v>1138</v>
      </c>
      <c r="C2905" t="s">
        <v>11</v>
      </c>
      <c r="D2905" t="s">
        <v>12</v>
      </c>
      <c r="E2905" t="s">
        <v>391</v>
      </c>
      <c r="H2905" t="s">
        <v>392</v>
      </c>
      <c r="I2905" t="s">
        <v>3072</v>
      </c>
      <c r="L2905" t="s">
        <v>394</v>
      </c>
      <c r="M2905" t="s">
        <v>3065</v>
      </c>
    </row>
    <row r="2906" spans="1:13" x14ac:dyDescent="0.3">
      <c r="A2906" t="s">
        <v>3059</v>
      </c>
      <c r="B2906" t="s">
        <v>2077</v>
      </c>
      <c r="C2906" t="s">
        <v>11</v>
      </c>
      <c r="D2906" t="s">
        <v>12</v>
      </c>
      <c r="E2906" t="s">
        <v>391</v>
      </c>
      <c r="H2906" t="s">
        <v>392</v>
      </c>
      <c r="I2906" t="s">
        <v>2128</v>
      </c>
      <c r="L2906" t="s">
        <v>394</v>
      </c>
      <c r="M2906" t="s">
        <v>3065</v>
      </c>
    </row>
    <row r="2907" spans="1:13" x14ac:dyDescent="0.3">
      <c r="A2907" t="s">
        <v>3073</v>
      </c>
      <c r="B2907" t="s">
        <v>2733</v>
      </c>
      <c r="C2907" t="s">
        <v>280</v>
      </c>
      <c r="D2907" t="s">
        <v>3074</v>
      </c>
      <c r="E2907" t="s">
        <v>2735</v>
      </c>
      <c r="H2907" t="s">
        <v>25</v>
      </c>
      <c r="I2907" t="s">
        <v>2736</v>
      </c>
    </row>
    <row r="2908" spans="1:13" x14ac:dyDescent="0.3">
      <c r="A2908" t="s">
        <v>3073</v>
      </c>
      <c r="B2908" t="s">
        <v>2733</v>
      </c>
      <c r="C2908" t="s">
        <v>308</v>
      </c>
      <c r="D2908" t="s">
        <v>3075</v>
      </c>
      <c r="E2908" t="s">
        <v>2738</v>
      </c>
      <c r="H2908" t="s">
        <v>25</v>
      </c>
      <c r="I2908" t="s">
        <v>2739</v>
      </c>
      <c r="L2908" t="s">
        <v>312</v>
      </c>
      <c r="M2908" t="s">
        <v>327</v>
      </c>
    </row>
    <row r="2909" spans="1:13" x14ac:dyDescent="0.3">
      <c r="A2909" t="s">
        <v>3073</v>
      </c>
      <c r="B2909" t="s">
        <v>2733</v>
      </c>
      <c r="C2909" t="s">
        <v>308</v>
      </c>
      <c r="D2909" t="s">
        <v>3076</v>
      </c>
      <c r="E2909" t="s">
        <v>527</v>
      </c>
      <c r="H2909" t="s">
        <v>25</v>
      </c>
      <c r="I2909" t="s">
        <v>2741</v>
      </c>
      <c r="L2909" t="s">
        <v>312</v>
      </c>
      <c r="M2909" t="s">
        <v>343</v>
      </c>
    </row>
    <row r="2910" spans="1:13" x14ac:dyDescent="0.3">
      <c r="A2910" t="s">
        <v>3073</v>
      </c>
      <c r="B2910" t="s">
        <v>2733</v>
      </c>
      <c r="C2910" t="s">
        <v>308</v>
      </c>
      <c r="D2910" t="s">
        <v>3077</v>
      </c>
      <c r="E2910" t="s">
        <v>2077</v>
      </c>
      <c r="H2910" t="s">
        <v>25</v>
      </c>
      <c r="I2910" t="s">
        <v>2078</v>
      </c>
      <c r="L2910" t="s">
        <v>312</v>
      </c>
      <c r="M2910" t="s">
        <v>1687</v>
      </c>
    </row>
    <row r="2911" spans="1:13" x14ac:dyDescent="0.3">
      <c r="A2911" t="s">
        <v>3073</v>
      </c>
      <c r="B2911" t="s">
        <v>2733</v>
      </c>
      <c r="C2911" t="s">
        <v>308</v>
      </c>
      <c r="D2911" t="s">
        <v>3078</v>
      </c>
      <c r="E2911" t="s">
        <v>1138</v>
      </c>
      <c r="H2911" t="s">
        <v>25</v>
      </c>
      <c r="I2911" t="s">
        <v>2065</v>
      </c>
      <c r="L2911" t="s">
        <v>312</v>
      </c>
      <c r="M2911" t="s">
        <v>317</v>
      </c>
    </row>
    <row r="2912" spans="1:13" x14ac:dyDescent="0.3">
      <c r="A2912" t="s">
        <v>3073</v>
      </c>
      <c r="B2912" t="s">
        <v>2733</v>
      </c>
      <c r="C2912" t="s">
        <v>308</v>
      </c>
      <c r="D2912" t="s">
        <v>3079</v>
      </c>
      <c r="E2912" t="s">
        <v>1134</v>
      </c>
      <c r="H2912" t="s">
        <v>25</v>
      </c>
      <c r="I2912" t="s">
        <v>2069</v>
      </c>
      <c r="L2912" t="s">
        <v>312</v>
      </c>
      <c r="M2912" t="s">
        <v>317</v>
      </c>
    </row>
    <row r="2913" spans="1:27" x14ac:dyDescent="0.3">
      <c r="A2913" t="s">
        <v>3073</v>
      </c>
      <c r="B2913" t="s">
        <v>2733</v>
      </c>
      <c r="C2913" t="s">
        <v>308</v>
      </c>
      <c r="D2913" t="s">
        <v>3080</v>
      </c>
      <c r="E2913" t="s">
        <v>1138</v>
      </c>
      <c r="H2913" t="s">
        <v>25</v>
      </c>
      <c r="I2913" t="s">
        <v>2746</v>
      </c>
      <c r="L2913" t="s">
        <v>312</v>
      </c>
      <c r="M2913" t="s">
        <v>317</v>
      </c>
    </row>
    <row r="2914" spans="1:27" x14ac:dyDescent="0.3">
      <c r="A2914" t="s">
        <v>3073</v>
      </c>
      <c r="B2914" t="s">
        <v>2733</v>
      </c>
      <c r="C2914" t="s">
        <v>308</v>
      </c>
      <c r="D2914" t="s">
        <v>3081</v>
      </c>
      <c r="E2914" t="s">
        <v>341</v>
      </c>
      <c r="H2914" t="s">
        <v>25</v>
      </c>
      <c r="I2914" t="s">
        <v>342</v>
      </c>
      <c r="L2914" t="s">
        <v>312</v>
      </c>
      <c r="M2914" t="s">
        <v>343</v>
      </c>
    </row>
    <row r="2915" spans="1:27" x14ac:dyDescent="0.3">
      <c r="A2915" t="s">
        <v>3073</v>
      </c>
      <c r="B2915" t="s">
        <v>2733</v>
      </c>
      <c r="C2915" t="s">
        <v>22</v>
      </c>
      <c r="D2915" t="s">
        <v>23</v>
      </c>
      <c r="E2915" t="s">
        <v>28</v>
      </c>
    </row>
    <row r="2916" spans="1:27" x14ac:dyDescent="0.3">
      <c r="A2916" t="s">
        <v>3073</v>
      </c>
      <c r="B2916" t="s">
        <v>2733</v>
      </c>
      <c r="C2916" t="s">
        <v>2748</v>
      </c>
      <c r="D2916">
        <v>1.5</v>
      </c>
      <c r="H2916" t="s">
        <v>312</v>
      </c>
      <c r="I2916" t="s">
        <v>385</v>
      </c>
    </row>
    <row r="2917" spans="1:27" x14ac:dyDescent="0.3">
      <c r="A2917" t="s">
        <v>3073</v>
      </c>
      <c r="B2917" t="s">
        <v>2733</v>
      </c>
      <c r="C2917" t="s">
        <v>378</v>
      </c>
      <c r="D2917">
        <v>185</v>
      </c>
      <c r="H2917" t="s">
        <v>312</v>
      </c>
      <c r="I2917" t="s">
        <v>327</v>
      </c>
    </row>
    <row r="2918" spans="1:27" x14ac:dyDescent="0.3">
      <c r="A2918" t="s">
        <v>3073</v>
      </c>
      <c r="B2918" t="s">
        <v>2733</v>
      </c>
      <c r="C2918" t="s">
        <v>380</v>
      </c>
      <c r="D2918" t="s">
        <v>554</v>
      </c>
      <c r="E2918" t="s">
        <v>279</v>
      </c>
      <c r="F2918" t="s">
        <v>25</v>
      </c>
      <c r="G2918" t="s">
        <v>3082</v>
      </c>
      <c r="J2918" t="s">
        <v>2089</v>
      </c>
      <c r="K2918" t="s">
        <v>2750</v>
      </c>
      <c r="N2918" t="s">
        <v>2751</v>
      </c>
      <c r="O2918">
        <v>2</v>
      </c>
      <c r="R2918" t="s">
        <v>2752</v>
      </c>
      <c r="S2918">
        <v>158</v>
      </c>
      <c r="V2918" t="s">
        <v>2753</v>
      </c>
      <c r="W2918" t="s">
        <v>2754</v>
      </c>
      <c r="Z2918" t="s">
        <v>2755</v>
      </c>
      <c r="AA2918" t="s">
        <v>2756</v>
      </c>
    </row>
    <row r="2919" spans="1:27" x14ac:dyDescent="0.3">
      <c r="A2919" t="s">
        <v>3073</v>
      </c>
      <c r="B2919" t="s">
        <v>2733</v>
      </c>
      <c r="C2919" t="s">
        <v>16</v>
      </c>
      <c r="D2919" t="s">
        <v>99</v>
      </c>
      <c r="E2919" t="s">
        <v>37</v>
      </c>
    </row>
    <row r="2920" spans="1:27" x14ac:dyDescent="0.3">
      <c r="A2920" t="s">
        <v>3073</v>
      </c>
      <c r="B2920" t="s">
        <v>2733</v>
      </c>
      <c r="C2920" t="s">
        <v>11</v>
      </c>
      <c r="D2920" t="s">
        <v>12</v>
      </c>
      <c r="E2920" t="s">
        <v>13</v>
      </c>
      <c r="H2920" t="s">
        <v>382</v>
      </c>
      <c r="I2920" t="s">
        <v>3083</v>
      </c>
      <c r="L2920" t="s">
        <v>14</v>
      </c>
      <c r="M2920" t="s">
        <v>3083</v>
      </c>
    </row>
    <row r="2921" spans="1:27" x14ac:dyDescent="0.3">
      <c r="A2921" t="s">
        <v>3076</v>
      </c>
      <c r="B2921" t="s">
        <v>527</v>
      </c>
      <c r="C2921" t="s">
        <v>11</v>
      </c>
      <c r="D2921" t="s">
        <v>12</v>
      </c>
      <c r="E2921" t="s">
        <v>391</v>
      </c>
      <c r="H2921" t="s">
        <v>392</v>
      </c>
      <c r="I2921" t="s">
        <v>2758</v>
      </c>
      <c r="L2921" t="s">
        <v>394</v>
      </c>
      <c r="M2921" t="s">
        <v>3083</v>
      </c>
    </row>
    <row r="2922" spans="1:27" x14ac:dyDescent="0.3">
      <c r="A2922" t="s">
        <v>3075</v>
      </c>
      <c r="B2922" t="s">
        <v>2738</v>
      </c>
      <c r="C2922" t="s">
        <v>11</v>
      </c>
      <c r="D2922" t="s">
        <v>12</v>
      </c>
      <c r="E2922" t="s">
        <v>391</v>
      </c>
      <c r="H2922" t="s">
        <v>392</v>
      </c>
      <c r="I2922" t="s">
        <v>3084</v>
      </c>
      <c r="L2922" t="s">
        <v>394</v>
      </c>
      <c r="M2922" t="s">
        <v>3083</v>
      </c>
    </row>
    <row r="2923" spans="1:27" x14ac:dyDescent="0.3">
      <c r="A2923" t="s">
        <v>3074</v>
      </c>
      <c r="B2923" t="s">
        <v>2735</v>
      </c>
      <c r="C2923" t="s">
        <v>308</v>
      </c>
      <c r="D2923" t="s">
        <v>3085</v>
      </c>
      <c r="E2923" t="s">
        <v>406</v>
      </c>
      <c r="H2923" t="s">
        <v>25</v>
      </c>
      <c r="I2923" t="s">
        <v>2761</v>
      </c>
      <c r="L2923" t="s">
        <v>312</v>
      </c>
      <c r="M2923" t="s">
        <v>404</v>
      </c>
    </row>
    <row r="2924" spans="1:27" x14ac:dyDescent="0.3">
      <c r="A2924" t="s">
        <v>3085</v>
      </c>
      <c r="B2924" t="s">
        <v>406</v>
      </c>
      <c r="C2924" t="s">
        <v>11</v>
      </c>
      <c r="D2924" t="s">
        <v>12</v>
      </c>
      <c r="E2924" t="s">
        <v>391</v>
      </c>
      <c r="H2924" t="s">
        <v>392</v>
      </c>
      <c r="I2924" t="s">
        <v>3086</v>
      </c>
      <c r="L2924" t="s">
        <v>394</v>
      </c>
      <c r="M2924" t="s">
        <v>3083</v>
      </c>
    </row>
    <row r="2925" spans="1:27" x14ac:dyDescent="0.3">
      <c r="A2925" t="s">
        <v>3078</v>
      </c>
      <c r="B2925" t="s">
        <v>1138</v>
      </c>
      <c r="C2925" t="s">
        <v>11</v>
      </c>
      <c r="D2925" t="s">
        <v>12</v>
      </c>
      <c r="E2925" t="s">
        <v>391</v>
      </c>
      <c r="H2925" t="s">
        <v>392</v>
      </c>
      <c r="I2925" t="s">
        <v>3087</v>
      </c>
      <c r="L2925" t="s">
        <v>394</v>
      </c>
      <c r="M2925" t="s">
        <v>3083</v>
      </c>
    </row>
    <row r="2926" spans="1:27" x14ac:dyDescent="0.3">
      <c r="A2926" t="s">
        <v>3081</v>
      </c>
      <c r="B2926" t="s">
        <v>341</v>
      </c>
      <c r="C2926" t="s">
        <v>11</v>
      </c>
      <c r="D2926" t="s">
        <v>12</v>
      </c>
      <c r="E2926" t="s">
        <v>391</v>
      </c>
      <c r="H2926" t="s">
        <v>392</v>
      </c>
      <c r="I2926" t="s">
        <v>3088</v>
      </c>
      <c r="L2926" t="s">
        <v>394</v>
      </c>
      <c r="M2926" t="s">
        <v>3083</v>
      </c>
    </row>
    <row r="2927" spans="1:27" x14ac:dyDescent="0.3">
      <c r="A2927" t="s">
        <v>3079</v>
      </c>
      <c r="B2927" t="s">
        <v>1134</v>
      </c>
      <c r="C2927" t="s">
        <v>11</v>
      </c>
      <c r="D2927" t="s">
        <v>12</v>
      </c>
      <c r="E2927" t="s">
        <v>391</v>
      </c>
      <c r="H2927" t="s">
        <v>392</v>
      </c>
      <c r="I2927" t="s">
        <v>3089</v>
      </c>
      <c r="L2927" t="s">
        <v>394</v>
      </c>
      <c r="M2927" t="s">
        <v>3083</v>
      </c>
    </row>
    <row r="2928" spans="1:27" x14ac:dyDescent="0.3">
      <c r="A2928" t="s">
        <v>3080</v>
      </c>
      <c r="B2928" t="s">
        <v>1138</v>
      </c>
      <c r="C2928" t="s">
        <v>11</v>
      </c>
      <c r="D2928" t="s">
        <v>12</v>
      </c>
      <c r="E2928" t="s">
        <v>391</v>
      </c>
      <c r="H2928" t="s">
        <v>392</v>
      </c>
      <c r="I2928" t="s">
        <v>3090</v>
      </c>
      <c r="L2928" t="s">
        <v>394</v>
      </c>
      <c r="M2928" t="s">
        <v>3083</v>
      </c>
    </row>
    <row r="2929" spans="1:27" x14ac:dyDescent="0.3">
      <c r="A2929" t="s">
        <v>3077</v>
      </c>
      <c r="B2929" t="s">
        <v>2077</v>
      </c>
      <c r="C2929" t="s">
        <v>11</v>
      </c>
      <c r="D2929" t="s">
        <v>12</v>
      </c>
      <c r="E2929" t="s">
        <v>391</v>
      </c>
      <c r="H2929" t="s">
        <v>392</v>
      </c>
      <c r="I2929" t="s">
        <v>2128</v>
      </c>
      <c r="L2929" t="s">
        <v>394</v>
      </c>
      <c r="M2929" t="s">
        <v>3083</v>
      </c>
    </row>
    <row r="2930" spans="1:27" x14ac:dyDescent="0.3">
      <c r="A2930" t="s">
        <v>3091</v>
      </c>
      <c r="B2930" t="s">
        <v>2733</v>
      </c>
      <c r="C2930" t="s">
        <v>280</v>
      </c>
      <c r="D2930" t="s">
        <v>3092</v>
      </c>
      <c r="E2930" t="s">
        <v>2735</v>
      </c>
      <c r="H2930" t="s">
        <v>25</v>
      </c>
      <c r="I2930" t="s">
        <v>2736</v>
      </c>
    </row>
    <row r="2931" spans="1:27" x14ac:dyDescent="0.3">
      <c r="A2931" t="s">
        <v>3091</v>
      </c>
      <c r="B2931" t="s">
        <v>2733</v>
      </c>
      <c r="C2931" t="s">
        <v>308</v>
      </c>
      <c r="D2931" t="s">
        <v>3093</v>
      </c>
      <c r="E2931" t="s">
        <v>2738</v>
      </c>
      <c r="H2931" t="s">
        <v>25</v>
      </c>
      <c r="I2931" t="s">
        <v>2739</v>
      </c>
      <c r="L2931" t="s">
        <v>312</v>
      </c>
      <c r="M2931" t="s">
        <v>327</v>
      </c>
    </row>
    <row r="2932" spans="1:27" x14ac:dyDescent="0.3">
      <c r="A2932" t="s">
        <v>3091</v>
      </c>
      <c r="B2932" t="s">
        <v>2733</v>
      </c>
      <c r="C2932" t="s">
        <v>308</v>
      </c>
      <c r="D2932" t="s">
        <v>3094</v>
      </c>
      <c r="E2932" t="s">
        <v>527</v>
      </c>
      <c r="H2932" t="s">
        <v>25</v>
      </c>
      <c r="I2932" t="s">
        <v>2741</v>
      </c>
      <c r="L2932" t="s">
        <v>312</v>
      </c>
      <c r="M2932" t="s">
        <v>343</v>
      </c>
    </row>
    <row r="2933" spans="1:27" x14ac:dyDescent="0.3">
      <c r="A2933" t="s">
        <v>3091</v>
      </c>
      <c r="B2933" t="s">
        <v>2733</v>
      </c>
      <c r="C2933" t="s">
        <v>308</v>
      </c>
      <c r="D2933" t="s">
        <v>3095</v>
      </c>
      <c r="E2933" t="s">
        <v>2077</v>
      </c>
      <c r="H2933" t="s">
        <v>25</v>
      </c>
      <c r="I2933" t="s">
        <v>2078</v>
      </c>
      <c r="L2933" t="s">
        <v>312</v>
      </c>
      <c r="M2933" t="s">
        <v>1687</v>
      </c>
    </row>
    <row r="2934" spans="1:27" x14ac:dyDescent="0.3">
      <c r="A2934" t="s">
        <v>3091</v>
      </c>
      <c r="B2934" t="s">
        <v>2733</v>
      </c>
      <c r="C2934" t="s">
        <v>308</v>
      </c>
      <c r="D2934" t="s">
        <v>3096</v>
      </c>
      <c r="E2934" t="s">
        <v>1138</v>
      </c>
      <c r="H2934" t="s">
        <v>25</v>
      </c>
      <c r="I2934" t="s">
        <v>2065</v>
      </c>
      <c r="L2934" t="s">
        <v>312</v>
      </c>
      <c r="M2934" t="s">
        <v>317</v>
      </c>
    </row>
    <row r="2935" spans="1:27" x14ac:dyDescent="0.3">
      <c r="A2935" t="s">
        <v>3091</v>
      </c>
      <c r="B2935" t="s">
        <v>2733</v>
      </c>
      <c r="C2935" t="s">
        <v>308</v>
      </c>
      <c r="D2935" t="s">
        <v>3097</v>
      </c>
      <c r="E2935" t="s">
        <v>1134</v>
      </c>
      <c r="H2935" t="s">
        <v>25</v>
      </c>
      <c r="I2935" t="s">
        <v>2069</v>
      </c>
      <c r="L2935" t="s">
        <v>312</v>
      </c>
      <c r="M2935" t="s">
        <v>317</v>
      </c>
    </row>
    <row r="2936" spans="1:27" x14ac:dyDescent="0.3">
      <c r="A2936" t="s">
        <v>3091</v>
      </c>
      <c r="B2936" t="s">
        <v>2733</v>
      </c>
      <c r="C2936" t="s">
        <v>308</v>
      </c>
      <c r="D2936" t="s">
        <v>3098</v>
      </c>
      <c r="E2936" t="s">
        <v>1138</v>
      </c>
      <c r="H2936" t="s">
        <v>25</v>
      </c>
      <c r="I2936" t="s">
        <v>2746</v>
      </c>
      <c r="L2936" t="s">
        <v>312</v>
      </c>
      <c r="M2936" t="s">
        <v>317</v>
      </c>
    </row>
    <row r="2937" spans="1:27" x14ac:dyDescent="0.3">
      <c r="A2937" t="s">
        <v>3091</v>
      </c>
      <c r="B2937" t="s">
        <v>2733</v>
      </c>
      <c r="C2937" t="s">
        <v>308</v>
      </c>
      <c r="D2937" t="s">
        <v>3099</v>
      </c>
      <c r="E2937" t="s">
        <v>341</v>
      </c>
      <c r="H2937" t="s">
        <v>25</v>
      </c>
      <c r="I2937" t="s">
        <v>342</v>
      </c>
      <c r="L2937" t="s">
        <v>312</v>
      </c>
      <c r="M2937" t="s">
        <v>343</v>
      </c>
    </row>
    <row r="2938" spans="1:27" x14ac:dyDescent="0.3">
      <c r="A2938" t="s">
        <v>3091</v>
      </c>
      <c r="B2938" t="s">
        <v>2733</v>
      </c>
      <c r="C2938" t="s">
        <v>22</v>
      </c>
      <c r="D2938" t="s">
        <v>23</v>
      </c>
      <c r="E2938" t="s">
        <v>28</v>
      </c>
    </row>
    <row r="2939" spans="1:27" x14ac:dyDescent="0.3">
      <c r="A2939" t="s">
        <v>3091</v>
      </c>
      <c r="B2939" t="s">
        <v>2733</v>
      </c>
      <c r="C2939" t="s">
        <v>2748</v>
      </c>
      <c r="D2939">
        <v>1.5</v>
      </c>
      <c r="H2939" t="s">
        <v>312</v>
      </c>
      <c r="I2939" t="s">
        <v>385</v>
      </c>
    </row>
    <row r="2940" spans="1:27" x14ac:dyDescent="0.3">
      <c r="A2940" t="s">
        <v>3091</v>
      </c>
      <c r="B2940" t="s">
        <v>2733</v>
      </c>
      <c r="C2940" t="s">
        <v>378</v>
      </c>
      <c r="D2940">
        <v>185</v>
      </c>
      <c r="H2940" t="s">
        <v>312</v>
      </c>
      <c r="I2940" t="s">
        <v>327</v>
      </c>
    </row>
    <row r="2941" spans="1:27" x14ac:dyDescent="0.3">
      <c r="A2941" t="s">
        <v>3091</v>
      </c>
      <c r="B2941" t="s">
        <v>2733</v>
      </c>
      <c r="C2941" t="s">
        <v>380</v>
      </c>
      <c r="D2941" t="s">
        <v>554</v>
      </c>
      <c r="E2941" t="s">
        <v>279</v>
      </c>
      <c r="F2941" t="s">
        <v>25</v>
      </c>
      <c r="G2941" t="s">
        <v>3100</v>
      </c>
      <c r="J2941" t="s">
        <v>2089</v>
      </c>
      <c r="K2941" t="s">
        <v>2750</v>
      </c>
      <c r="N2941" t="s">
        <v>2751</v>
      </c>
      <c r="O2941">
        <v>1</v>
      </c>
      <c r="R2941" t="s">
        <v>2752</v>
      </c>
      <c r="S2941">
        <v>158</v>
      </c>
      <c r="V2941" t="s">
        <v>2753</v>
      </c>
      <c r="W2941" t="s">
        <v>2754</v>
      </c>
      <c r="Z2941" t="s">
        <v>2755</v>
      </c>
      <c r="AA2941" t="s">
        <v>2756</v>
      </c>
    </row>
    <row r="2942" spans="1:27" x14ac:dyDescent="0.3">
      <c r="A2942" t="s">
        <v>3091</v>
      </c>
      <c r="B2942" t="s">
        <v>2733</v>
      </c>
      <c r="C2942" t="s">
        <v>16</v>
      </c>
      <c r="D2942" t="s">
        <v>99</v>
      </c>
      <c r="E2942" t="s">
        <v>37</v>
      </c>
    </row>
    <row r="2943" spans="1:27" x14ac:dyDescent="0.3">
      <c r="A2943" t="s">
        <v>3091</v>
      </c>
      <c r="B2943" t="s">
        <v>2733</v>
      </c>
      <c r="C2943" t="s">
        <v>11</v>
      </c>
      <c r="D2943" t="s">
        <v>12</v>
      </c>
      <c r="E2943" t="s">
        <v>13</v>
      </c>
      <c r="H2943" t="s">
        <v>382</v>
      </c>
      <c r="I2943" t="s">
        <v>3101</v>
      </c>
      <c r="L2943" t="s">
        <v>14</v>
      </c>
      <c r="M2943" t="s">
        <v>3101</v>
      </c>
    </row>
    <row r="2944" spans="1:27" x14ac:dyDescent="0.3">
      <c r="A2944" t="s">
        <v>3094</v>
      </c>
      <c r="B2944" t="s">
        <v>527</v>
      </c>
      <c r="C2944" t="s">
        <v>11</v>
      </c>
      <c r="D2944" t="s">
        <v>12</v>
      </c>
      <c r="E2944" t="s">
        <v>391</v>
      </c>
      <c r="H2944" t="s">
        <v>392</v>
      </c>
      <c r="I2944" t="s">
        <v>2758</v>
      </c>
      <c r="L2944" t="s">
        <v>394</v>
      </c>
      <c r="M2944" t="s">
        <v>3101</v>
      </c>
    </row>
    <row r="2945" spans="1:13" x14ac:dyDescent="0.3">
      <c r="A2945" t="s">
        <v>3093</v>
      </c>
      <c r="B2945" t="s">
        <v>2738</v>
      </c>
      <c r="C2945" t="s">
        <v>11</v>
      </c>
      <c r="D2945" t="s">
        <v>12</v>
      </c>
      <c r="E2945" t="s">
        <v>391</v>
      </c>
      <c r="H2945" t="s">
        <v>392</v>
      </c>
      <c r="I2945" t="s">
        <v>3102</v>
      </c>
      <c r="L2945" t="s">
        <v>394</v>
      </c>
      <c r="M2945" t="s">
        <v>3101</v>
      </c>
    </row>
    <row r="2946" spans="1:13" x14ac:dyDescent="0.3">
      <c r="A2946" t="s">
        <v>3092</v>
      </c>
      <c r="B2946" t="s">
        <v>2735</v>
      </c>
      <c r="C2946" t="s">
        <v>308</v>
      </c>
      <c r="D2946" t="s">
        <v>3103</v>
      </c>
      <c r="E2946" t="s">
        <v>406</v>
      </c>
      <c r="H2946" t="s">
        <v>25</v>
      </c>
      <c r="I2946" t="s">
        <v>2761</v>
      </c>
      <c r="L2946" t="s">
        <v>312</v>
      </c>
      <c r="M2946" t="s">
        <v>404</v>
      </c>
    </row>
    <row r="2947" spans="1:13" x14ac:dyDescent="0.3">
      <c r="A2947" t="s">
        <v>3103</v>
      </c>
      <c r="B2947" t="s">
        <v>406</v>
      </c>
      <c r="C2947" t="s">
        <v>11</v>
      </c>
      <c r="D2947" t="s">
        <v>12</v>
      </c>
      <c r="E2947" t="s">
        <v>391</v>
      </c>
      <c r="H2947" t="s">
        <v>392</v>
      </c>
      <c r="I2947" t="s">
        <v>3104</v>
      </c>
      <c r="L2947" t="s">
        <v>394</v>
      </c>
      <c r="M2947" t="s">
        <v>3101</v>
      </c>
    </row>
    <row r="2948" spans="1:13" x14ac:dyDescent="0.3">
      <c r="A2948" t="s">
        <v>3096</v>
      </c>
      <c r="B2948" t="s">
        <v>1138</v>
      </c>
      <c r="C2948" t="s">
        <v>11</v>
      </c>
      <c r="D2948" t="s">
        <v>12</v>
      </c>
      <c r="E2948" t="s">
        <v>391</v>
      </c>
      <c r="H2948" t="s">
        <v>392</v>
      </c>
      <c r="I2948" t="s">
        <v>3105</v>
      </c>
      <c r="L2948" t="s">
        <v>394</v>
      </c>
      <c r="M2948" t="s">
        <v>3101</v>
      </c>
    </row>
    <row r="2949" spans="1:13" x14ac:dyDescent="0.3">
      <c r="A2949" t="s">
        <v>3099</v>
      </c>
      <c r="B2949" t="s">
        <v>341</v>
      </c>
      <c r="C2949" t="s">
        <v>11</v>
      </c>
      <c r="D2949" t="s">
        <v>12</v>
      </c>
      <c r="E2949" t="s">
        <v>391</v>
      </c>
      <c r="H2949" t="s">
        <v>392</v>
      </c>
      <c r="I2949" t="s">
        <v>3106</v>
      </c>
      <c r="L2949" t="s">
        <v>394</v>
      </c>
      <c r="M2949" t="s">
        <v>3101</v>
      </c>
    </row>
    <row r="2950" spans="1:13" x14ac:dyDescent="0.3">
      <c r="A2950" t="s">
        <v>3097</v>
      </c>
      <c r="B2950" t="s">
        <v>1134</v>
      </c>
      <c r="C2950" t="s">
        <v>11</v>
      </c>
      <c r="D2950" t="s">
        <v>12</v>
      </c>
      <c r="E2950" t="s">
        <v>391</v>
      </c>
      <c r="H2950" t="s">
        <v>392</v>
      </c>
      <c r="I2950" t="s">
        <v>3107</v>
      </c>
      <c r="L2950" t="s">
        <v>394</v>
      </c>
      <c r="M2950" t="s">
        <v>3101</v>
      </c>
    </row>
    <row r="2951" spans="1:13" x14ac:dyDescent="0.3">
      <c r="A2951" t="s">
        <v>3098</v>
      </c>
      <c r="B2951" t="s">
        <v>1138</v>
      </c>
      <c r="C2951" t="s">
        <v>11</v>
      </c>
      <c r="D2951" t="s">
        <v>12</v>
      </c>
      <c r="E2951" t="s">
        <v>391</v>
      </c>
      <c r="H2951" t="s">
        <v>392</v>
      </c>
      <c r="I2951" t="s">
        <v>3108</v>
      </c>
      <c r="L2951" t="s">
        <v>394</v>
      </c>
      <c r="M2951" t="s">
        <v>3101</v>
      </c>
    </row>
    <row r="2952" spans="1:13" x14ac:dyDescent="0.3">
      <c r="A2952" t="s">
        <v>3095</v>
      </c>
      <c r="B2952" t="s">
        <v>2077</v>
      </c>
      <c r="C2952" t="s">
        <v>11</v>
      </c>
      <c r="D2952" t="s">
        <v>12</v>
      </c>
      <c r="E2952" t="s">
        <v>391</v>
      </c>
      <c r="H2952" t="s">
        <v>392</v>
      </c>
      <c r="I2952" t="s">
        <v>2128</v>
      </c>
      <c r="L2952" t="s">
        <v>394</v>
      </c>
      <c r="M2952" t="s">
        <v>3101</v>
      </c>
    </row>
    <row r="2953" spans="1:13" x14ac:dyDescent="0.3">
      <c r="A2953" t="s">
        <v>3109</v>
      </c>
      <c r="B2953" t="s">
        <v>2733</v>
      </c>
      <c r="C2953" t="s">
        <v>280</v>
      </c>
      <c r="D2953" t="s">
        <v>3110</v>
      </c>
      <c r="E2953" t="s">
        <v>2735</v>
      </c>
      <c r="H2953" t="s">
        <v>25</v>
      </c>
      <c r="I2953" t="s">
        <v>2736</v>
      </c>
    </row>
    <row r="2954" spans="1:13" x14ac:dyDescent="0.3">
      <c r="A2954" t="s">
        <v>3109</v>
      </c>
      <c r="B2954" t="s">
        <v>2733</v>
      </c>
      <c r="C2954" t="s">
        <v>308</v>
      </c>
      <c r="D2954" t="s">
        <v>3111</v>
      </c>
      <c r="E2954" t="s">
        <v>2738</v>
      </c>
      <c r="H2954" t="s">
        <v>25</v>
      </c>
      <c r="I2954" t="s">
        <v>2739</v>
      </c>
      <c r="L2954" t="s">
        <v>312</v>
      </c>
      <c r="M2954" t="s">
        <v>327</v>
      </c>
    </row>
    <row r="2955" spans="1:13" x14ac:dyDescent="0.3">
      <c r="A2955" t="s">
        <v>3109</v>
      </c>
      <c r="B2955" t="s">
        <v>2733</v>
      </c>
      <c r="C2955" t="s">
        <v>308</v>
      </c>
      <c r="D2955" t="s">
        <v>3112</v>
      </c>
      <c r="E2955" t="s">
        <v>527</v>
      </c>
      <c r="H2955" t="s">
        <v>25</v>
      </c>
      <c r="I2955" t="s">
        <v>2741</v>
      </c>
      <c r="L2955" t="s">
        <v>312</v>
      </c>
      <c r="M2955" t="s">
        <v>343</v>
      </c>
    </row>
    <row r="2956" spans="1:13" x14ac:dyDescent="0.3">
      <c r="A2956" t="s">
        <v>3109</v>
      </c>
      <c r="B2956" t="s">
        <v>2733</v>
      </c>
      <c r="C2956" t="s">
        <v>308</v>
      </c>
      <c r="D2956" t="s">
        <v>3113</v>
      </c>
      <c r="E2956" t="s">
        <v>2077</v>
      </c>
      <c r="H2956" t="s">
        <v>25</v>
      </c>
      <c r="I2956" t="s">
        <v>2078</v>
      </c>
      <c r="L2956" t="s">
        <v>312</v>
      </c>
      <c r="M2956" t="s">
        <v>1687</v>
      </c>
    </row>
    <row r="2957" spans="1:13" x14ac:dyDescent="0.3">
      <c r="A2957" t="s">
        <v>3109</v>
      </c>
      <c r="B2957" t="s">
        <v>2733</v>
      </c>
      <c r="C2957" t="s">
        <v>308</v>
      </c>
      <c r="D2957" t="s">
        <v>3114</v>
      </c>
      <c r="E2957" t="s">
        <v>1138</v>
      </c>
      <c r="H2957" t="s">
        <v>25</v>
      </c>
      <c r="I2957" t="s">
        <v>2065</v>
      </c>
      <c r="L2957" t="s">
        <v>312</v>
      </c>
      <c r="M2957" t="s">
        <v>317</v>
      </c>
    </row>
    <row r="2958" spans="1:13" x14ac:dyDescent="0.3">
      <c r="A2958" t="s">
        <v>3109</v>
      </c>
      <c r="B2958" t="s">
        <v>2733</v>
      </c>
      <c r="C2958" t="s">
        <v>308</v>
      </c>
      <c r="D2958" t="s">
        <v>3115</v>
      </c>
      <c r="E2958" t="s">
        <v>1134</v>
      </c>
      <c r="H2958" t="s">
        <v>25</v>
      </c>
      <c r="I2958" t="s">
        <v>2069</v>
      </c>
      <c r="L2958" t="s">
        <v>312</v>
      </c>
      <c r="M2958" t="s">
        <v>317</v>
      </c>
    </row>
    <row r="2959" spans="1:13" x14ac:dyDescent="0.3">
      <c r="A2959" t="s">
        <v>3109</v>
      </c>
      <c r="B2959" t="s">
        <v>2733</v>
      </c>
      <c r="C2959" t="s">
        <v>308</v>
      </c>
      <c r="D2959" t="s">
        <v>3116</v>
      </c>
      <c r="E2959" t="s">
        <v>1138</v>
      </c>
      <c r="H2959" t="s">
        <v>25</v>
      </c>
      <c r="I2959" t="s">
        <v>2746</v>
      </c>
      <c r="L2959" t="s">
        <v>312</v>
      </c>
      <c r="M2959" t="s">
        <v>317</v>
      </c>
    </row>
    <row r="2960" spans="1:13" x14ac:dyDescent="0.3">
      <c r="A2960" t="s">
        <v>3109</v>
      </c>
      <c r="B2960" t="s">
        <v>2733</v>
      </c>
      <c r="C2960" t="s">
        <v>308</v>
      </c>
      <c r="D2960" t="s">
        <v>3117</v>
      </c>
      <c r="E2960" t="s">
        <v>341</v>
      </c>
      <c r="H2960" t="s">
        <v>25</v>
      </c>
      <c r="I2960" t="s">
        <v>342</v>
      </c>
      <c r="L2960" t="s">
        <v>312</v>
      </c>
      <c r="M2960" t="s">
        <v>343</v>
      </c>
    </row>
    <row r="2961" spans="1:27" x14ac:dyDescent="0.3">
      <c r="A2961" t="s">
        <v>3109</v>
      </c>
      <c r="B2961" t="s">
        <v>2733</v>
      </c>
      <c r="C2961" t="s">
        <v>22</v>
      </c>
      <c r="D2961" t="s">
        <v>23</v>
      </c>
      <c r="E2961" t="s">
        <v>28</v>
      </c>
    </row>
    <row r="2962" spans="1:27" x14ac:dyDescent="0.3">
      <c r="A2962" t="s">
        <v>3109</v>
      </c>
      <c r="B2962" t="s">
        <v>2733</v>
      </c>
      <c r="C2962" t="s">
        <v>2748</v>
      </c>
      <c r="D2962">
        <v>3</v>
      </c>
      <c r="H2962" t="s">
        <v>312</v>
      </c>
      <c r="I2962" t="s">
        <v>385</v>
      </c>
    </row>
    <row r="2963" spans="1:27" x14ac:dyDescent="0.3">
      <c r="A2963" t="s">
        <v>3109</v>
      </c>
      <c r="B2963" t="s">
        <v>2733</v>
      </c>
      <c r="C2963" t="s">
        <v>378</v>
      </c>
      <c r="D2963">
        <v>110</v>
      </c>
      <c r="H2963" t="s">
        <v>312</v>
      </c>
      <c r="I2963" t="s">
        <v>327</v>
      </c>
    </row>
    <row r="2964" spans="1:27" x14ac:dyDescent="0.3">
      <c r="A2964" t="s">
        <v>3109</v>
      </c>
      <c r="B2964" t="s">
        <v>2733</v>
      </c>
      <c r="C2964" t="s">
        <v>380</v>
      </c>
      <c r="D2964" t="s">
        <v>554</v>
      </c>
      <c r="E2964" t="s">
        <v>279</v>
      </c>
      <c r="F2964" t="s">
        <v>25</v>
      </c>
      <c r="G2964" t="s">
        <v>3118</v>
      </c>
      <c r="J2964" t="s">
        <v>2089</v>
      </c>
      <c r="K2964" t="s">
        <v>2750</v>
      </c>
      <c r="N2964" t="s">
        <v>2751</v>
      </c>
      <c r="O2964">
        <v>5</v>
      </c>
      <c r="R2964" t="s">
        <v>2752</v>
      </c>
      <c r="S2964">
        <v>313</v>
      </c>
      <c r="V2964" t="s">
        <v>2753</v>
      </c>
      <c r="W2964" t="s">
        <v>2754</v>
      </c>
      <c r="Z2964" t="s">
        <v>2755</v>
      </c>
      <c r="AA2964" t="s">
        <v>2756</v>
      </c>
    </row>
    <row r="2965" spans="1:27" x14ac:dyDescent="0.3">
      <c r="A2965" t="s">
        <v>3109</v>
      </c>
      <c r="B2965" t="s">
        <v>2733</v>
      </c>
      <c r="C2965" t="s">
        <v>16</v>
      </c>
      <c r="D2965" t="s">
        <v>63</v>
      </c>
      <c r="E2965" t="s">
        <v>37</v>
      </c>
    </row>
    <row r="2966" spans="1:27" x14ac:dyDescent="0.3">
      <c r="A2966" t="s">
        <v>3109</v>
      </c>
      <c r="B2966" t="s">
        <v>2733</v>
      </c>
      <c r="C2966" t="s">
        <v>11</v>
      </c>
      <c r="D2966" t="s">
        <v>12</v>
      </c>
      <c r="E2966" t="s">
        <v>13</v>
      </c>
      <c r="H2966" t="s">
        <v>382</v>
      </c>
      <c r="I2966" t="s">
        <v>3119</v>
      </c>
      <c r="L2966" t="s">
        <v>14</v>
      </c>
      <c r="M2966" t="s">
        <v>3119</v>
      </c>
    </row>
    <row r="2967" spans="1:27" x14ac:dyDescent="0.3">
      <c r="A2967" t="s">
        <v>3112</v>
      </c>
      <c r="B2967" t="s">
        <v>527</v>
      </c>
      <c r="C2967" t="s">
        <v>11</v>
      </c>
      <c r="D2967" t="s">
        <v>12</v>
      </c>
      <c r="E2967" t="s">
        <v>391</v>
      </c>
      <c r="H2967" t="s">
        <v>392</v>
      </c>
      <c r="I2967" t="s">
        <v>2758</v>
      </c>
      <c r="L2967" t="s">
        <v>394</v>
      </c>
      <c r="M2967" t="s">
        <v>3119</v>
      </c>
    </row>
    <row r="2968" spans="1:27" x14ac:dyDescent="0.3">
      <c r="A2968" t="s">
        <v>3111</v>
      </c>
      <c r="B2968" t="s">
        <v>2738</v>
      </c>
      <c r="C2968" t="s">
        <v>11</v>
      </c>
      <c r="D2968" t="s">
        <v>12</v>
      </c>
      <c r="E2968" t="s">
        <v>391</v>
      </c>
      <c r="H2968" t="s">
        <v>392</v>
      </c>
      <c r="I2968" t="s">
        <v>3120</v>
      </c>
      <c r="L2968" t="s">
        <v>394</v>
      </c>
      <c r="M2968" t="s">
        <v>3119</v>
      </c>
    </row>
    <row r="2969" spans="1:27" x14ac:dyDescent="0.3">
      <c r="A2969" t="s">
        <v>3110</v>
      </c>
      <c r="B2969" t="s">
        <v>2735</v>
      </c>
      <c r="C2969" t="s">
        <v>308</v>
      </c>
      <c r="D2969" t="s">
        <v>3121</v>
      </c>
      <c r="E2969" t="s">
        <v>406</v>
      </c>
      <c r="H2969" t="s">
        <v>25</v>
      </c>
      <c r="I2969" t="s">
        <v>2761</v>
      </c>
      <c r="L2969" t="s">
        <v>312</v>
      </c>
      <c r="M2969" t="s">
        <v>404</v>
      </c>
    </row>
    <row r="2970" spans="1:27" x14ac:dyDescent="0.3">
      <c r="A2970" t="s">
        <v>3121</v>
      </c>
      <c r="B2970" t="s">
        <v>406</v>
      </c>
      <c r="C2970" t="s">
        <v>11</v>
      </c>
      <c r="D2970" t="s">
        <v>12</v>
      </c>
      <c r="E2970" t="s">
        <v>391</v>
      </c>
      <c r="H2970" t="s">
        <v>392</v>
      </c>
      <c r="I2970" t="s">
        <v>3122</v>
      </c>
      <c r="L2970" t="s">
        <v>394</v>
      </c>
      <c r="M2970" t="s">
        <v>3119</v>
      </c>
    </row>
    <row r="2971" spans="1:27" x14ac:dyDescent="0.3">
      <c r="A2971" t="s">
        <v>3114</v>
      </c>
      <c r="B2971" t="s">
        <v>1138</v>
      </c>
      <c r="C2971" t="s">
        <v>11</v>
      </c>
      <c r="D2971" t="s">
        <v>12</v>
      </c>
      <c r="E2971" t="s">
        <v>391</v>
      </c>
      <c r="H2971" t="s">
        <v>392</v>
      </c>
      <c r="I2971" t="s">
        <v>3123</v>
      </c>
      <c r="L2971" t="s">
        <v>394</v>
      </c>
      <c r="M2971" t="s">
        <v>3119</v>
      </c>
    </row>
    <row r="2972" spans="1:27" x14ac:dyDescent="0.3">
      <c r="A2972" t="s">
        <v>3117</v>
      </c>
      <c r="B2972" t="s">
        <v>341</v>
      </c>
      <c r="C2972" t="s">
        <v>11</v>
      </c>
      <c r="D2972" t="s">
        <v>12</v>
      </c>
      <c r="E2972" t="s">
        <v>391</v>
      </c>
      <c r="H2972" t="s">
        <v>392</v>
      </c>
      <c r="I2972" t="s">
        <v>3124</v>
      </c>
      <c r="L2972" t="s">
        <v>394</v>
      </c>
      <c r="M2972" t="s">
        <v>3119</v>
      </c>
    </row>
    <row r="2973" spans="1:27" x14ac:dyDescent="0.3">
      <c r="A2973" t="s">
        <v>3115</v>
      </c>
      <c r="B2973" t="s">
        <v>1134</v>
      </c>
      <c r="C2973" t="s">
        <v>11</v>
      </c>
      <c r="D2973" t="s">
        <v>12</v>
      </c>
      <c r="E2973" t="s">
        <v>391</v>
      </c>
      <c r="H2973" t="s">
        <v>392</v>
      </c>
      <c r="I2973" t="s">
        <v>3125</v>
      </c>
      <c r="L2973" t="s">
        <v>394</v>
      </c>
      <c r="M2973" t="s">
        <v>3119</v>
      </c>
    </row>
    <row r="2974" spans="1:27" x14ac:dyDescent="0.3">
      <c r="A2974" t="s">
        <v>3116</v>
      </c>
      <c r="B2974" t="s">
        <v>1138</v>
      </c>
      <c r="C2974" t="s">
        <v>11</v>
      </c>
      <c r="D2974" t="s">
        <v>12</v>
      </c>
      <c r="E2974" t="s">
        <v>391</v>
      </c>
      <c r="H2974" t="s">
        <v>392</v>
      </c>
      <c r="I2974" t="s">
        <v>3126</v>
      </c>
      <c r="L2974" t="s">
        <v>394</v>
      </c>
      <c r="M2974" t="s">
        <v>3119</v>
      </c>
    </row>
    <row r="2975" spans="1:27" x14ac:dyDescent="0.3">
      <c r="A2975" t="s">
        <v>3113</v>
      </c>
      <c r="B2975" t="s">
        <v>2077</v>
      </c>
      <c r="C2975" t="s">
        <v>11</v>
      </c>
      <c r="D2975" t="s">
        <v>12</v>
      </c>
      <c r="E2975" t="s">
        <v>391</v>
      </c>
      <c r="H2975" t="s">
        <v>392</v>
      </c>
      <c r="I2975" t="s">
        <v>2128</v>
      </c>
      <c r="L2975" t="s">
        <v>394</v>
      </c>
      <c r="M2975" t="s">
        <v>3119</v>
      </c>
    </row>
    <row r="2976" spans="1:27" x14ac:dyDescent="0.3">
      <c r="A2976" t="s">
        <v>3127</v>
      </c>
      <c r="B2976" t="s">
        <v>2733</v>
      </c>
      <c r="C2976" t="s">
        <v>280</v>
      </c>
      <c r="D2976" t="s">
        <v>3128</v>
      </c>
      <c r="E2976" t="s">
        <v>2735</v>
      </c>
      <c r="H2976" t="s">
        <v>25</v>
      </c>
      <c r="I2976" t="s">
        <v>2736</v>
      </c>
    </row>
    <row r="2977" spans="1:27" x14ac:dyDescent="0.3">
      <c r="A2977" t="s">
        <v>3127</v>
      </c>
      <c r="B2977" t="s">
        <v>2733</v>
      </c>
      <c r="C2977" t="s">
        <v>308</v>
      </c>
      <c r="D2977" t="s">
        <v>3129</v>
      </c>
      <c r="E2977" t="s">
        <v>2738</v>
      </c>
      <c r="H2977" t="s">
        <v>25</v>
      </c>
      <c r="I2977" t="s">
        <v>2739</v>
      </c>
      <c r="L2977" t="s">
        <v>312</v>
      </c>
      <c r="M2977" t="s">
        <v>327</v>
      </c>
    </row>
    <row r="2978" spans="1:27" x14ac:dyDescent="0.3">
      <c r="A2978" t="s">
        <v>3127</v>
      </c>
      <c r="B2978" t="s">
        <v>2733</v>
      </c>
      <c r="C2978" t="s">
        <v>308</v>
      </c>
      <c r="D2978" t="s">
        <v>3130</v>
      </c>
      <c r="E2978" t="s">
        <v>527</v>
      </c>
      <c r="H2978" t="s">
        <v>25</v>
      </c>
      <c r="I2978" t="s">
        <v>2741</v>
      </c>
      <c r="L2978" t="s">
        <v>312</v>
      </c>
      <c r="M2978" t="s">
        <v>343</v>
      </c>
    </row>
    <row r="2979" spans="1:27" x14ac:dyDescent="0.3">
      <c r="A2979" t="s">
        <v>3127</v>
      </c>
      <c r="B2979" t="s">
        <v>2733</v>
      </c>
      <c r="C2979" t="s">
        <v>308</v>
      </c>
      <c r="D2979" t="s">
        <v>3131</v>
      </c>
      <c r="E2979" t="s">
        <v>2077</v>
      </c>
      <c r="H2979" t="s">
        <v>25</v>
      </c>
      <c r="I2979" t="s">
        <v>2078</v>
      </c>
      <c r="L2979" t="s">
        <v>312</v>
      </c>
      <c r="M2979" t="s">
        <v>1687</v>
      </c>
    </row>
    <row r="2980" spans="1:27" x14ac:dyDescent="0.3">
      <c r="A2980" t="s">
        <v>3127</v>
      </c>
      <c r="B2980" t="s">
        <v>2733</v>
      </c>
      <c r="C2980" t="s">
        <v>308</v>
      </c>
      <c r="D2980" t="s">
        <v>3132</v>
      </c>
      <c r="E2980" t="s">
        <v>1138</v>
      </c>
      <c r="H2980" t="s">
        <v>25</v>
      </c>
      <c r="I2980" t="s">
        <v>2065</v>
      </c>
      <c r="L2980" t="s">
        <v>312</v>
      </c>
      <c r="M2980" t="s">
        <v>317</v>
      </c>
    </row>
    <row r="2981" spans="1:27" x14ac:dyDescent="0.3">
      <c r="A2981" t="s">
        <v>3127</v>
      </c>
      <c r="B2981" t="s">
        <v>2733</v>
      </c>
      <c r="C2981" t="s">
        <v>308</v>
      </c>
      <c r="D2981" t="s">
        <v>3133</v>
      </c>
      <c r="E2981" t="s">
        <v>1134</v>
      </c>
      <c r="H2981" t="s">
        <v>25</v>
      </c>
      <c r="I2981" t="s">
        <v>2069</v>
      </c>
      <c r="L2981" t="s">
        <v>312</v>
      </c>
      <c r="M2981" t="s">
        <v>317</v>
      </c>
    </row>
    <row r="2982" spans="1:27" x14ac:dyDescent="0.3">
      <c r="A2982" t="s">
        <v>3127</v>
      </c>
      <c r="B2982" t="s">
        <v>2733</v>
      </c>
      <c r="C2982" t="s">
        <v>308</v>
      </c>
      <c r="D2982" t="s">
        <v>3134</v>
      </c>
      <c r="E2982" t="s">
        <v>1138</v>
      </c>
      <c r="H2982" t="s">
        <v>25</v>
      </c>
      <c r="I2982" t="s">
        <v>2746</v>
      </c>
      <c r="L2982" t="s">
        <v>312</v>
      </c>
      <c r="M2982" t="s">
        <v>317</v>
      </c>
    </row>
    <row r="2983" spans="1:27" x14ac:dyDescent="0.3">
      <c r="A2983" t="s">
        <v>3127</v>
      </c>
      <c r="B2983" t="s">
        <v>2733</v>
      </c>
      <c r="C2983" t="s">
        <v>308</v>
      </c>
      <c r="D2983" t="s">
        <v>3135</v>
      </c>
      <c r="E2983" t="s">
        <v>341</v>
      </c>
      <c r="H2983" t="s">
        <v>25</v>
      </c>
      <c r="I2983" t="s">
        <v>342</v>
      </c>
      <c r="L2983" t="s">
        <v>312</v>
      </c>
      <c r="M2983" t="s">
        <v>343</v>
      </c>
    </row>
    <row r="2984" spans="1:27" x14ac:dyDescent="0.3">
      <c r="A2984" t="s">
        <v>3127</v>
      </c>
      <c r="B2984" t="s">
        <v>2733</v>
      </c>
      <c r="C2984" t="s">
        <v>22</v>
      </c>
      <c r="D2984" t="s">
        <v>23</v>
      </c>
      <c r="E2984" t="s">
        <v>28</v>
      </c>
    </row>
    <row r="2985" spans="1:27" x14ac:dyDescent="0.3">
      <c r="A2985" t="s">
        <v>3127</v>
      </c>
      <c r="B2985" t="s">
        <v>2733</v>
      </c>
      <c r="C2985" t="s">
        <v>2748</v>
      </c>
      <c r="D2985">
        <v>3</v>
      </c>
      <c r="H2985" t="s">
        <v>312</v>
      </c>
      <c r="I2985" t="s">
        <v>385</v>
      </c>
    </row>
    <row r="2986" spans="1:27" x14ac:dyDescent="0.3">
      <c r="A2986" t="s">
        <v>3127</v>
      </c>
      <c r="B2986" t="s">
        <v>2733</v>
      </c>
      <c r="C2986" t="s">
        <v>378</v>
      </c>
      <c r="D2986">
        <v>540</v>
      </c>
      <c r="H2986" t="s">
        <v>312</v>
      </c>
      <c r="I2986" t="s">
        <v>327</v>
      </c>
    </row>
    <row r="2987" spans="1:27" x14ac:dyDescent="0.3">
      <c r="A2987" t="s">
        <v>3127</v>
      </c>
      <c r="B2987" t="s">
        <v>2733</v>
      </c>
      <c r="C2987" t="s">
        <v>380</v>
      </c>
      <c r="D2987" t="s">
        <v>554</v>
      </c>
      <c r="E2987" t="s">
        <v>279</v>
      </c>
      <c r="F2987" t="s">
        <v>25</v>
      </c>
      <c r="G2987" t="s">
        <v>3136</v>
      </c>
      <c r="J2987" t="s">
        <v>2089</v>
      </c>
      <c r="K2987" t="s">
        <v>2750</v>
      </c>
      <c r="N2987" t="s">
        <v>2751</v>
      </c>
      <c r="O2987">
        <v>5</v>
      </c>
      <c r="R2987" t="s">
        <v>2752</v>
      </c>
      <c r="S2987">
        <v>313</v>
      </c>
      <c r="V2987" t="s">
        <v>2753</v>
      </c>
      <c r="W2987" t="s">
        <v>2754</v>
      </c>
      <c r="Z2987" t="s">
        <v>2755</v>
      </c>
      <c r="AA2987" t="s">
        <v>2756</v>
      </c>
    </row>
    <row r="2988" spans="1:27" x14ac:dyDescent="0.3">
      <c r="A2988" t="s">
        <v>3127</v>
      </c>
      <c r="B2988" t="s">
        <v>2733</v>
      </c>
      <c r="C2988" t="s">
        <v>16</v>
      </c>
      <c r="D2988" t="s">
        <v>43</v>
      </c>
      <c r="E2988" t="s">
        <v>37</v>
      </c>
    </row>
    <row r="2989" spans="1:27" x14ac:dyDescent="0.3">
      <c r="A2989" t="s">
        <v>3127</v>
      </c>
      <c r="B2989" t="s">
        <v>2733</v>
      </c>
      <c r="C2989" t="s">
        <v>11</v>
      </c>
      <c r="D2989" t="s">
        <v>12</v>
      </c>
      <c r="E2989" t="s">
        <v>13</v>
      </c>
      <c r="H2989" t="s">
        <v>382</v>
      </c>
      <c r="I2989" t="s">
        <v>3137</v>
      </c>
      <c r="L2989" t="s">
        <v>14</v>
      </c>
      <c r="M2989" t="s">
        <v>3137</v>
      </c>
    </row>
    <row r="2990" spans="1:27" x14ac:dyDescent="0.3">
      <c r="A2990" t="s">
        <v>3130</v>
      </c>
      <c r="B2990" t="s">
        <v>527</v>
      </c>
      <c r="C2990" t="s">
        <v>11</v>
      </c>
      <c r="D2990" t="s">
        <v>12</v>
      </c>
      <c r="E2990" t="s">
        <v>391</v>
      </c>
      <c r="H2990" t="s">
        <v>392</v>
      </c>
      <c r="I2990" t="s">
        <v>2758</v>
      </c>
      <c r="L2990" t="s">
        <v>394</v>
      </c>
      <c r="M2990" t="s">
        <v>3137</v>
      </c>
    </row>
    <row r="2991" spans="1:27" x14ac:dyDescent="0.3">
      <c r="A2991" t="s">
        <v>3129</v>
      </c>
      <c r="B2991" t="s">
        <v>2738</v>
      </c>
      <c r="C2991" t="s">
        <v>11</v>
      </c>
      <c r="D2991" t="s">
        <v>12</v>
      </c>
      <c r="E2991" t="s">
        <v>391</v>
      </c>
      <c r="H2991" t="s">
        <v>392</v>
      </c>
      <c r="I2991" t="s">
        <v>3138</v>
      </c>
      <c r="L2991" t="s">
        <v>394</v>
      </c>
      <c r="M2991" t="s">
        <v>3137</v>
      </c>
    </row>
    <row r="2992" spans="1:27" x14ac:dyDescent="0.3">
      <c r="A2992" t="s">
        <v>3128</v>
      </c>
      <c r="B2992" t="s">
        <v>2735</v>
      </c>
      <c r="C2992" t="s">
        <v>308</v>
      </c>
      <c r="D2992" t="s">
        <v>3139</v>
      </c>
      <c r="E2992" t="s">
        <v>406</v>
      </c>
      <c r="H2992" t="s">
        <v>25</v>
      </c>
      <c r="I2992" t="s">
        <v>2761</v>
      </c>
      <c r="L2992" t="s">
        <v>312</v>
      </c>
      <c r="M2992" t="s">
        <v>404</v>
      </c>
    </row>
    <row r="2993" spans="1:13" x14ac:dyDescent="0.3">
      <c r="A2993" t="s">
        <v>3139</v>
      </c>
      <c r="B2993" t="s">
        <v>406</v>
      </c>
      <c r="C2993" t="s">
        <v>11</v>
      </c>
      <c r="D2993" t="s">
        <v>12</v>
      </c>
      <c r="E2993" t="s">
        <v>391</v>
      </c>
      <c r="H2993" t="s">
        <v>392</v>
      </c>
      <c r="I2993" t="s">
        <v>3140</v>
      </c>
      <c r="L2993" t="s">
        <v>394</v>
      </c>
      <c r="M2993" t="s">
        <v>3137</v>
      </c>
    </row>
    <row r="2994" spans="1:13" x14ac:dyDescent="0.3">
      <c r="A2994" t="s">
        <v>3132</v>
      </c>
      <c r="B2994" t="s">
        <v>1138</v>
      </c>
      <c r="C2994" t="s">
        <v>11</v>
      </c>
      <c r="D2994" t="s">
        <v>12</v>
      </c>
      <c r="E2994" t="s">
        <v>391</v>
      </c>
      <c r="H2994" t="s">
        <v>392</v>
      </c>
      <c r="I2994" t="s">
        <v>3141</v>
      </c>
      <c r="L2994" t="s">
        <v>394</v>
      </c>
      <c r="M2994" t="s">
        <v>3137</v>
      </c>
    </row>
    <row r="2995" spans="1:13" x14ac:dyDescent="0.3">
      <c r="A2995" t="s">
        <v>3135</v>
      </c>
      <c r="B2995" t="s">
        <v>341</v>
      </c>
      <c r="C2995" t="s">
        <v>11</v>
      </c>
      <c r="D2995" t="s">
        <v>12</v>
      </c>
      <c r="E2995" t="s">
        <v>391</v>
      </c>
      <c r="H2995" t="s">
        <v>392</v>
      </c>
      <c r="I2995" t="s">
        <v>3142</v>
      </c>
      <c r="L2995" t="s">
        <v>394</v>
      </c>
      <c r="M2995" t="s">
        <v>3137</v>
      </c>
    </row>
    <row r="2996" spans="1:13" x14ac:dyDescent="0.3">
      <c r="A2996" t="s">
        <v>3133</v>
      </c>
      <c r="B2996" t="s">
        <v>1134</v>
      </c>
      <c r="C2996" t="s">
        <v>11</v>
      </c>
      <c r="D2996" t="s">
        <v>12</v>
      </c>
      <c r="E2996" t="s">
        <v>391</v>
      </c>
      <c r="H2996" t="s">
        <v>392</v>
      </c>
      <c r="I2996" t="s">
        <v>3143</v>
      </c>
      <c r="L2996" t="s">
        <v>394</v>
      </c>
      <c r="M2996" t="s">
        <v>3137</v>
      </c>
    </row>
    <row r="2997" spans="1:13" x14ac:dyDescent="0.3">
      <c r="A2997" t="s">
        <v>3134</v>
      </c>
      <c r="B2997" t="s">
        <v>1138</v>
      </c>
      <c r="C2997" t="s">
        <v>11</v>
      </c>
      <c r="D2997" t="s">
        <v>12</v>
      </c>
      <c r="E2997" t="s">
        <v>391</v>
      </c>
      <c r="H2997" t="s">
        <v>392</v>
      </c>
      <c r="I2997" t="s">
        <v>3144</v>
      </c>
      <c r="L2997" t="s">
        <v>394</v>
      </c>
      <c r="M2997" t="s">
        <v>3137</v>
      </c>
    </row>
    <row r="2998" spans="1:13" x14ac:dyDescent="0.3">
      <c r="A2998" t="s">
        <v>3131</v>
      </c>
      <c r="B2998" t="s">
        <v>2077</v>
      </c>
      <c r="C2998" t="s">
        <v>11</v>
      </c>
      <c r="D2998" t="s">
        <v>12</v>
      </c>
      <c r="E2998" t="s">
        <v>391</v>
      </c>
      <c r="H2998" t="s">
        <v>392</v>
      </c>
      <c r="I2998" t="s">
        <v>2128</v>
      </c>
      <c r="L2998" t="s">
        <v>394</v>
      </c>
      <c r="M2998" t="s">
        <v>3137</v>
      </c>
    </row>
    <row r="2999" spans="1:13" x14ac:dyDescent="0.3">
      <c r="A2999" t="s">
        <v>3145</v>
      </c>
      <c r="B2999" t="s">
        <v>2733</v>
      </c>
      <c r="C2999" t="s">
        <v>280</v>
      </c>
      <c r="D2999" t="s">
        <v>3146</v>
      </c>
      <c r="E2999" t="s">
        <v>2735</v>
      </c>
      <c r="H2999" t="s">
        <v>25</v>
      </c>
      <c r="I2999" t="s">
        <v>2736</v>
      </c>
    </row>
    <row r="3000" spans="1:13" x14ac:dyDescent="0.3">
      <c r="A3000" t="s">
        <v>3145</v>
      </c>
      <c r="B3000" t="s">
        <v>2733</v>
      </c>
      <c r="C3000" t="s">
        <v>308</v>
      </c>
      <c r="D3000" t="s">
        <v>3147</v>
      </c>
      <c r="E3000" t="s">
        <v>2738</v>
      </c>
      <c r="H3000" t="s">
        <v>25</v>
      </c>
      <c r="I3000" t="s">
        <v>2739</v>
      </c>
      <c r="L3000" t="s">
        <v>312</v>
      </c>
      <c r="M3000" t="s">
        <v>327</v>
      </c>
    </row>
    <row r="3001" spans="1:13" x14ac:dyDescent="0.3">
      <c r="A3001" t="s">
        <v>3145</v>
      </c>
      <c r="B3001" t="s">
        <v>2733</v>
      </c>
      <c r="C3001" t="s">
        <v>308</v>
      </c>
      <c r="D3001" t="s">
        <v>3148</v>
      </c>
      <c r="E3001" t="s">
        <v>527</v>
      </c>
      <c r="H3001" t="s">
        <v>25</v>
      </c>
      <c r="I3001" t="s">
        <v>2741</v>
      </c>
      <c r="L3001" t="s">
        <v>312</v>
      </c>
      <c r="M3001" t="s">
        <v>343</v>
      </c>
    </row>
    <row r="3002" spans="1:13" x14ac:dyDescent="0.3">
      <c r="A3002" t="s">
        <v>3145</v>
      </c>
      <c r="B3002" t="s">
        <v>2733</v>
      </c>
      <c r="C3002" t="s">
        <v>308</v>
      </c>
      <c r="D3002" t="s">
        <v>3149</v>
      </c>
      <c r="E3002" t="s">
        <v>2077</v>
      </c>
      <c r="H3002" t="s">
        <v>25</v>
      </c>
      <c r="I3002" t="s">
        <v>2078</v>
      </c>
      <c r="L3002" t="s">
        <v>312</v>
      </c>
      <c r="M3002" t="s">
        <v>1687</v>
      </c>
    </row>
    <row r="3003" spans="1:13" x14ac:dyDescent="0.3">
      <c r="A3003" t="s">
        <v>3145</v>
      </c>
      <c r="B3003" t="s">
        <v>2733</v>
      </c>
      <c r="C3003" t="s">
        <v>308</v>
      </c>
      <c r="D3003" t="s">
        <v>3150</v>
      </c>
      <c r="E3003" t="s">
        <v>1138</v>
      </c>
      <c r="H3003" t="s">
        <v>25</v>
      </c>
      <c r="I3003" t="s">
        <v>2065</v>
      </c>
      <c r="L3003" t="s">
        <v>312</v>
      </c>
      <c r="M3003" t="s">
        <v>317</v>
      </c>
    </row>
    <row r="3004" spans="1:13" x14ac:dyDescent="0.3">
      <c r="A3004" t="s">
        <v>3145</v>
      </c>
      <c r="B3004" t="s">
        <v>2733</v>
      </c>
      <c r="C3004" t="s">
        <v>308</v>
      </c>
      <c r="D3004" t="s">
        <v>3151</v>
      </c>
      <c r="E3004" t="s">
        <v>1134</v>
      </c>
      <c r="H3004" t="s">
        <v>25</v>
      </c>
      <c r="I3004" t="s">
        <v>2069</v>
      </c>
      <c r="L3004" t="s">
        <v>312</v>
      </c>
      <c r="M3004" t="s">
        <v>317</v>
      </c>
    </row>
    <row r="3005" spans="1:13" x14ac:dyDescent="0.3">
      <c r="A3005" t="s">
        <v>3145</v>
      </c>
      <c r="B3005" t="s">
        <v>2733</v>
      </c>
      <c r="C3005" t="s">
        <v>308</v>
      </c>
      <c r="D3005" t="s">
        <v>3152</v>
      </c>
      <c r="E3005" t="s">
        <v>1138</v>
      </c>
      <c r="H3005" t="s">
        <v>25</v>
      </c>
      <c r="I3005" t="s">
        <v>2746</v>
      </c>
      <c r="L3005" t="s">
        <v>312</v>
      </c>
      <c r="M3005" t="s">
        <v>317</v>
      </c>
    </row>
    <row r="3006" spans="1:13" x14ac:dyDescent="0.3">
      <c r="A3006" t="s">
        <v>3145</v>
      </c>
      <c r="B3006" t="s">
        <v>2733</v>
      </c>
      <c r="C3006" t="s">
        <v>308</v>
      </c>
      <c r="D3006" t="s">
        <v>3153</v>
      </c>
      <c r="E3006" t="s">
        <v>341</v>
      </c>
      <c r="H3006" t="s">
        <v>25</v>
      </c>
      <c r="I3006" t="s">
        <v>342</v>
      </c>
      <c r="L3006" t="s">
        <v>312</v>
      </c>
      <c r="M3006" t="s">
        <v>343</v>
      </c>
    </row>
    <row r="3007" spans="1:13" x14ac:dyDescent="0.3">
      <c r="A3007" t="s">
        <v>3145</v>
      </c>
      <c r="B3007" t="s">
        <v>2733</v>
      </c>
      <c r="C3007" t="s">
        <v>22</v>
      </c>
      <c r="D3007" t="s">
        <v>23</v>
      </c>
      <c r="E3007" t="s">
        <v>28</v>
      </c>
    </row>
    <row r="3008" spans="1:13" x14ac:dyDescent="0.3">
      <c r="A3008" t="s">
        <v>3145</v>
      </c>
      <c r="B3008" t="s">
        <v>2733</v>
      </c>
      <c r="C3008" t="s">
        <v>2748</v>
      </c>
      <c r="D3008">
        <v>1.5</v>
      </c>
      <c r="H3008" t="s">
        <v>312</v>
      </c>
      <c r="I3008" t="s">
        <v>385</v>
      </c>
    </row>
    <row r="3009" spans="1:27" x14ac:dyDescent="0.3">
      <c r="A3009" t="s">
        <v>3145</v>
      </c>
      <c r="B3009" t="s">
        <v>2733</v>
      </c>
      <c r="C3009" t="s">
        <v>378</v>
      </c>
      <c r="D3009">
        <v>540</v>
      </c>
      <c r="H3009" t="s">
        <v>312</v>
      </c>
      <c r="I3009" t="s">
        <v>327</v>
      </c>
    </row>
    <row r="3010" spans="1:27" x14ac:dyDescent="0.3">
      <c r="A3010" t="s">
        <v>3145</v>
      </c>
      <c r="B3010" t="s">
        <v>2733</v>
      </c>
      <c r="C3010" t="s">
        <v>380</v>
      </c>
      <c r="D3010" t="s">
        <v>554</v>
      </c>
      <c r="E3010" t="s">
        <v>279</v>
      </c>
      <c r="F3010" t="s">
        <v>25</v>
      </c>
      <c r="G3010" t="s">
        <v>3154</v>
      </c>
      <c r="J3010" t="s">
        <v>2089</v>
      </c>
      <c r="K3010" t="s">
        <v>2750</v>
      </c>
      <c r="N3010" t="s">
        <v>2751</v>
      </c>
      <c r="O3010">
        <v>1</v>
      </c>
      <c r="R3010" t="s">
        <v>2752</v>
      </c>
      <c r="S3010">
        <v>158</v>
      </c>
      <c r="V3010" t="s">
        <v>2753</v>
      </c>
      <c r="W3010" t="s">
        <v>2754</v>
      </c>
      <c r="Z3010" t="s">
        <v>2755</v>
      </c>
      <c r="AA3010" t="s">
        <v>2756</v>
      </c>
    </row>
    <row r="3011" spans="1:27" x14ac:dyDescent="0.3">
      <c r="A3011" t="s">
        <v>3145</v>
      </c>
      <c r="B3011" t="s">
        <v>2733</v>
      </c>
      <c r="C3011" t="s">
        <v>16</v>
      </c>
      <c r="D3011" t="s">
        <v>43</v>
      </c>
      <c r="E3011" t="s">
        <v>37</v>
      </c>
    </row>
    <row r="3012" spans="1:27" x14ac:dyDescent="0.3">
      <c r="A3012" t="s">
        <v>3145</v>
      </c>
      <c r="B3012" t="s">
        <v>2733</v>
      </c>
      <c r="C3012" t="s">
        <v>11</v>
      </c>
      <c r="D3012" t="s">
        <v>12</v>
      </c>
      <c r="E3012" t="s">
        <v>13</v>
      </c>
      <c r="H3012" t="s">
        <v>382</v>
      </c>
      <c r="I3012" t="s">
        <v>3155</v>
      </c>
      <c r="L3012" t="s">
        <v>14</v>
      </c>
      <c r="M3012" t="s">
        <v>3155</v>
      </c>
    </row>
    <row r="3013" spans="1:27" x14ac:dyDescent="0.3">
      <c r="A3013" t="s">
        <v>3148</v>
      </c>
      <c r="B3013" t="s">
        <v>527</v>
      </c>
      <c r="C3013" t="s">
        <v>11</v>
      </c>
      <c r="D3013" t="s">
        <v>12</v>
      </c>
      <c r="E3013" t="s">
        <v>391</v>
      </c>
      <c r="H3013" t="s">
        <v>392</v>
      </c>
      <c r="I3013" t="s">
        <v>2758</v>
      </c>
      <c r="L3013" t="s">
        <v>394</v>
      </c>
      <c r="M3013" t="s">
        <v>3155</v>
      </c>
    </row>
    <row r="3014" spans="1:27" x14ac:dyDescent="0.3">
      <c r="A3014" t="s">
        <v>3147</v>
      </c>
      <c r="B3014" t="s">
        <v>2738</v>
      </c>
      <c r="C3014" t="s">
        <v>11</v>
      </c>
      <c r="D3014" t="s">
        <v>12</v>
      </c>
      <c r="E3014" t="s">
        <v>391</v>
      </c>
      <c r="H3014" t="s">
        <v>392</v>
      </c>
      <c r="I3014" t="s">
        <v>3156</v>
      </c>
      <c r="L3014" t="s">
        <v>394</v>
      </c>
      <c r="M3014" t="s">
        <v>3155</v>
      </c>
    </row>
    <row r="3015" spans="1:27" x14ac:dyDescent="0.3">
      <c r="A3015" t="s">
        <v>3146</v>
      </c>
      <c r="B3015" t="s">
        <v>2735</v>
      </c>
      <c r="C3015" t="s">
        <v>308</v>
      </c>
      <c r="D3015" t="s">
        <v>3157</v>
      </c>
      <c r="E3015" t="s">
        <v>406</v>
      </c>
      <c r="H3015" t="s">
        <v>25</v>
      </c>
      <c r="I3015" t="s">
        <v>2761</v>
      </c>
      <c r="L3015" t="s">
        <v>312</v>
      </c>
      <c r="M3015" t="s">
        <v>404</v>
      </c>
    </row>
    <row r="3016" spans="1:27" x14ac:dyDescent="0.3">
      <c r="A3016" t="s">
        <v>3157</v>
      </c>
      <c r="B3016" t="s">
        <v>406</v>
      </c>
      <c r="C3016" t="s">
        <v>11</v>
      </c>
      <c r="D3016" t="s">
        <v>12</v>
      </c>
      <c r="E3016" t="s">
        <v>391</v>
      </c>
      <c r="H3016" t="s">
        <v>392</v>
      </c>
      <c r="I3016" t="s">
        <v>3158</v>
      </c>
      <c r="L3016" t="s">
        <v>394</v>
      </c>
      <c r="M3016" t="s">
        <v>3155</v>
      </c>
    </row>
    <row r="3017" spans="1:27" x14ac:dyDescent="0.3">
      <c r="A3017" t="s">
        <v>3150</v>
      </c>
      <c r="B3017" t="s">
        <v>1138</v>
      </c>
      <c r="C3017" t="s">
        <v>11</v>
      </c>
      <c r="D3017" t="s">
        <v>12</v>
      </c>
      <c r="E3017" t="s">
        <v>391</v>
      </c>
      <c r="H3017" t="s">
        <v>392</v>
      </c>
      <c r="I3017" t="s">
        <v>3159</v>
      </c>
      <c r="L3017" t="s">
        <v>394</v>
      </c>
      <c r="M3017" t="s">
        <v>3155</v>
      </c>
    </row>
    <row r="3018" spans="1:27" x14ac:dyDescent="0.3">
      <c r="A3018" t="s">
        <v>3153</v>
      </c>
      <c r="B3018" t="s">
        <v>341</v>
      </c>
      <c r="C3018" t="s">
        <v>11</v>
      </c>
      <c r="D3018" t="s">
        <v>12</v>
      </c>
      <c r="E3018" t="s">
        <v>391</v>
      </c>
      <c r="H3018" t="s">
        <v>392</v>
      </c>
      <c r="I3018" t="s">
        <v>3160</v>
      </c>
      <c r="L3018" t="s">
        <v>394</v>
      </c>
      <c r="M3018" t="s">
        <v>3155</v>
      </c>
    </row>
    <row r="3019" spans="1:27" x14ac:dyDescent="0.3">
      <c r="A3019" t="s">
        <v>3151</v>
      </c>
      <c r="B3019" t="s">
        <v>1134</v>
      </c>
      <c r="C3019" t="s">
        <v>11</v>
      </c>
      <c r="D3019" t="s">
        <v>12</v>
      </c>
      <c r="E3019" t="s">
        <v>391</v>
      </c>
      <c r="H3019" t="s">
        <v>392</v>
      </c>
      <c r="I3019" t="s">
        <v>3161</v>
      </c>
      <c r="L3019" t="s">
        <v>394</v>
      </c>
      <c r="M3019" t="s">
        <v>3155</v>
      </c>
    </row>
    <row r="3020" spans="1:27" x14ac:dyDescent="0.3">
      <c r="A3020" t="s">
        <v>3152</v>
      </c>
      <c r="B3020" t="s">
        <v>1138</v>
      </c>
      <c r="C3020" t="s">
        <v>11</v>
      </c>
      <c r="D3020" t="s">
        <v>12</v>
      </c>
      <c r="E3020" t="s">
        <v>391</v>
      </c>
      <c r="H3020" t="s">
        <v>392</v>
      </c>
      <c r="I3020" t="s">
        <v>3162</v>
      </c>
      <c r="L3020" t="s">
        <v>394</v>
      </c>
      <c r="M3020" t="s">
        <v>3155</v>
      </c>
    </row>
    <row r="3021" spans="1:27" x14ac:dyDescent="0.3">
      <c r="A3021" t="s">
        <v>3149</v>
      </c>
      <c r="B3021" t="s">
        <v>2077</v>
      </c>
      <c r="C3021" t="s">
        <v>11</v>
      </c>
      <c r="D3021" t="s">
        <v>12</v>
      </c>
      <c r="E3021" t="s">
        <v>391</v>
      </c>
      <c r="H3021" t="s">
        <v>392</v>
      </c>
      <c r="I3021" t="s">
        <v>2128</v>
      </c>
      <c r="L3021" t="s">
        <v>394</v>
      </c>
      <c r="M3021" t="s">
        <v>3155</v>
      </c>
    </row>
    <row r="3022" spans="1:27" x14ac:dyDescent="0.3">
      <c r="A3022" t="s">
        <v>3163</v>
      </c>
      <c r="B3022" t="s">
        <v>2733</v>
      </c>
      <c r="C3022" t="s">
        <v>280</v>
      </c>
      <c r="D3022" t="s">
        <v>3164</v>
      </c>
      <c r="E3022" t="s">
        <v>2735</v>
      </c>
      <c r="H3022" t="s">
        <v>25</v>
      </c>
      <c r="I3022" t="s">
        <v>2736</v>
      </c>
    </row>
    <row r="3023" spans="1:27" x14ac:dyDescent="0.3">
      <c r="A3023" t="s">
        <v>3163</v>
      </c>
      <c r="B3023" t="s">
        <v>2733</v>
      </c>
      <c r="C3023" t="s">
        <v>308</v>
      </c>
      <c r="D3023" t="s">
        <v>3165</v>
      </c>
      <c r="E3023" t="s">
        <v>2738</v>
      </c>
      <c r="H3023" t="s">
        <v>25</v>
      </c>
      <c r="I3023" t="s">
        <v>2739</v>
      </c>
      <c r="L3023" t="s">
        <v>312</v>
      </c>
      <c r="M3023" t="s">
        <v>327</v>
      </c>
    </row>
    <row r="3024" spans="1:27" x14ac:dyDescent="0.3">
      <c r="A3024" t="s">
        <v>3163</v>
      </c>
      <c r="B3024" t="s">
        <v>2733</v>
      </c>
      <c r="C3024" t="s">
        <v>308</v>
      </c>
      <c r="D3024" t="s">
        <v>3166</v>
      </c>
      <c r="E3024" t="s">
        <v>527</v>
      </c>
      <c r="H3024" t="s">
        <v>25</v>
      </c>
      <c r="I3024" t="s">
        <v>2741</v>
      </c>
      <c r="L3024" t="s">
        <v>312</v>
      </c>
      <c r="M3024" t="s">
        <v>343</v>
      </c>
    </row>
    <row r="3025" spans="1:27" x14ac:dyDescent="0.3">
      <c r="A3025" t="s">
        <v>3163</v>
      </c>
      <c r="B3025" t="s">
        <v>2733</v>
      </c>
      <c r="C3025" t="s">
        <v>308</v>
      </c>
      <c r="D3025" t="s">
        <v>3167</v>
      </c>
      <c r="E3025" t="s">
        <v>2077</v>
      </c>
      <c r="H3025" t="s">
        <v>25</v>
      </c>
      <c r="I3025" t="s">
        <v>2078</v>
      </c>
      <c r="L3025" t="s">
        <v>312</v>
      </c>
      <c r="M3025" t="s">
        <v>1687</v>
      </c>
    </row>
    <row r="3026" spans="1:27" x14ac:dyDescent="0.3">
      <c r="A3026" t="s">
        <v>3163</v>
      </c>
      <c r="B3026" t="s">
        <v>2733</v>
      </c>
      <c r="C3026" t="s">
        <v>308</v>
      </c>
      <c r="D3026" t="s">
        <v>3168</v>
      </c>
      <c r="E3026" t="s">
        <v>1138</v>
      </c>
      <c r="H3026" t="s">
        <v>25</v>
      </c>
      <c r="I3026" t="s">
        <v>2065</v>
      </c>
      <c r="L3026" t="s">
        <v>312</v>
      </c>
      <c r="M3026" t="s">
        <v>317</v>
      </c>
    </row>
    <row r="3027" spans="1:27" x14ac:dyDescent="0.3">
      <c r="A3027" t="s">
        <v>3163</v>
      </c>
      <c r="B3027" t="s">
        <v>2733</v>
      </c>
      <c r="C3027" t="s">
        <v>308</v>
      </c>
      <c r="D3027" t="s">
        <v>3169</v>
      </c>
      <c r="E3027" t="s">
        <v>1134</v>
      </c>
      <c r="H3027" t="s">
        <v>25</v>
      </c>
      <c r="I3027" t="s">
        <v>2069</v>
      </c>
      <c r="L3027" t="s">
        <v>312</v>
      </c>
      <c r="M3027" t="s">
        <v>317</v>
      </c>
    </row>
    <row r="3028" spans="1:27" x14ac:dyDescent="0.3">
      <c r="A3028" t="s">
        <v>3163</v>
      </c>
      <c r="B3028" t="s">
        <v>2733</v>
      </c>
      <c r="C3028" t="s">
        <v>308</v>
      </c>
      <c r="D3028" t="s">
        <v>3170</v>
      </c>
      <c r="E3028" t="s">
        <v>1138</v>
      </c>
      <c r="H3028" t="s">
        <v>25</v>
      </c>
      <c r="I3028" t="s">
        <v>2746</v>
      </c>
      <c r="L3028" t="s">
        <v>312</v>
      </c>
      <c r="M3028" t="s">
        <v>317</v>
      </c>
    </row>
    <row r="3029" spans="1:27" x14ac:dyDescent="0.3">
      <c r="A3029" t="s">
        <v>3163</v>
      </c>
      <c r="B3029" t="s">
        <v>2733</v>
      </c>
      <c r="C3029" t="s">
        <v>308</v>
      </c>
      <c r="D3029" t="s">
        <v>3171</v>
      </c>
      <c r="E3029" t="s">
        <v>341</v>
      </c>
      <c r="H3029" t="s">
        <v>25</v>
      </c>
      <c r="I3029" t="s">
        <v>342</v>
      </c>
      <c r="L3029" t="s">
        <v>312</v>
      </c>
      <c r="M3029" t="s">
        <v>343</v>
      </c>
    </row>
    <row r="3030" spans="1:27" x14ac:dyDescent="0.3">
      <c r="A3030" t="s">
        <v>3163</v>
      </c>
      <c r="B3030" t="s">
        <v>2733</v>
      </c>
      <c r="C3030" t="s">
        <v>22</v>
      </c>
      <c r="D3030" t="s">
        <v>23</v>
      </c>
      <c r="E3030" t="s">
        <v>28</v>
      </c>
    </row>
    <row r="3031" spans="1:27" x14ac:dyDescent="0.3">
      <c r="A3031" t="s">
        <v>3163</v>
      </c>
      <c r="B3031" t="s">
        <v>2733</v>
      </c>
      <c r="C3031" t="s">
        <v>2748</v>
      </c>
      <c r="D3031">
        <v>3</v>
      </c>
      <c r="H3031" t="s">
        <v>312</v>
      </c>
      <c r="I3031" t="s">
        <v>385</v>
      </c>
    </row>
    <row r="3032" spans="1:27" x14ac:dyDescent="0.3">
      <c r="A3032" t="s">
        <v>3163</v>
      </c>
      <c r="B3032" t="s">
        <v>2733</v>
      </c>
      <c r="C3032" t="s">
        <v>378</v>
      </c>
      <c r="D3032">
        <v>55</v>
      </c>
      <c r="H3032" t="s">
        <v>312</v>
      </c>
      <c r="I3032" t="s">
        <v>327</v>
      </c>
    </row>
    <row r="3033" spans="1:27" x14ac:dyDescent="0.3">
      <c r="A3033" t="s">
        <v>3163</v>
      </c>
      <c r="B3033" t="s">
        <v>2733</v>
      </c>
      <c r="C3033" t="s">
        <v>380</v>
      </c>
      <c r="D3033" t="s">
        <v>554</v>
      </c>
      <c r="E3033" t="s">
        <v>279</v>
      </c>
      <c r="F3033" t="s">
        <v>25</v>
      </c>
      <c r="G3033" t="s">
        <v>3172</v>
      </c>
      <c r="J3033" t="s">
        <v>2089</v>
      </c>
      <c r="K3033" t="s">
        <v>2750</v>
      </c>
      <c r="N3033" t="s">
        <v>2751</v>
      </c>
      <c r="O3033">
        <v>5</v>
      </c>
      <c r="R3033" t="s">
        <v>2752</v>
      </c>
      <c r="S3033">
        <v>313</v>
      </c>
      <c r="V3033" t="s">
        <v>2753</v>
      </c>
      <c r="W3033" t="s">
        <v>2754</v>
      </c>
      <c r="Z3033" t="s">
        <v>2755</v>
      </c>
      <c r="AA3033" t="s">
        <v>2756</v>
      </c>
    </row>
    <row r="3034" spans="1:27" x14ac:dyDescent="0.3">
      <c r="A3034" t="s">
        <v>3163</v>
      </c>
      <c r="B3034" t="s">
        <v>2733</v>
      </c>
      <c r="C3034" t="s">
        <v>16</v>
      </c>
      <c r="D3034" t="s">
        <v>36</v>
      </c>
      <c r="E3034" t="s">
        <v>37</v>
      </c>
    </row>
    <row r="3035" spans="1:27" x14ac:dyDescent="0.3">
      <c r="A3035" t="s">
        <v>3163</v>
      </c>
      <c r="B3035" t="s">
        <v>2733</v>
      </c>
      <c r="C3035" t="s">
        <v>11</v>
      </c>
      <c r="D3035" t="s">
        <v>12</v>
      </c>
      <c r="E3035" t="s">
        <v>13</v>
      </c>
      <c r="H3035" t="s">
        <v>382</v>
      </c>
      <c r="I3035" t="s">
        <v>3173</v>
      </c>
      <c r="L3035" t="s">
        <v>14</v>
      </c>
      <c r="M3035" t="s">
        <v>3173</v>
      </c>
    </row>
    <row r="3036" spans="1:27" x14ac:dyDescent="0.3">
      <c r="A3036" t="s">
        <v>3166</v>
      </c>
      <c r="B3036" t="s">
        <v>527</v>
      </c>
      <c r="C3036" t="s">
        <v>11</v>
      </c>
      <c r="D3036" t="s">
        <v>12</v>
      </c>
      <c r="E3036" t="s">
        <v>391</v>
      </c>
      <c r="H3036" t="s">
        <v>392</v>
      </c>
      <c r="I3036" t="s">
        <v>2758</v>
      </c>
      <c r="L3036" t="s">
        <v>394</v>
      </c>
      <c r="M3036" t="s">
        <v>3173</v>
      </c>
    </row>
    <row r="3037" spans="1:27" x14ac:dyDescent="0.3">
      <c r="A3037" t="s">
        <v>3165</v>
      </c>
      <c r="B3037" t="s">
        <v>2738</v>
      </c>
      <c r="C3037" t="s">
        <v>11</v>
      </c>
      <c r="D3037" t="s">
        <v>12</v>
      </c>
      <c r="E3037" t="s">
        <v>391</v>
      </c>
      <c r="H3037" t="s">
        <v>392</v>
      </c>
      <c r="I3037" t="s">
        <v>3174</v>
      </c>
      <c r="L3037" t="s">
        <v>394</v>
      </c>
      <c r="M3037" t="s">
        <v>3173</v>
      </c>
    </row>
    <row r="3038" spans="1:27" x14ac:dyDescent="0.3">
      <c r="A3038" t="s">
        <v>3164</v>
      </c>
      <c r="B3038" t="s">
        <v>2735</v>
      </c>
      <c r="C3038" t="s">
        <v>308</v>
      </c>
      <c r="D3038" t="s">
        <v>3175</v>
      </c>
      <c r="E3038" t="s">
        <v>406</v>
      </c>
      <c r="H3038" t="s">
        <v>25</v>
      </c>
      <c r="I3038" t="s">
        <v>2761</v>
      </c>
      <c r="L3038" t="s">
        <v>312</v>
      </c>
      <c r="M3038" t="s">
        <v>404</v>
      </c>
    </row>
    <row r="3039" spans="1:27" x14ac:dyDescent="0.3">
      <c r="A3039" t="s">
        <v>3175</v>
      </c>
      <c r="B3039" t="s">
        <v>406</v>
      </c>
      <c r="C3039" t="s">
        <v>11</v>
      </c>
      <c r="D3039" t="s">
        <v>12</v>
      </c>
      <c r="E3039" t="s">
        <v>391</v>
      </c>
      <c r="H3039" t="s">
        <v>392</v>
      </c>
      <c r="I3039" t="s">
        <v>3176</v>
      </c>
      <c r="L3039" t="s">
        <v>394</v>
      </c>
      <c r="M3039" t="s">
        <v>3173</v>
      </c>
    </row>
    <row r="3040" spans="1:27" x14ac:dyDescent="0.3">
      <c r="A3040" t="s">
        <v>3168</v>
      </c>
      <c r="B3040" t="s">
        <v>1138</v>
      </c>
      <c r="C3040" t="s">
        <v>11</v>
      </c>
      <c r="D3040" t="s">
        <v>12</v>
      </c>
      <c r="E3040" t="s">
        <v>391</v>
      </c>
      <c r="H3040" t="s">
        <v>392</v>
      </c>
      <c r="I3040" t="s">
        <v>3177</v>
      </c>
      <c r="L3040" t="s">
        <v>394</v>
      </c>
      <c r="M3040" t="s">
        <v>3173</v>
      </c>
    </row>
    <row r="3041" spans="1:27" x14ac:dyDescent="0.3">
      <c r="A3041" t="s">
        <v>3171</v>
      </c>
      <c r="B3041" t="s">
        <v>341</v>
      </c>
      <c r="C3041" t="s">
        <v>11</v>
      </c>
      <c r="D3041" t="s">
        <v>12</v>
      </c>
      <c r="E3041" t="s">
        <v>391</v>
      </c>
      <c r="H3041" t="s">
        <v>392</v>
      </c>
      <c r="I3041" t="s">
        <v>3178</v>
      </c>
      <c r="L3041" t="s">
        <v>394</v>
      </c>
      <c r="M3041" t="s">
        <v>3173</v>
      </c>
    </row>
    <row r="3042" spans="1:27" x14ac:dyDescent="0.3">
      <c r="A3042" t="s">
        <v>3169</v>
      </c>
      <c r="B3042" t="s">
        <v>1134</v>
      </c>
      <c r="C3042" t="s">
        <v>11</v>
      </c>
      <c r="D3042" t="s">
        <v>12</v>
      </c>
      <c r="E3042" t="s">
        <v>391</v>
      </c>
      <c r="H3042" t="s">
        <v>392</v>
      </c>
      <c r="I3042" t="s">
        <v>3179</v>
      </c>
      <c r="L3042" t="s">
        <v>394</v>
      </c>
      <c r="M3042" t="s">
        <v>3173</v>
      </c>
    </row>
    <row r="3043" spans="1:27" x14ac:dyDescent="0.3">
      <c r="A3043" t="s">
        <v>3170</v>
      </c>
      <c r="B3043" t="s">
        <v>1138</v>
      </c>
      <c r="C3043" t="s">
        <v>11</v>
      </c>
      <c r="D3043" t="s">
        <v>12</v>
      </c>
      <c r="E3043" t="s">
        <v>391</v>
      </c>
      <c r="H3043" t="s">
        <v>392</v>
      </c>
      <c r="I3043" t="s">
        <v>3180</v>
      </c>
      <c r="L3043" t="s">
        <v>394</v>
      </c>
      <c r="M3043" t="s">
        <v>3173</v>
      </c>
    </row>
    <row r="3044" spans="1:27" x14ac:dyDescent="0.3">
      <c r="A3044" t="s">
        <v>3167</v>
      </c>
      <c r="B3044" t="s">
        <v>2077</v>
      </c>
      <c r="C3044" t="s">
        <v>11</v>
      </c>
      <c r="D3044" t="s">
        <v>12</v>
      </c>
      <c r="E3044" t="s">
        <v>391</v>
      </c>
      <c r="H3044" t="s">
        <v>392</v>
      </c>
      <c r="I3044" t="s">
        <v>2128</v>
      </c>
      <c r="L3044" t="s">
        <v>394</v>
      </c>
      <c r="M3044" t="s">
        <v>3173</v>
      </c>
    </row>
    <row r="3045" spans="1:27" x14ac:dyDescent="0.3">
      <c r="A3045" t="s">
        <v>3181</v>
      </c>
      <c r="B3045" t="s">
        <v>2733</v>
      </c>
      <c r="C3045" t="s">
        <v>280</v>
      </c>
      <c r="D3045" t="s">
        <v>3182</v>
      </c>
      <c r="E3045" t="s">
        <v>2735</v>
      </c>
      <c r="H3045" t="s">
        <v>25</v>
      </c>
      <c r="I3045" t="s">
        <v>2736</v>
      </c>
    </row>
    <row r="3046" spans="1:27" x14ac:dyDescent="0.3">
      <c r="A3046" t="s">
        <v>3181</v>
      </c>
      <c r="B3046" t="s">
        <v>2733</v>
      </c>
      <c r="C3046" t="s">
        <v>308</v>
      </c>
      <c r="D3046" t="s">
        <v>3183</v>
      </c>
      <c r="E3046" t="s">
        <v>2738</v>
      </c>
      <c r="H3046" t="s">
        <v>25</v>
      </c>
      <c r="I3046" t="s">
        <v>2739</v>
      </c>
      <c r="L3046" t="s">
        <v>312</v>
      </c>
      <c r="M3046" t="s">
        <v>327</v>
      </c>
    </row>
    <row r="3047" spans="1:27" x14ac:dyDescent="0.3">
      <c r="A3047" t="s">
        <v>3181</v>
      </c>
      <c r="B3047" t="s">
        <v>2733</v>
      </c>
      <c r="C3047" t="s">
        <v>308</v>
      </c>
      <c r="D3047" t="s">
        <v>3184</v>
      </c>
      <c r="E3047" t="s">
        <v>527</v>
      </c>
      <c r="H3047" t="s">
        <v>25</v>
      </c>
      <c r="I3047" t="s">
        <v>2741</v>
      </c>
      <c r="L3047" t="s">
        <v>312</v>
      </c>
      <c r="M3047" t="s">
        <v>343</v>
      </c>
    </row>
    <row r="3048" spans="1:27" x14ac:dyDescent="0.3">
      <c r="A3048" t="s">
        <v>3181</v>
      </c>
      <c r="B3048" t="s">
        <v>2733</v>
      </c>
      <c r="C3048" t="s">
        <v>308</v>
      </c>
      <c r="D3048" t="s">
        <v>3185</v>
      </c>
      <c r="E3048" t="s">
        <v>2077</v>
      </c>
      <c r="H3048" t="s">
        <v>25</v>
      </c>
      <c r="I3048" t="s">
        <v>2078</v>
      </c>
      <c r="L3048" t="s">
        <v>312</v>
      </c>
      <c r="M3048" t="s">
        <v>1687</v>
      </c>
    </row>
    <row r="3049" spans="1:27" x14ac:dyDescent="0.3">
      <c r="A3049" t="s">
        <v>3181</v>
      </c>
      <c r="B3049" t="s">
        <v>2733</v>
      </c>
      <c r="C3049" t="s">
        <v>308</v>
      </c>
      <c r="D3049" t="s">
        <v>3186</v>
      </c>
      <c r="E3049" t="s">
        <v>1138</v>
      </c>
      <c r="H3049" t="s">
        <v>25</v>
      </c>
      <c r="I3049" t="s">
        <v>2065</v>
      </c>
      <c r="L3049" t="s">
        <v>312</v>
      </c>
      <c r="M3049" t="s">
        <v>317</v>
      </c>
    </row>
    <row r="3050" spans="1:27" x14ac:dyDescent="0.3">
      <c r="A3050" t="s">
        <v>3181</v>
      </c>
      <c r="B3050" t="s">
        <v>2733</v>
      </c>
      <c r="C3050" t="s">
        <v>308</v>
      </c>
      <c r="D3050" t="s">
        <v>3187</v>
      </c>
      <c r="E3050" t="s">
        <v>1134</v>
      </c>
      <c r="H3050" t="s">
        <v>25</v>
      </c>
      <c r="I3050" t="s">
        <v>2069</v>
      </c>
      <c r="L3050" t="s">
        <v>312</v>
      </c>
      <c r="M3050" t="s">
        <v>317</v>
      </c>
    </row>
    <row r="3051" spans="1:27" x14ac:dyDescent="0.3">
      <c r="A3051" t="s">
        <v>3181</v>
      </c>
      <c r="B3051" t="s">
        <v>2733</v>
      </c>
      <c r="C3051" t="s">
        <v>308</v>
      </c>
      <c r="D3051" t="s">
        <v>3188</v>
      </c>
      <c r="E3051" t="s">
        <v>1138</v>
      </c>
      <c r="H3051" t="s">
        <v>25</v>
      </c>
      <c r="I3051" t="s">
        <v>2746</v>
      </c>
      <c r="L3051" t="s">
        <v>312</v>
      </c>
      <c r="M3051" t="s">
        <v>317</v>
      </c>
    </row>
    <row r="3052" spans="1:27" x14ac:dyDescent="0.3">
      <c r="A3052" t="s">
        <v>3181</v>
      </c>
      <c r="B3052" t="s">
        <v>2733</v>
      </c>
      <c r="C3052" t="s">
        <v>308</v>
      </c>
      <c r="D3052" t="s">
        <v>3189</v>
      </c>
      <c r="E3052" t="s">
        <v>341</v>
      </c>
      <c r="H3052" t="s">
        <v>25</v>
      </c>
      <c r="I3052" t="s">
        <v>342</v>
      </c>
      <c r="L3052" t="s">
        <v>312</v>
      </c>
      <c r="M3052" t="s">
        <v>343</v>
      </c>
    </row>
    <row r="3053" spans="1:27" x14ac:dyDescent="0.3">
      <c r="A3053" t="s">
        <v>3181</v>
      </c>
      <c r="B3053" t="s">
        <v>2733</v>
      </c>
      <c r="C3053" t="s">
        <v>22</v>
      </c>
      <c r="D3053" t="s">
        <v>23</v>
      </c>
      <c r="E3053" t="s">
        <v>28</v>
      </c>
    </row>
    <row r="3054" spans="1:27" x14ac:dyDescent="0.3">
      <c r="A3054" t="s">
        <v>3181</v>
      </c>
      <c r="B3054" t="s">
        <v>2733</v>
      </c>
      <c r="C3054" t="s">
        <v>2748</v>
      </c>
      <c r="D3054">
        <v>1.5</v>
      </c>
      <c r="H3054" t="s">
        <v>312</v>
      </c>
      <c r="I3054" t="s">
        <v>385</v>
      </c>
    </row>
    <row r="3055" spans="1:27" x14ac:dyDescent="0.3">
      <c r="A3055" t="s">
        <v>3181</v>
      </c>
      <c r="B3055" t="s">
        <v>2733</v>
      </c>
      <c r="C3055" t="s">
        <v>378</v>
      </c>
      <c r="D3055">
        <v>170</v>
      </c>
      <c r="H3055" t="s">
        <v>312</v>
      </c>
      <c r="I3055" t="s">
        <v>327</v>
      </c>
    </row>
    <row r="3056" spans="1:27" x14ac:dyDescent="0.3">
      <c r="A3056" t="s">
        <v>3181</v>
      </c>
      <c r="B3056" t="s">
        <v>2733</v>
      </c>
      <c r="C3056" t="s">
        <v>380</v>
      </c>
      <c r="D3056" t="s">
        <v>554</v>
      </c>
      <c r="E3056" t="s">
        <v>279</v>
      </c>
      <c r="F3056" t="s">
        <v>25</v>
      </c>
      <c r="G3056" t="s">
        <v>3190</v>
      </c>
      <c r="J3056" t="s">
        <v>2089</v>
      </c>
      <c r="K3056" t="s">
        <v>2750</v>
      </c>
      <c r="N3056" t="s">
        <v>2751</v>
      </c>
      <c r="O3056">
        <v>2</v>
      </c>
      <c r="R3056" t="s">
        <v>2752</v>
      </c>
      <c r="S3056">
        <v>158</v>
      </c>
      <c r="V3056" t="s">
        <v>2753</v>
      </c>
      <c r="W3056" t="s">
        <v>2754</v>
      </c>
      <c r="Z3056" t="s">
        <v>2755</v>
      </c>
      <c r="AA3056" t="s">
        <v>2756</v>
      </c>
    </row>
    <row r="3057" spans="1:13" x14ac:dyDescent="0.3">
      <c r="A3057" t="s">
        <v>3181</v>
      </c>
      <c r="B3057" t="s">
        <v>2733</v>
      </c>
      <c r="C3057" t="s">
        <v>16</v>
      </c>
      <c r="D3057" t="s">
        <v>41</v>
      </c>
      <c r="E3057" t="s">
        <v>37</v>
      </c>
    </row>
    <row r="3058" spans="1:13" x14ac:dyDescent="0.3">
      <c r="A3058" t="s">
        <v>3181</v>
      </c>
      <c r="B3058" t="s">
        <v>2733</v>
      </c>
      <c r="C3058" t="s">
        <v>11</v>
      </c>
      <c r="D3058" t="s">
        <v>12</v>
      </c>
      <c r="E3058" t="s">
        <v>13</v>
      </c>
      <c r="H3058" t="s">
        <v>382</v>
      </c>
      <c r="I3058" t="s">
        <v>3191</v>
      </c>
      <c r="L3058" t="s">
        <v>14</v>
      </c>
      <c r="M3058" t="s">
        <v>3191</v>
      </c>
    </row>
    <row r="3059" spans="1:13" x14ac:dyDescent="0.3">
      <c r="A3059" t="s">
        <v>3184</v>
      </c>
      <c r="B3059" t="s">
        <v>527</v>
      </c>
      <c r="C3059" t="s">
        <v>11</v>
      </c>
      <c r="D3059" t="s">
        <v>12</v>
      </c>
      <c r="E3059" t="s">
        <v>391</v>
      </c>
      <c r="H3059" t="s">
        <v>392</v>
      </c>
      <c r="I3059" t="s">
        <v>2758</v>
      </c>
      <c r="L3059" t="s">
        <v>394</v>
      </c>
      <c r="M3059" t="s">
        <v>3191</v>
      </c>
    </row>
    <row r="3060" spans="1:13" x14ac:dyDescent="0.3">
      <c r="A3060" t="s">
        <v>3183</v>
      </c>
      <c r="B3060" t="s">
        <v>2738</v>
      </c>
      <c r="C3060" t="s">
        <v>11</v>
      </c>
      <c r="D3060" t="s">
        <v>12</v>
      </c>
      <c r="E3060" t="s">
        <v>391</v>
      </c>
      <c r="H3060" t="s">
        <v>392</v>
      </c>
      <c r="I3060" t="s">
        <v>3192</v>
      </c>
      <c r="L3060" t="s">
        <v>394</v>
      </c>
      <c r="M3060" t="s">
        <v>3191</v>
      </c>
    </row>
    <row r="3061" spans="1:13" x14ac:dyDescent="0.3">
      <c r="A3061" t="s">
        <v>3182</v>
      </c>
      <c r="B3061" t="s">
        <v>2735</v>
      </c>
      <c r="C3061" t="s">
        <v>308</v>
      </c>
      <c r="D3061" t="s">
        <v>3193</v>
      </c>
      <c r="E3061" t="s">
        <v>406</v>
      </c>
      <c r="H3061" t="s">
        <v>25</v>
      </c>
      <c r="I3061" t="s">
        <v>2761</v>
      </c>
      <c r="L3061" t="s">
        <v>312</v>
      </c>
      <c r="M3061" t="s">
        <v>404</v>
      </c>
    </row>
    <row r="3062" spans="1:13" x14ac:dyDescent="0.3">
      <c r="A3062" t="s">
        <v>3193</v>
      </c>
      <c r="B3062" t="s">
        <v>406</v>
      </c>
      <c r="C3062" t="s">
        <v>11</v>
      </c>
      <c r="D3062" t="s">
        <v>12</v>
      </c>
      <c r="E3062" t="s">
        <v>391</v>
      </c>
      <c r="H3062" t="s">
        <v>392</v>
      </c>
      <c r="I3062" t="s">
        <v>3194</v>
      </c>
      <c r="L3062" t="s">
        <v>394</v>
      </c>
      <c r="M3062" t="s">
        <v>3191</v>
      </c>
    </row>
    <row r="3063" spans="1:13" x14ac:dyDescent="0.3">
      <c r="A3063" t="s">
        <v>3186</v>
      </c>
      <c r="B3063" t="s">
        <v>1138</v>
      </c>
      <c r="C3063" t="s">
        <v>11</v>
      </c>
      <c r="D3063" t="s">
        <v>12</v>
      </c>
      <c r="E3063" t="s">
        <v>391</v>
      </c>
      <c r="H3063" t="s">
        <v>392</v>
      </c>
      <c r="I3063" t="s">
        <v>3195</v>
      </c>
      <c r="L3063" t="s">
        <v>394</v>
      </c>
      <c r="M3063" t="s">
        <v>3191</v>
      </c>
    </row>
    <row r="3064" spans="1:13" x14ac:dyDescent="0.3">
      <c r="A3064" t="s">
        <v>3189</v>
      </c>
      <c r="B3064" t="s">
        <v>341</v>
      </c>
      <c r="C3064" t="s">
        <v>11</v>
      </c>
      <c r="D3064" t="s">
        <v>12</v>
      </c>
      <c r="E3064" t="s">
        <v>391</v>
      </c>
      <c r="H3064" t="s">
        <v>392</v>
      </c>
      <c r="I3064" t="s">
        <v>3196</v>
      </c>
      <c r="L3064" t="s">
        <v>394</v>
      </c>
      <c r="M3064" t="s">
        <v>3191</v>
      </c>
    </row>
    <row r="3065" spans="1:13" x14ac:dyDescent="0.3">
      <c r="A3065" t="s">
        <v>3187</v>
      </c>
      <c r="B3065" t="s">
        <v>1134</v>
      </c>
      <c r="C3065" t="s">
        <v>11</v>
      </c>
      <c r="D3065" t="s">
        <v>12</v>
      </c>
      <c r="E3065" t="s">
        <v>391</v>
      </c>
      <c r="H3065" t="s">
        <v>392</v>
      </c>
      <c r="I3065" t="s">
        <v>3197</v>
      </c>
      <c r="L3065" t="s">
        <v>394</v>
      </c>
      <c r="M3065" t="s">
        <v>3191</v>
      </c>
    </row>
    <row r="3066" spans="1:13" x14ac:dyDescent="0.3">
      <c r="A3066" t="s">
        <v>3188</v>
      </c>
      <c r="B3066" t="s">
        <v>1138</v>
      </c>
      <c r="C3066" t="s">
        <v>11</v>
      </c>
      <c r="D3066" t="s">
        <v>12</v>
      </c>
      <c r="E3066" t="s">
        <v>391</v>
      </c>
      <c r="H3066" t="s">
        <v>392</v>
      </c>
      <c r="I3066" t="s">
        <v>3198</v>
      </c>
      <c r="L3066" t="s">
        <v>394</v>
      </c>
      <c r="M3066" t="s">
        <v>3191</v>
      </c>
    </row>
    <row r="3067" spans="1:13" x14ac:dyDescent="0.3">
      <c r="A3067" t="s">
        <v>3185</v>
      </c>
      <c r="B3067" t="s">
        <v>2077</v>
      </c>
      <c r="C3067" t="s">
        <v>11</v>
      </c>
      <c r="D3067" t="s">
        <v>12</v>
      </c>
      <c r="E3067" t="s">
        <v>391</v>
      </c>
      <c r="H3067" t="s">
        <v>392</v>
      </c>
      <c r="I3067" t="s">
        <v>2128</v>
      </c>
      <c r="L3067" t="s">
        <v>394</v>
      </c>
      <c r="M3067" t="s">
        <v>3191</v>
      </c>
    </row>
    <row r="3068" spans="1:13" x14ac:dyDescent="0.3">
      <c r="A3068" t="s">
        <v>3199</v>
      </c>
      <c r="B3068" t="s">
        <v>2733</v>
      </c>
      <c r="C3068" t="s">
        <v>280</v>
      </c>
      <c r="D3068" t="s">
        <v>3200</v>
      </c>
      <c r="E3068" t="s">
        <v>2735</v>
      </c>
      <c r="H3068" t="s">
        <v>25</v>
      </c>
      <c r="I3068" t="s">
        <v>2736</v>
      </c>
    </row>
    <row r="3069" spans="1:13" x14ac:dyDescent="0.3">
      <c r="A3069" t="s">
        <v>3199</v>
      </c>
      <c r="B3069" t="s">
        <v>2733</v>
      </c>
      <c r="C3069" t="s">
        <v>308</v>
      </c>
      <c r="D3069" t="s">
        <v>3201</v>
      </c>
      <c r="E3069" t="s">
        <v>2738</v>
      </c>
      <c r="H3069" t="s">
        <v>25</v>
      </c>
      <c r="I3069" t="s">
        <v>2739</v>
      </c>
      <c r="L3069" t="s">
        <v>312</v>
      </c>
      <c r="M3069" t="s">
        <v>327</v>
      </c>
    </row>
    <row r="3070" spans="1:13" x14ac:dyDescent="0.3">
      <c r="A3070" t="s">
        <v>3199</v>
      </c>
      <c r="B3070" t="s">
        <v>2733</v>
      </c>
      <c r="C3070" t="s">
        <v>308</v>
      </c>
      <c r="D3070" t="s">
        <v>3202</v>
      </c>
      <c r="E3070" t="s">
        <v>527</v>
      </c>
      <c r="H3070" t="s">
        <v>25</v>
      </c>
      <c r="I3070" t="s">
        <v>2741</v>
      </c>
      <c r="L3070" t="s">
        <v>312</v>
      </c>
      <c r="M3070" t="s">
        <v>343</v>
      </c>
    </row>
    <row r="3071" spans="1:13" x14ac:dyDescent="0.3">
      <c r="A3071" t="s">
        <v>3199</v>
      </c>
      <c r="B3071" t="s">
        <v>2733</v>
      </c>
      <c r="C3071" t="s">
        <v>308</v>
      </c>
      <c r="D3071" t="s">
        <v>3203</v>
      </c>
      <c r="E3071" t="s">
        <v>2077</v>
      </c>
      <c r="H3071" t="s">
        <v>25</v>
      </c>
      <c r="I3071" t="s">
        <v>2078</v>
      </c>
      <c r="L3071" t="s">
        <v>312</v>
      </c>
      <c r="M3071" t="s">
        <v>1687</v>
      </c>
    </row>
    <row r="3072" spans="1:13" x14ac:dyDescent="0.3">
      <c r="A3072" t="s">
        <v>3199</v>
      </c>
      <c r="B3072" t="s">
        <v>2733</v>
      </c>
      <c r="C3072" t="s">
        <v>308</v>
      </c>
      <c r="D3072" t="s">
        <v>3204</v>
      </c>
      <c r="E3072" t="s">
        <v>1138</v>
      </c>
      <c r="H3072" t="s">
        <v>25</v>
      </c>
      <c r="I3072" t="s">
        <v>2065</v>
      </c>
      <c r="L3072" t="s">
        <v>312</v>
      </c>
      <c r="M3072" t="s">
        <v>317</v>
      </c>
    </row>
    <row r="3073" spans="1:27" x14ac:dyDescent="0.3">
      <c r="A3073" t="s">
        <v>3199</v>
      </c>
      <c r="B3073" t="s">
        <v>2733</v>
      </c>
      <c r="C3073" t="s">
        <v>308</v>
      </c>
      <c r="D3073" t="s">
        <v>3205</v>
      </c>
      <c r="E3073" t="s">
        <v>1134</v>
      </c>
      <c r="H3073" t="s">
        <v>25</v>
      </c>
      <c r="I3073" t="s">
        <v>2069</v>
      </c>
      <c r="L3073" t="s">
        <v>312</v>
      </c>
      <c r="M3073" t="s">
        <v>317</v>
      </c>
    </row>
    <row r="3074" spans="1:27" x14ac:dyDescent="0.3">
      <c r="A3074" t="s">
        <v>3199</v>
      </c>
      <c r="B3074" t="s">
        <v>2733</v>
      </c>
      <c r="C3074" t="s">
        <v>308</v>
      </c>
      <c r="D3074" t="s">
        <v>3206</v>
      </c>
      <c r="E3074" t="s">
        <v>1138</v>
      </c>
      <c r="H3074" t="s">
        <v>25</v>
      </c>
      <c r="I3074" t="s">
        <v>2746</v>
      </c>
      <c r="L3074" t="s">
        <v>312</v>
      </c>
      <c r="M3074" t="s">
        <v>317</v>
      </c>
    </row>
    <row r="3075" spans="1:27" x14ac:dyDescent="0.3">
      <c r="A3075" t="s">
        <v>3199</v>
      </c>
      <c r="B3075" t="s">
        <v>2733</v>
      </c>
      <c r="C3075" t="s">
        <v>308</v>
      </c>
      <c r="D3075" t="s">
        <v>3207</v>
      </c>
      <c r="E3075" t="s">
        <v>341</v>
      </c>
      <c r="H3075" t="s">
        <v>25</v>
      </c>
      <c r="I3075" t="s">
        <v>342</v>
      </c>
      <c r="L3075" t="s">
        <v>312</v>
      </c>
      <c r="M3075" t="s">
        <v>343</v>
      </c>
    </row>
    <row r="3076" spans="1:27" x14ac:dyDescent="0.3">
      <c r="A3076" t="s">
        <v>3199</v>
      </c>
      <c r="B3076" t="s">
        <v>2733</v>
      </c>
      <c r="C3076" t="s">
        <v>22</v>
      </c>
      <c r="D3076" t="s">
        <v>23</v>
      </c>
      <c r="E3076" t="s">
        <v>28</v>
      </c>
    </row>
    <row r="3077" spans="1:27" x14ac:dyDescent="0.3">
      <c r="A3077" t="s">
        <v>3199</v>
      </c>
      <c r="B3077" t="s">
        <v>2733</v>
      </c>
      <c r="C3077" t="s">
        <v>2748</v>
      </c>
      <c r="D3077">
        <v>1.5</v>
      </c>
      <c r="H3077" t="s">
        <v>312</v>
      </c>
      <c r="I3077" t="s">
        <v>385</v>
      </c>
    </row>
    <row r="3078" spans="1:27" x14ac:dyDescent="0.3">
      <c r="A3078" t="s">
        <v>3199</v>
      </c>
      <c r="B3078" t="s">
        <v>2733</v>
      </c>
      <c r="C3078" t="s">
        <v>378</v>
      </c>
      <c r="D3078">
        <v>170</v>
      </c>
      <c r="H3078" t="s">
        <v>312</v>
      </c>
      <c r="I3078" t="s">
        <v>327</v>
      </c>
    </row>
    <row r="3079" spans="1:27" x14ac:dyDescent="0.3">
      <c r="A3079" t="s">
        <v>3199</v>
      </c>
      <c r="B3079" t="s">
        <v>2733</v>
      </c>
      <c r="C3079" t="s">
        <v>380</v>
      </c>
      <c r="D3079" t="s">
        <v>554</v>
      </c>
      <c r="E3079" t="s">
        <v>279</v>
      </c>
      <c r="F3079" t="s">
        <v>25</v>
      </c>
      <c r="G3079" t="s">
        <v>3208</v>
      </c>
      <c r="J3079" t="s">
        <v>2089</v>
      </c>
      <c r="K3079" t="s">
        <v>2750</v>
      </c>
      <c r="N3079" t="s">
        <v>2751</v>
      </c>
      <c r="O3079">
        <v>2</v>
      </c>
      <c r="R3079" t="s">
        <v>2752</v>
      </c>
      <c r="S3079">
        <v>158</v>
      </c>
      <c r="V3079" t="s">
        <v>2753</v>
      </c>
      <c r="W3079" t="s">
        <v>2754</v>
      </c>
      <c r="Z3079" t="s">
        <v>2755</v>
      </c>
      <c r="AA3079" t="s">
        <v>2756</v>
      </c>
    </row>
    <row r="3080" spans="1:27" x14ac:dyDescent="0.3">
      <c r="A3080" t="s">
        <v>3199</v>
      </c>
      <c r="B3080" t="s">
        <v>2733</v>
      </c>
      <c r="C3080" t="s">
        <v>16</v>
      </c>
      <c r="D3080" t="s">
        <v>41</v>
      </c>
      <c r="E3080" t="s">
        <v>37</v>
      </c>
    </row>
    <row r="3081" spans="1:27" x14ac:dyDescent="0.3">
      <c r="A3081" t="s">
        <v>3199</v>
      </c>
      <c r="B3081" t="s">
        <v>2733</v>
      </c>
      <c r="C3081" t="s">
        <v>11</v>
      </c>
      <c r="D3081" t="s">
        <v>12</v>
      </c>
      <c r="E3081" t="s">
        <v>13</v>
      </c>
      <c r="H3081" t="s">
        <v>382</v>
      </c>
      <c r="I3081" t="s">
        <v>3209</v>
      </c>
      <c r="L3081" t="s">
        <v>14</v>
      </c>
      <c r="M3081" t="s">
        <v>3209</v>
      </c>
    </row>
    <row r="3082" spans="1:27" x14ac:dyDescent="0.3">
      <c r="A3082" t="s">
        <v>3202</v>
      </c>
      <c r="B3082" t="s">
        <v>527</v>
      </c>
      <c r="C3082" t="s">
        <v>11</v>
      </c>
      <c r="D3082" t="s">
        <v>12</v>
      </c>
      <c r="E3082" t="s">
        <v>391</v>
      </c>
      <c r="H3082" t="s">
        <v>392</v>
      </c>
      <c r="I3082" t="s">
        <v>2758</v>
      </c>
      <c r="L3082" t="s">
        <v>394</v>
      </c>
      <c r="M3082" t="s">
        <v>3209</v>
      </c>
    </row>
    <row r="3083" spans="1:27" x14ac:dyDescent="0.3">
      <c r="A3083" t="s">
        <v>3201</v>
      </c>
      <c r="B3083" t="s">
        <v>2738</v>
      </c>
      <c r="C3083" t="s">
        <v>11</v>
      </c>
      <c r="D3083" t="s">
        <v>12</v>
      </c>
      <c r="E3083" t="s">
        <v>391</v>
      </c>
      <c r="H3083" t="s">
        <v>392</v>
      </c>
      <c r="I3083" t="s">
        <v>3210</v>
      </c>
      <c r="L3083" t="s">
        <v>394</v>
      </c>
      <c r="M3083" t="s">
        <v>3209</v>
      </c>
    </row>
    <row r="3084" spans="1:27" x14ac:dyDescent="0.3">
      <c r="A3084" t="s">
        <v>3200</v>
      </c>
      <c r="B3084" t="s">
        <v>2735</v>
      </c>
      <c r="C3084" t="s">
        <v>308</v>
      </c>
      <c r="D3084" t="s">
        <v>3211</v>
      </c>
      <c r="E3084" t="s">
        <v>406</v>
      </c>
      <c r="H3084" t="s">
        <v>25</v>
      </c>
      <c r="I3084" t="s">
        <v>2761</v>
      </c>
      <c r="L3084" t="s">
        <v>312</v>
      </c>
      <c r="M3084" t="s">
        <v>404</v>
      </c>
    </row>
    <row r="3085" spans="1:27" x14ac:dyDescent="0.3">
      <c r="A3085" t="s">
        <v>3211</v>
      </c>
      <c r="B3085" t="s">
        <v>406</v>
      </c>
      <c r="C3085" t="s">
        <v>11</v>
      </c>
      <c r="D3085" t="s">
        <v>12</v>
      </c>
      <c r="E3085" t="s">
        <v>391</v>
      </c>
      <c r="H3085" t="s">
        <v>392</v>
      </c>
      <c r="I3085" t="s">
        <v>3212</v>
      </c>
      <c r="L3085" t="s">
        <v>394</v>
      </c>
      <c r="M3085" t="s">
        <v>3209</v>
      </c>
    </row>
    <row r="3086" spans="1:27" x14ac:dyDescent="0.3">
      <c r="A3086" t="s">
        <v>3204</v>
      </c>
      <c r="B3086" t="s">
        <v>1138</v>
      </c>
      <c r="C3086" t="s">
        <v>11</v>
      </c>
      <c r="D3086" t="s">
        <v>12</v>
      </c>
      <c r="E3086" t="s">
        <v>391</v>
      </c>
      <c r="H3086" t="s">
        <v>392</v>
      </c>
      <c r="I3086" t="s">
        <v>3213</v>
      </c>
      <c r="L3086" t="s">
        <v>394</v>
      </c>
      <c r="M3086" t="s">
        <v>3209</v>
      </c>
    </row>
    <row r="3087" spans="1:27" x14ac:dyDescent="0.3">
      <c r="A3087" t="s">
        <v>3207</v>
      </c>
      <c r="B3087" t="s">
        <v>341</v>
      </c>
      <c r="C3087" t="s">
        <v>11</v>
      </c>
      <c r="D3087" t="s">
        <v>12</v>
      </c>
      <c r="E3087" t="s">
        <v>391</v>
      </c>
      <c r="H3087" t="s">
        <v>392</v>
      </c>
      <c r="I3087" t="s">
        <v>3214</v>
      </c>
      <c r="L3087" t="s">
        <v>394</v>
      </c>
      <c r="M3087" t="s">
        <v>3209</v>
      </c>
    </row>
    <row r="3088" spans="1:27" x14ac:dyDescent="0.3">
      <c r="A3088" t="s">
        <v>3205</v>
      </c>
      <c r="B3088" t="s">
        <v>1134</v>
      </c>
      <c r="C3088" t="s">
        <v>11</v>
      </c>
      <c r="D3088" t="s">
        <v>12</v>
      </c>
      <c r="E3088" t="s">
        <v>391</v>
      </c>
      <c r="H3088" t="s">
        <v>392</v>
      </c>
      <c r="I3088" t="s">
        <v>3215</v>
      </c>
      <c r="L3088" t="s">
        <v>394</v>
      </c>
      <c r="M3088" t="s">
        <v>3209</v>
      </c>
    </row>
    <row r="3089" spans="1:27" x14ac:dyDescent="0.3">
      <c r="A3089" t="s">
        <v>3206</v>
      </c>
      <c r="B3089" t="s">
        <v>1138</v>
      </c>
      <c r="C3089" t="s">
        <v>11</v>
      </c>
      <c r="D3089" t="s">
        <v>12</v>
      </c>
      <c r="E3089" t="s">
        <v>391</v>
      </c>
      <c r="H3089" t="s">
        <v>392</v>
      </c>
      <c r="I3089" t="s">
        <v>3216</v>
      </c>
      <c r="L3089" t="s">
        <v>394</v>
      </c>
      <c r="M3089" t="s">
        <v>3209</v>
      </c>
    </row>
    <row r="3090" spans="1:27" x14ac:dyDescent="0.3">
      <c r="A3090" t="s">
        <v>3203</v>
      </c>
      <c r="B3090" t="s">
        <v>2077</v>
      </c>
      <c r="C3090" t="s">
        <v>11</v>
      </c>
      <c r="D3090" t="s">
        <v>12</v>
      </c>
      <c r="E3090" t="s">
        <v>391</v>
      </c>
      <c r="H3090" t="s">
        <v>392</v>
      </c>
      <c r="I3090" t="s">
        <v>2128</v>
      </c>
      <c r="L3090" t="s">
        <v>394</v>
      </c>
      <c r="M3090" t="s">
        <v>3209</v>
      </c>
    </row>
    <row r="3091" spans="1:27" x14ac:dyDescent="0.3">
      <c r="A3091" t="s">
        <v>3217</v>
      </c>
      <c r="B3091" t="s">
        <v>2733</v>
      </c>
      <c r="C3091" t="s">
        <v>280</v>
      </c>
      <c r="D3091" t="s">
        <v>3218</v>
      </c>
      <c r="E3091" t="s">
        <v>2735</v>
      </c>
      <c r="H3091" t="s">
        <v>25</v>
      </c>
      <c r="I3091" t="s">
        <v>2736</v>
      </c>
    </row>
    <row r="3092" spans="1:27" x14ac:dyDescent="0.3">
      <c r="A3092" t="s">
        <v>3217</v>
      </c>
      <c r="B3092" t="s">
        <v>2733</v>
      </c>
      <c r="C3092" t="s">
        <v>308</v>
      </c>
      <c r="D3092" t="s">
        <v>3219</v>
      </c>
      <c r="E3092" t="s">
        <v>2738</v>
      </c>
      <c r="H3092" t="s">
        <v>25</v>
      </c>
      <c r="I3092" t="s">
        <v>2739</v>
      </c>
      <c r="L3092" t="s">
        <v>312</v>
      </c>
      <c r="M3092" t="s">
        <v>327</v>
      </c>
    </row>
    <row r="3093" spans="1:27" x14ac:dyDescent="0.3">
      <c r="A3093" t="s">
        <v>3217</v>
      </c>
      <c r="B3093" t="s">
        <v>2733</v>
      </c>
      <c r="C3093" t="s">
        <v>308</v>
      </c>
      <c r="D3093" t="s">
        <v>3220</v>
      </c>
      <c r="E3093" t="s">
        <v>527</v>
      </c>
      <c r="H3093" t="s">
        <v>25</v>
      </c>
      <c r="I3093" t="s">
        <v>2741</v>
      </c>
      <c r="L3093" t="s">
        <v>312</v>
      </c>
      <c r="M3093" t="s">
        <v>343</v>
      </c>
    </row>
    <row r="3094" spans="1:27" x14ac:dyDescent="0.3">
      <c r="A3094" t="s">
        <v>3217</v>
      </c>
      <c r="B3094" t="s">
        <v>2733</v>
      </c>
      <c r="C3094" t="s">
        <v>308</v>
      </c>
      <c r="D3094" t="s">
        <v>3221</v>
      </c>
      <c r="E3094" t="s">
        <v>2077</v>
      </c>
      <c r="H3094" t="s">
        <v>25</v>
      </c>
      <c r="I3094" t="s">
        <v>2078</v>
      </c>
      <c r="L3094" t="s">
        <v>312</v>
      </c>
      <c r="M3094" t="s">
        <v>1687</v>
      </c>
    </row>
    <row r="3095" spans="1:27" x14ac:dyDescent="0.3">
      <c r="A3095" t="s">
        <v>3217</v>
      </c>
      <c r="B3095" t="s">
        <v>2733</v>
      </c>
      <c r="C3095" t="s">
        <v>308</v>
      </c>
      <c r="D3095" t="s">
        <v>3222</v>
      </c>
      <c r="E3095" t="s">
        <v>1138</v>
      </c>
      <c r="H3095" t="s">
        <v>25</v>
      </c>
      <c r="I3095" t="s">
        <v>2065</v>
      </c>
      <c r="L3095" t="s">
        <v>312</v>
      </c>
      <c r="M3095" t="s">
        <v>317</v>
      </c>
    </row>
    <row r="3096" spans="1:27" x14ac:dyDescent="0.3">
      <c r="A3096" t="s">
        <v>3217</v>
      </c>
      <c r="B3096" t="s">
        <v>2733</v>
      </c>
      <c r="C3096" t="s">
        <v>308</v>
      </c>
      <c r="D3096" t="s">
        <v>3223</v>
      </c>
      <c r="E3096" t="s">
        <v>1134</v>
      </c>
      <c r="H3096" t="s">
        <v>25</v>
      </c>
      <c r="I3096" t="s">
        <v>2069</v>
      </c>
      <c r="L3096" t="s">
        <v>312</v>
      </c>
      <c r="M3096" t="s">
        <v>317</v>
      </c>
    </row>
    <row r="3097" spans="1:27" x14ac:dyDescent="0.3">
      <c r="A3097" t="s">
        <v>3217</v>
      </c>
      <c r="B3097" t="s">
        <v>2733</v>
      </c>
      <c r="C3097" t="s">
        <v>308</v>
      </c>
      <c r="D3097" t="s">
        <v>3224</v>
      </c>
      <c r="E3097" t="s">
        <v>1138</v>
      </c>
      <c r="H3097" t="s">
        <v>25</v>
      </c>
      <c r="I3097" t="s">
        <v>2746</v>
      </c>
      <c r="L3097" t="s">
        <v>312</v>
      </c>
      <c r="M3097" t="s">
        <v>317</v>
      </c>
    </row>
    <row r="3098" spans="1:27" x14ac:dyDescent="0.3">
      <c r="A3098" t="s">
        <v>3217</v>
      </c>
      <c r="B3098" t="s">
        <v>2733</v>
      </c>
      <c r="C3098" t="s">
        <v>308</v>
      </c>
      <c r="D3098" t="s">
        <v>3225</v>
      </c>
      <c r="E3098" t="s">
        <v>341</v>
      </c>
      <c r="H3098" t="s">
        <v>25</v>
      </c>
      <c r="I3098" t="s">
        <v>342</v>
      </c>
      <c r="L3098" t="s">
        <v>312</v>
      </c>
      <c r="M3098" t="s">
        <v>343</v>
      </c>
    </row>
    <row r="3099" spans="1:27" x14ac:dyDescent="0.3">
      <c r="A3099" t="s">
        <v>3217</v>
      </c>
      <c r="B3099" t="s">
        <v>2733</v>
      </c>
      <c r="C3099" t="s">
        <v>22</v>
      </c>
      <c r="D3099" t="s">
        <v>23</v>
      </c>
      <c r="E3099" t="s">
        <v>28</v>
      </c>
    </row>
    <row r="3100" spans="1:27" x14ac:dyDescent="0.3">
      <c r="A3100" t="s">
        <v>3217</v>
      </c>
      <c r="B3100" t="s">
        <v>2733</v>
      </c>
      <c r="C3100" t="s">
        <v>2748</v>
      </c>
      <c r="D3100">
        <v>3</v>
      </c>
      <c r="H3100" t="s">
        <v>312</v>
      </c>
      <c r="I3100" t="s">
        <v>385</v>
      </c>
    </row>
    <row r="3101" spans="1:27" x14ac:dyDescent="0.3">
      <c r="A3101" t="s">
        <v>3217</v>
      </c>
      <c r="B3101" t="s">
        <v>2733</v>
      </c>
      <c r="C3101" t="s">
        <v>378</v>
      </c>
      <c r="D3101">
        <v>170</v>
      </c>
      <c r="H3101" t="s">
        <v>312</v>
      </c>
      <c r="I3101" t="s">
        <v>327</v>
      </c>
    </row>
    <row r="3102" spans="1:27" x14ac:dyDescent="0.3">
      <c r="A3102" t="s">
        <v>3217</v>
      </c>
      <c r="B3102" t="s">
        <v>2733</v>
      </c>
      <c r="C3102" t="s">
        <v>380</v>
      </c>
      <c r="D3102" t="s">
        <v>554</v>
      </c>
      <c r="E3102" t="s">
        <v>279</v>
      </c>
      <c r="F3102" t="s">
        <v>25</v>
      </c>
      <c r="G3102" t="s">
        <v>3226</v>
      </c>
      <c r="J3102" t="s">
        <v>2089</v>
      </c>
      <c r="K3102" t="s">
        <v>2750</v>
      </c>
      <c r="N3102" t="s">
        <v>2751</v>
      </c>
      <c r="O3102">
        <v>5</v>
      </c>
      <c r="R3102" t="s">
        <v>2752</v>
      </c>
      <c r="S3102">
        <v>313</v>
      </c>
      <c r="V3102" t="s">
        <v>2753</v>
      </c>
      <c r="W3102" t="s">
        <v>2754</v>
      </c>
      <c r="Z3102" t="s">
        <v>2755</v>
      </c>
      <c r="AA3102" t="s">
        <v>2756</v>
      </c>
    </row>
    <row r="3103" spans="1:27" x14ac:dyDescent="0.3">
      <c r="A3103" t="s">
        <v>3217</v>
      </c>
      <c r="B3103" t="s">
        <v>2733</v>
      </c>
      <c r="C3103" t="s">
        <v>16</v>
      </c>
      <c r="D3103" t="s">
        <v>41</v>
      </c>
      <c r="E3103" t="s">
        <v>37</v>
      </c>
    </row>
    <row r="3104" spans="1:27" x14ac:dyDescent="0.3">
      <c r="A3104" t="s">
        <v>3217</v>
      </c>
      <c r="B3104" t="s">
        <v>2733</v>
      </c>
      <c r="C3104" t="s">
        <v>11</v>
      </c>
      <c r="D3104" t="s">
        <v>12</v>
      </c>
      <c r="E3104" t="s">
        <v>13</v>
      </c>
      <c r="H3104" t="s">
        <v>382</v>
      </c>
      <c r="I3104" t="s">
        <v>3227</v>
      </c>
      <c r="L3104" t="s">
        <v>14</v>
      </c>
      <c r="M3104" t="s">
        <v>3227</v>
      </c>
    </row>
    <row r="3105" spans="1:13" x14ac:dyDescent="0.3">
      <c r="A3105" t="s">
        <v>3220</v>
      </c>
      <c r="B3105" t="s">
        <v>527</v>
      </c>
      <c r="C3105" t="s">
        <v>11</v>
      </c>
      <c r="D3105" t="s">
        <v>12</v>
      </c>
      <c r="E3105" t="s">
        <v>391</v>
      </c>
      <c r="H3105" t="s">
        <v>392</v>
      </c>
      <c r="I3105" t="s">
        <v>2758</v>
      </c>
      <c r="L3105" t="s">
        <v>394</v>
      </c>
      <c r="M3105" t="s">
        <v>3227</v>
      </c>
    </row>
    <row r="3106" spans="1:13" x14ac:dyDescent="0.3">
      <c r="A3106" t="s">
        <v>3219</v>
      </c>
      <c r="B3106" t="s">
        <v>2738</v>
      </c>
      <c r="C3106" t="s">
        <v>11</v>
      </c>
      <c r="D3106" t="s">
        <v>12</v>
      </c>
      <c r="E3106" t="s">
        <v>391</v>
      </c>
      <c r="H3106" t="s">
        <v>392</v>
      </c>
      <c r="I3106" t="s">
        <v>3228</v>
      </c>
      <c r="L3106" t="s">
        <v>394</v>
      </c>
      <c r="M3106" t="s">
        <v>3227</v>
      </c>
    </row>
    <row r="3107" spans="1:13" x14ac:dyDescent="0.3">
      <c r="A3107" t="s">
        <v>3218</v>
      </c>
      <c r="B3107" t="s">
        <v>2735</v>
      </c>
      <c r="C3107" t="s">
        <v>308</v>
      </c>
      <c r="D3107" t="s">
        <v>3229</v>
      </c>
      <c r="E3107" t="s">
        <v>406</v>
      </c>
      <c r="H3107" t="s">
        <v>25</v>
      </c>
      <c r="I3107" t="s">
        <v>2761</v>
      </c>
      <c r="L3107" t="s">
        <v>312</v>
      </c>
      <c r="M3107" t="s">
        <v>404</v>
      </c>
    </row>
    <row r="3108" spans="1:13" x14ac:dyDescent="0.3">
      <c r="A3108" t="s">
        <v>3229</v>
      </c>
      <c r="B3108" t="s">
        <v>406</v>
      </c>
      <c r="C3108" t="s">
        <v>11</v>
      </c>
      <c r="D3108" t="s">
        <v>12</v>
      </c>
      <c r="E3108" t="s">
        <v>391</v>
      </c>
      <c r="H3108" t="s">
        <v>392</v>
      </c>
      <c r="I3108" t="s">
        <v>3230</v>
      </c>
      <c r="L3108" t="s">
        <v>394</v>
      </c>
      <c r="M3108" t="s">
        <v>3227</v>
      </c>
    </row>
    <row r="3109" spans="1:13" x14ac:dyDescent="0.3">
      <c r="A3109" t="s">
        <v>3222</v>
      </c>
      <c r="B3109" t="s">
        <v>1138</v>
      </c>
      <c r="C3109" t="s">
        <v>11</v>
      </c>
      <c r="D3109" t="s">
        <v>12</v>
      </c>
      <c r="E3109" t="s">
        <v>391</v>
      </c>
      <c r="H3109" t="s">
        <v>392</v>
      </c>
      <c r="I3109" t="s">
        <v>3231</v>
      </c>
      <c r="L3109" t="s">
        <v>394</v>
      </c>
      <c r="M3109" t="s">
        <v>3227</v>
      </c>
    </row>
    <row r="3110" spans="1:13" x14ac:dyDescent="0.3">
      <c r="A3110" t="s">
        <v>3225</v>
      </c>
      <c r="B3110" t="s">
        <v>341</v>
      </c>
      <c r="C3110" t="s">
        <v>11</v>
      </c>
      <c r="D3110" t="s">
        <v>12</v>
      </c>
      <c r="E3110" t="s">
        <v>391</v>
      </c>
      <c r="H3110" t="s">
        <v>392</v>
      </c>
      <c r="I3110" t="s">
        <v>3232</v>
      </c>
      <c r="L3110" t="s">
        <v>394</v>
      </c>
      <c r="M3110" t="s">
        <v>3227</v>
      </c>
    </row>
    <row r="3111" spans="1:13" x14ac:dyDescent="0.3">
      <c r="A3111" t="s">
        <v>3223</v>
      </c>
      <c r="B3111" t="s">
        <v>1134</v>
      </c>
      <c r="C3111" t="s">
        <v>11</v>
      </c>
      <c r="D3111" t="s">
        <v>12</v>
      </c>
      <c r="E3111" t="s">
        <v>391</v>
      </c>
      <c r="H3111" t="s">
        <v>392</v>
      </c>
      <c r="I3111" t="s">
        <v>3233</v>
      </c>
      <c r="L3111" t="s">
        <v>394</v>
      </c>
      <c r="M3111" t="s">
        <v>3227</v>
      </c>
    </row>
    <row r="3112" spans="1:13" x14ac:dyDescent="0.3">
      <c r="A3112" t="s">
        <v>3224</v>
      </c>
      <c r="B3112" t="s">
        <v>1138</v>
      </c>
      <c r="C3112" t="s">
        <v>11</v>
      </c>
      <c r="D3112" t="s">
        <v>12</v>
      </c>
      <c r="E3112" t="s">
        <v>391</v>
      </c>
      <c r="H3112" t="s">
        <v>392</v>
      </c>
      <c r="I3112" t="s">
        <v>3234</v>
      </c>
      <c r="L3112" t="s">
        <v>394</v>
      </c>
      <c r="M3112" t="s">
        <v>3227</v>
      </c>
    </row>
    <row r="3113" spans="1:13" x14ac:dyDescent="0.3">
      <c r="A3113" t="s">
        <v>3221</v>
      </c>
      <c r="B3113" t="s">
        <v>2077</v>
      </c>
      <c r="C3113" t="s">
        <v>11</v>
      </c>
      <c r="D3113" t="s">
        <v>12</v>
      </c>
      <c r="E3113" t="s">
        <v>391</v>
      </c>
      <c r="H3113" t="s">
        <v>392</v>
      </c>
      <c r="I3113" t="s">
        <v>2128</v>
      </c>
      <c r="L3113" t="s">
        <v>394</v>
      </c>
      <c r="M3113" t="s">
        <v>3227</v>
      </c>
    </row>
    <row r="3114" spans="1:13" x14ac:dyDescent="0.3">
      <c r="A3114" t="s">
        <v>3235</v>
      </c>
      <c r="B3114" t="s">
        <v>2733</v>
      </c>
      <c r="C3114" t="s">
        <v>280</v>
      </c>
      <c r="D3114" t="s">
        <v>3236</v>
      </c>
      <c r="E3114" t="s">
        <v>2735</v>
      </c>
      <c r="H3114" t="s">
        <v>25</v>
      </c>
      <c r="I3114" t="s">
        <v>2736</v>
      </c>
    </row>
    <row r="3115" spans="1:13" x14ac:dyDescent="0.3">
      <c r="A3115" t="s">
        <v>3235</v>
      </c>
      <c r="B3115" t="s">
        <v>2733</v>
      </c>
      <c r="C3115" t="s">
        <v>308</v>
      </c>
      <c r="D3115" t="s">
        <v>3237</v>
      </c>
      <c r="E3115" t="s">
        <v>2738</v>
      </c>
      <c r="H3115" t="s">
        <v>25</v>
      </c>
      <c r="I3115" t="s">
        <v>2739</v>
      </c>
      <c r="L3115" t="s">
        <v>312</v>
      </c>
      <c r="M3115" t="s">
        <v>327</v>
      </c>
    </row>
    <row r="3116" spans="1:13" x14ac:dyDescent="0.3">
      <c r="A3116" t="s">
        <v>3235</v>
      </c>
      <c r="B3116" t="s">
        <v>2733</v>
      </c>
      <c r="C3116" t="s">
        <v>308</v>
      </c>
      <c r="D3116" t="s">
        <v>3238</v>
      </c>
      <c r="E3116" t="s">
        <v>527</v>
      </c>
      <c r="H3116" t="s">
        <v>25</v>
      </c>
      <c r="I3116" t="s">
        <v>2741</v>
      </c>
      <c r="L3116" t="s">
        <v>312</v>
      </c>
      <c r="M3116" t="s">
        <v>343</v>
      </c>
    </row>
    <row r="3117" spans="1:13" x14ac:dyDescent="0.3">
      <c r="A3117" t="s">
        <v>3235</v>
      </c>
      <c r="B3117" t="s">
        <v>2733</v>
      </c>
      <c r="C3117" t="s">
        <v>308</v>
      </c>
      <c r="D3117" t="s">
        <v>3239</v>
      </c>
      <c r="E3117" t="s">
        <v>2077</v>
      </c>
      <c r="H3117" t="s">
        <v>25</v>
      </c>
      <c r="I3117" t="s">
        <v>2078</v>
      </c>
      <c r="L3117" t="s">
        <v>312</v>
      </c>
      <c r="M3117" t="s">
        <v>1687</v>
      </c>
    </row>
    <row r="3118" spans="1:13" x14ac:dyDescent="0.3">
      <c r="A3118" t="s">
        <v>3235</v>
      </c>
      <c r="B3118" t="s">
        <v>2733</v>
      </c>
      <c r="C3118" t="s">
        <v>308</v>
      </c>
      <c r="D3118" t="s">
        <v>3240</v>
      </c>
      <c r="E3118" t="s">
        <v>1138</v>
      </c>
      <c r="H3118" t="s">
        <v>25</v>
      </c>
      <c r="I3118" t="s">
        <v>2065</v>
      </c>
      <c r="L3118" t="s">
        <v>312</v>
      </c>
      <c r="M3118" t="s">
        <v>317</v>
      </c>
    </row>
    <row r="3119" spans="1:13" x14ac:dyDescent="0.3">
      <c r="A3119" t="s">
        <v>3235</v>
      </c>
      <c r="B3119" t="s">
        <v>2733</v>
      </c>
      <c r="C3119" t="s">
        <v>308</v>
      </c>
      <c r="D3119" t="s">
        <v>3241</v>
      </c>
      <c r="E3119" t="s">
        <v>1134</v>
      </c>
      <c r="H3119" t="s">
        <v>25</v>
      </c>
      <c r="I3119" t="s">
        <v>2069</v>
      </c>
      <c r="L3119" t="s">
        <v>312</v>
      </c>
      <c r="M3119" t="s">
        <v>317</v>
      </c>
    </row>
    <row r="3120" spans="1:13" x14ac:dyDescent="0.3">
      <c r="A3120" t="s">
        <v>3235</v>
      </c>
      <c r="B3120" t="s">
        <v>2733</v>
      </c>
      <c r="C3120" t="s">
        <v>308</v>
      </c>
      <c r="D3120" t="s">
        <v>3242</v>
      </c>
      <c r="E3120" t="s">
        <v>1138</v>
      </c>
      <c r="H3120" t="s">
        <v>25</v>
      </c>
      <c r="I3120" t="s">
        <v>2746</v>
      </c>
      <c r="L3120" t="s">
        <v>312</v>
      </c>
      <c r="M3120" t="s">
        <v>317</v>
      </c>
    </row>
    <row r="3121" spans="1:27" x14ac:dyDescent="0.3">
      <c r="A3121" t="s">
        <v>3235</v>
      </c>
      <c r="B3121" t="s">
        <v>2733</v>
      </c>
      <c r="C3121" t="s">
        <v>308</v>
      </c>
      <c r="D3121" t="s">
        <v>3243</v>
      </c>
      <c r="E3121" t="s">
        <v>341</v>
      </c>
      <c r="H3121" t="s">
        <v>25</v>
      </c>
      <c r="I3121" t="s">
        <v>342</v>
      </c>
      <c r="L3121" t="s">
        <v>312</v>
      </c>
      <c r="M3121" t="s">
        <v>343</v>
      </c>
    </row>
    <row r="3122" spans="1:27" x14ac:dyDescent="0.3">
      <c r="A3122" t="s">
        <v>3235</v>
      </c>
      <c r="B3122" t="s">
        <v>2733</v>
      </c>
      <c r="C3122" t="s">
        <v>22</v>
      </c>
      <c r="D3122" t="s">
        <v>23</v>
      </c>
      <c r="E3122" t="s">
        <v>28</v>
      </c>
    </row>
    <row r="3123" spans="1:27" x14ac:dyDescent="0.3">
      <c r="A3123" t="s">
        <v>3235</v>
      </c>
      <c r="B3123" t="s">
        <v>2733</v>
      </c>
      <c r="C3123" t="s">
        <v>2748</v>
      </c>
      <c r="D3123">
        <v>1.5</v>
      </c>
      <c r="H3123" t="s">
        <v>312</v>
      </c>
      <c r="I3123" t="s">
        <v>385</v>
      </c>
    </row>
    <row r="3124" spans="1:27" x14ac:dyDescent="0.3">
      <c r="A3124" t="s">
        <v>3235</v>
      </c>
      <c r="B3124" t="s">
        <v>2733</v>
      </c>
      <c r="C3124" t="s">
        <v>378</v>
      </c>
      <c r="D3124">
        <v>170</v>
      </c>
      <c r="H3124" t="s">
        <v>312</v>
      </c>
      <c r="I3124" t="s">
        <v>327</v>
      </c>
    </row>
    <row r="3125" spans="1:27" x14ac:dyDescent="0.3">
      <c r="A3125" t="s">
        <v>3235</v>
      </c>
      <c r="B3125" t="s">
        <v>2733</v>
      </c>
      <c r="C3125" t="s">
        <v>380</v>
      </c>
      <c r="D3125" t="s">
        <v>554</v>
      </c>
      <c r="E3125" t="s">
        <v>279</v>
      </c>
      <c r="F3125" t="s">
        <v>25</v>
      </c>
      <c r="G3125" t="s">
        <v>3244</v>
      </c>
      <c r="J3125" t="s">
        <v>2089</v>
      </c>
      <c r="K3125" t="s">
        <v>2750</v>
      </c>
      <c r="N3125" t="s">
        <v>2751</v>
      </c>
      <c r="O3125">
        <v>1</v>
      </c>
      <c r="R3125" t="s">
        <v>2752</v>
      </c>
      <c r="S3125">
        <v>158</v>
      </c>
      <c r="V3125" t="s">
        <v>2753</v>
      </c>
      <c r="W3125" t="s">
        <v>2754</v>
      </c>
      <c r="Z3125" t="s">
        <v>2755</v>
      </c>
      <c r="AA3125" t="s">
        <v>2756</v>
      </c>
    </row>
    <row r="3126" spans="1:27" x14ac:dyDescent="0.3">
      <c r="A3126" t="s">
        <v>3235</v>
      </c>
      <c r="B3126" t="s">
        <v>2733</v>
      </c>
      <c r="C3126" t="s">
        <v>16</v>
      </c>
      <c r="D3126" t="s">
        <v>41</v>
      </c>
      <c r="E3126" t="s">
        <v>37</v>
      </c>
    </row>
    <row r="3127" spans="1:27" x14ac:dyDescent="0.3">
      <c r="A3127" t="s">
        <v>3235</v>
      </c>
      <c r="B3127" t="s">
        <v>2733</v>
      </c>
      <c r="C3127" t="s">
        <v>11</v>
      </c>
      <c r="D3127" t="s">
        <v>12</v>
      </c>
      <c r="E3127" t="s">
        <v>13</v>
      </c>
      <c r="H3127" t="s">
        <v>382</v>
      </c>
      <c r="I3127" t="s">
        <v>3245</v>
      </c>
      <c r="L3127" t="s">
        <v>14</v>
      </c>
      <c r="M3127" t="s">
        <v>3245</v>
      </c>
    </row>
    <row r="3128" spans="1:27" x14ac:dyDescent="0.3">
      <c r="A3128" t="s">
        <v>3238</v>
      </c>
      <c r="B3128" t="s">
        <v>527</v>
      </c>
      <c r="C3128" t="s">
        <v>11</v>
      </c>
      <c r="D3128" t="s">
        <v>12</v>
      </c>
      <c r="E3128" t="s">
        <v>391</v>
      </c>
      <c r="H3128" t="s">
        <v>392</v>
      </c>
      <c r="I3128" t="s">
        <v>2758</v>
      </c>
      <c r="L3128" t="s">
        <v>394</v>
      </c>
      <c r="M3128" t="s">
        <v>3245</v>
      </c>
    </row>
    <row r="3129" spans="1:27" x14ac:dyDescent="0.3">
      <c r="A3129" t="s">
        <v>3237</v>
      </c>
      <c r="B3129" t="s">
        <v>2738</v>
      </c>
      <c r="C3129" t="s">
        <v>11</v>
      </c>
      <c r="D3129" t="s">
        <v>12</v>
      </c>
      <c r="E3129" t="s">
        <v>391</v>
      </c>
      <c r="H3129" t="s">
        <v>392</v>
      </c>
      <c r="I3129" t="s">
        <v>3246</v>
      </c>
      <c r="L3129" t="s">
        <v>394</v>
      </c>
      <c r="M3129" t="s">
        <v>3245</v>
      </c>
    </row>
    <row r="3130" spans="1:27" x14ac:dyDescent="0.3">
      <c r="A3130" t="s">
        <v>3236</v>
      </c>
      <c r="B3130" t="s">
        <v>2735</v>
      </c>
      <c r="C3130" t="s">
        <v>308</v>
      </c>
      <c r="D3130" t="s">
        <v>3247</v>
      </c>
      <c r="E3130" t="s">
        <v>406</v>
      </c>
      <c r="H3130" t="s">
        <v>25</v>
      </c>
      <c r="I3130" t="s">
        <v>2761</v>
      </c>
      <c r="L3130" t="s">
        <v>312</v>
      </c>
      <c r="M3130" t="s">
        <v>404</v>
      </c>
    </row>
    <row r="3131" spans="1:27" x14ac:dyDescent="0.3">
      <c r="A3131" t="s">
        <v>3247</v>
      </c>
      <c r="B3131" t="s">
        <v>406</v>
      </c>
      <c r="C3131" t="s">
        <v>11</v>
      </c>
      <c r="D3131" t="s">
        <v>12</v>
      </c>
      <c r="E3131" t="s">
        <v>391</v>
      </c>
      <c r="H3131" t="s">
        <v>392</v>
      </c>
      <c r="I3131" t="s">
        <v>3248</v>
      </c>
      <c r="L3131" t="s">
        <v>394</v>
      </c>
      <c r="M3131" t="s">
        <v>3245</v>
      </c>
    </row>
    <row r="3132" spans="1:27" x14ac:dyDescent="0.3">
      <c r="A3132" t="s">
        <v>3240</v>
      </c>
      <c r="B3132" t="s">
        <v>1138</v>
      </c>
      <c r="C3132" t="s">
        <v>11</v>
      </c>
      <c r="D3132" t="s">
        <v>12</v>
      </c>
      <c r="E3132" t="s">
        <v>391</v>
      </c>
      <c r="H3132" t="s">
        <v>392</v>
      </c>
      <c r="I3132" t="s">
        <v>3249</v>
      </c>
      <c r="L3132" t="s">
        <v>394</v>
      </c>
      <c r="M3132" t="s">
        <v>3245</v>
      </c>
    </row>
    <row r="3133" spans="1:27" x14ac:dyDescent="0.3">
      <c r="A3133" t="s">
        <v>3243</v>
      </c>
      <c r="B3133" t="s">
        <v>341</v>
      </c>
      <c r="C3133" t="s">
        <v>11</v>
      </c>
      <c r="D3133" t="s">
        <v>12</v>
      </c>
      <c r="E3133" t="s">
        <v>391</v>
      </c>
      <c r="H3133" t="s">
        <v>392</v>
      </c>
      <c r="I3133" t="s">
        <v>3250</v>
      </c>
      <c r="L3133" t="s">
        <v>394</v>
      </c>
      <c r="M3133" t="s">
        <v>3245</v>
      </c>
    </row>
    <row r="3134" spans="1:27" x14ac:dyDescent="0.3">
      <c r="A3134" t="s">
        <v>3241</v>
      </c>
      <c r="B3134" t="s">
        <v>1134</v>
      </c>
      <c r="C3134" t="s">
        <v>11</v>
      </c>
      <c r="D3134" t="s">
        <v>12</v>
      </c>
      <c r="E3134" t="s">
        <v>391</v>
      </c>
      <c r="H3134" t="s">
        <v>392</v>
      </c>
      <c r="I3134" t="s">
        <v>3251</v>
      </c>
      <c r="L3134" t="s">
        <v>394</v>
      </c>
      <c r="M3134" t="s">
        <v>3245</v>
      </c>
    </row>
    <row r="3135" spans="1:27" x14ac:dyDescent="0.3">
      <c r="A3135" t="s">
        <v>3242</v>
      </c>
      <c r="B3135" t="s">
        <v>1138</v>
      </c>
      <c r="C3135" t="s">
        <v>11</v>
      </c>
      <c r="D3135" t="s">
        <v>12</v>
      </c>
      <c r="E3135" t="s">
        <v>391</v>
      </c>
      <c r="H3135" t="s">
        <v>392</v>
      </c>
      <c r="I3135" t="s">
        <v>3252</v>
      </c>
      <c r="L3135" t="s">
        <v>394</v>
      </c>
      <c r="M3135" t="s">
        <v>3245</v>
      </c>
    </row>
    <row r="3136" spans="1:27" x14ac:dyDescent="0.3">
      <c r="A3136" t="s">
        <v>3239</v>
      </c>
      <c r="B3136" t="s">
        <v>2077</v>
      </c>
      <c r="C3136" t="s">
        <v>11</v>
      </c>
      <c r="D3136" t="s">
        <v>12</v>
      </c>
      <c r="E3136" t="s">
        <v>391</v>
      </c>
      <c r="H3136" t="s">
        <v>392</v>
      </c>
      <c r="I3136" t="s">
        <v>2128</v>
      </c>
      <c r="L3136" t="s">
        <v>394</v>
      </c>
      <c r="M3136" t="s">
        <v>3245</v>
      </c>
    </row>
    <row r="3137" spans="1:27" x14ac:dyDescent="0.3">
      <c r="A3137" t="s">
        <v>3253</v>
      </c>
      <c r="B3137" t="s">
        <v>2733</v>
      </c>
      <c r="C3137" t="s">
        <v>280</v>
      </c>
      <c r="D3137" t="s">
        <v>3254</v>
      </c>
      <c r="E3137" t="s">
        <v>2735</v>
      </c>
      <c r="H3137" t="s">
        <v>25</v>
      </c>
      <c r="I3137" t="s">
        <v>2736</v>
      </c>
    </row>
    <row r="3138" spans="1:27" x14ac:dyDescent="0.3">
      <c r="A3138" t="s">
        <v>3253</v>
      </c>
      <c r="B3138" t="s">
        <v>2733</v>
      </c>
      <c r="C3138" t="s">
        <v>308</v>
      </c>
      <c r="D3138" t="s">
        <v>3255</v>
      </c>
      <c r="E3138" t="s">
        <v>2738</v>
      </c>
      <c r="H3138" t="s">
        <v>25</v>
      </c>
      <c r="I3138" t="s">
        <v>2739</v>
      </c>
      <c r="L3138" t="s">
        <v>312</v>
      </c>
      <c r="M3138" t="s">
        <v>327</v>
      </c>
    </row>
    <row r="3139" spans="1:27" x14ac:dyDescent="0.3">
      <c r="A3139" t="s">
        <v>3253</v>
      </c>
      <c r="B3139" t="s">
        <v>2733</v>
      </c>
      <c r="C3139" t="s">
        <v>308</v>
      </c>
      <c r="D3139" t="s">
        <v>3256</v>
      </c>
      <c r="E3139" t="s">
        <v>527</v>
      </c>
      <c r="H3139" t="s">
        <v>25</v>
      </c>
      <c r="I3139" t="s">
        <v>2741</v>
      </c>
      <c r="L3139" t="s">
        <v>312</v>
      </c>
      <c r="M3139" t="s">
        <v>343</v>
      </c>
    </row>
    <row r="3140" spans="1:27" x14ac:dyDescent="0.3">
      <c r="A3140" t="s">
        <v>3253</v>
      </c>
      <c r="B3140" t="s">
        <v>2733</v>
      </c>
      <c r="C3140" t="s">
        <v>308</v>
      </c>
      <c r="D3140" t="s">
        <v>3257</v>
      </c>
      <c r="E3140" t="s">
        <v>2077</v>
      </c>
      <c r="H3140" t="s">
        <v>25</v>
      </c>
      <c r="I3140" t="s">
        <v>2078</v>
      </c>
      <c r="L3140" t="s">
        <v>312</v>
      </c>
      <c r="M3140" t="s">
        <v>1687</v>
      </c>
    </row>
    <row r="3141" spans="1:27" x14ac:dyDescent="0.3">
      <c r="A3141" t="s">
        <v>3253</v>
      </c>
      <c r="B3141" t="s">
        <v>2733</v>
      </c>
      <c r="C3141" t="s">
        <v>308</v>
      </c>
      <c r="D3141" t="s">
        <v>3258</v>
      </c>
      <c r="E3141" t="s">
        <v>1138</v>
      </c>
      <c r="H3141" t="s">
        <v>25</v>
      </c>
      <c r="I3141" t="s">
        <v>2065</v>
      </c>
      <c r="L3141" t="s">
        <v>312</v>
      </c>
      <c r="M3141" t="s">
        <v>317</v>
      </c>
    </row>
    <row r="3142" spans="1:27" x14ac:dyDescent="0.3">
      <c r="A3142" t="s">
        <v>3253</v>
      </c>
      <c r="B3142" t="s">
        <v>2733</v>
      </c>
      <c r="C3142" t="s">
        <v>308</v>
      </c>
      <c r="D3142" t="s">
        <v>3259</v>
      </c>
      <c r="E3142" t="s">
        <v>1134</v>
      </c>
      <c r="H3142" t="s">
        <v>25</v>
      </c>
      <c r="I3142" t="s">
        <v>2069</v>
      </c>
      <c r="L3142" t="s">
        <v>312</v>
      </c>
      <c r="M3142" t="s">
        <v>317</v>
      </c>
    </row>
    <row r="3143" spans="1:27" x14ac:dyDescent="0.3">
      <c r="A3143" t="s">
        <v>3253</v>
      </c>
      <c r="B3143" t="s">
        <v>2733</v>
      </c>
      <c r="C3143" t="s">
        <v>308</v>
      </c>
      <c r="D3143" t="s">
        <v>3260</v>
      </c>
      <c r="E3143" t="s">
        <v>1138</v>
      </c>
      <c r="H3143" t="s">
        <v>25</v>
      </c>
      <c r="I3143" t="s">
        <v>2746</v>
      </c>
      <c r="L3143" t="s">
        <v>312</v>
      </c>
      <c r="M3143" t="s">
        <v>317</v>
      </c>
    </row>
    <row r="3144" spans="1:27" x14ac:dyDescent="0.3">
      <c r="A3144" t="s">
        <v>3253</v>
      </c>
      <c r="B3144" t="s">
        <v>2733</v>
      </c>
      <c r="C3144" t="s">
        <v>308</v>
      </c>
      <c r="D3144" t="s">
        <v>3261</v>
      </c>
      <c r="E3144" t="s">
        <v>341</v>
      </c>
      <c r="H3144" t="s">
        <v>25</v>
      </c>
      <c r="I3144" t="s">
        <v>342</v>
      </c>
      <c r="L3144" t="s">
        <v>312</v>
      </c>
      <c r="M3144" t="s">
        <v>343</v>
      </c>
    </row>
    <row r="3145" spans="1:27" x14ac:dyDescent="0.3">
      <c r="A3145" t="s">
        <v>3253</v>
      </c>
      <c r="B3145" t="s">
        <v>2733</v>
      </c>
      <c r="C3145" t="s">
        <v>22</v>
      </c>
      <c r="D3145" t="s">
        <v>23</v>
      </c>
      <c r="E3145" t="s">
        <v>28</v>
      </c>
    </row>
    <row r="3146" spans="1:27" x14ac:dyDescent="0.3">
      <c r="A3146" t="s">
        <v>3253</v>
      </c>
      <c r="B3146" t="s">
        <v>2733</v>
      </c>
      <c r="C3146" t="s">
        <v>2748</v>
      </c>
      <c r="D3146">
        <v>1.5</v>
      </c>
      <c r="H3146" t="s">
        <v>312</v>
      </c>
      <c r="I3146" t="s">
        <v>385</v>
      </c>
    </row>
    <row r="3147" spans="1:27" x14ac:dyDescent="0.3">
      <c r="A3147" t="s">
        <v>3253</v>
      </c>
      <c r="B3147" t="s">
        <v>2733</v>
      </c>
      <c r="C3147" t="s">
        <v>378</v>
      </c>
      <c r="D3147">
        <v>55</v>
      </c>
      <c r="H3147" t="s">
        <v>312</v>
      </c>
      <c r="I3147" t="s">
        <v>327</v>
      </c>
    </row>
    <row r="3148" spans="1:27" x14ac:dyDescent="0.3">
      <c r="A3148" t="s">
        <v>3253</v>
      </c>
      <c r="B3148" t="s">
        <v>2733</v>
      </c>
      <c r="C3148" t="s">
        <v>380</v>
      </c>
      <c r="D3148" t="s">
        <v>554</v>
      </c>
      <c r="E3148" t="s">
        <v>279</v>
      </c>
      <c r="F3148" t="s">
        <v>25</v>
      </c>
      <c r="G3148" t="s">
        <v>3262</v>
      </c>
      <c r="J3148" t="s">
        <v>2089</v>
      </c>
      <c r="K3148" t="s">
        <v>2750</v>
      </c>
      <c r="N3148" t="s">
        <v>2751</v>
      </c>
      <c r="O3148">
        <v>1</v>
      </c>
      <c r="R3148" t="s">
        <v>2752</v>
      </c>
      <c r="S3148">
        <v>158</v>
      </c>
      <c r="V3148" t="s">
        <v>2753</v>
      </c>
      <c r="W3148" t="s">
        <v>2754</v>
      </c>
      <c r="Z3148" t="s">
        <v>2755</v>
      </c>
      <c r="AA3148" t="s">
        <v>2756</v>
      </c>
    </row>
    <row r="3149" spans="1:27" x14ac:dyDescent="0.3">
      <c r="A3149" t="s">
        <v>3253</v>
      </c>
      <c r="B3149" t="s">
        <v>2733</v>
      </c>
      <c r="C3149" t="s">
        <v>16</v>
      </c>
      <c r="D3149" t="s">
        <v>36</v>
      </c>
      <c r="E3149" t="s">
        <v>37</v>
      </c>
    </row>
    <row r="3150" spans="1:27" x14ac:dyDescent="0.3">
      <c r="A3150" t="s">
        <v>3253</v>
      </c>
      <c r="B3150" t="s">
        <v>2733</v>
      </c>
      <c r="C3150" t="s">
        <v>11</v>
      </c>
      <c r="D3150" t="s">
        <v>12</v>
      </c>
      <c r="E3150" t="s">
        <v>13</v>
      </c>
      <c r="H3150" t="s">
        <v>382</v>
      </c>
      <c r="I3150" t="s">
        <v>3263</v>
      </c>
      <c r="L3150" t="s">
        <v>14</v>
      </c>
      <c r="M3150" t="s">
        <v>3263</v>
      </c>
    </row>
    <row r="3151" spans="1:27" x14ac:dyDescent="0.3">
      <c r="A3151" t="s">
        <v>3256</v>
      </c>
      <c r="B3151" t="s">
        <v>527</v>
      </c>
      <c r="C3151" t="s">
        <v>11</v>
      </c>
      <c r="D3151" t="s">
        <v>12</v>
      </c>
      <c r="E3151" t="s">
        <v>391</v>
      </c>
      <c r="H3151" t="s">
        <v>392</v>
      </c>
      <c r="I3151" t="s">
        <v>2758</v>
      </c>
      <c r="L3151" t="s">
        <v>394</v>
      </c>
      <c r="M3151" t="s">
        <v>3263</v>
      </c>
    </row>
    <row r="3152" spans="1:27" x14ac:dyDescent="0.3">
      <c r="A3152" t="s">
        <v>3255</v>
      </c>
      <c r="B3152" t="s">
        <v>2738</v>
      </c>
      <c r="C3152" t="s">
        <v>11</v>
      </c>
      <c r="D3152" t="s">
        <v>12</v>
      </c>
      <c r="E3152" t="s">
        <v>391</v>
      </c>
      <c r="H3152" t="s">
        <v>392</v>
      </c>
      <c r="I3152" t="s">
        <v>3264</v>
      </c>
      <c r="L3152" t="s">
        <v>394</v>
      </c>
      <c r="M3152" t="s">
        <v>3263</v>
      </c>
    </row>
    <row r="3153" spans="1:13" x14ac:dyDescent="0.3">
      <c r="A3153" t="s">
        <v>3254</v>
      </c>
      <c r="B3153" t="s">
        <v>2735</v>
      </c>
      <c r="C3153" t="s">
        <v>308</v>
      </c>
      <c r="D3153" t="s">
        <v>3265</v>
      </c>
      <c r="E3153" t="s">
        <v>406</v>
      </c>
      <c r="H3153" t="s">
        <v>25</v>
      </c>
      <c r="I3153" t="s">
        <v>2761</v>
      </c>
      <c r="L3153" t="s">
        <v>312</v>
      </c>
      <c r="M3153" t="s">
        <v>404</v>
      </c>
    </row>
    <row r="3154" spans="1:13" x14ac:dyDescent="0.3">
      <c r="A3154" t="s">
        <v>3265</v>
      </c>
      <c r="B3154" t="s">
        <v>406</v>
      </c>
      <c r="C3154" t="s">
        <v>11</v>
      </c>
      <c r="D3154" t="s">
        <v>12</v>
      </c>
      <c r="E3154" t="s">
        <v>391</v>
      </c>
      <c r="H3154" t="s">
        <v>392</v>
      </c>
      <c r="I3154" t="s">
        <v>3266</v>
      </c>
      <c r="L3154" t="s">
        <v>394</v>
      </c>
      <c r="M3154" t="s">
        <v>3263</v>
      </c>
    </row>
    <row r="3155" spans="1:13" x14ac:dyDescent="0.3">
      <c r="A3155" t="s">
        <v>3258</v>
      </c>
      <c r="B3155" t="s">
        <v>1138</v>
      </c>
      <c r="C3155" t="s">
        <v>11</v>
      </c>
      <c r="D3155" t="s">
        <v>12</v>
      </c>
      <c r="E3155" t="s">
        <v>391</v>
      </c>
      <c r="H3155" t="s">
        <v>392</v>
      </c>
      <c r="I3155" t="s">
        <v>3267</v>
      </c>
      <c r="L3155" t="s">
        <v>394</v>
      </c>
      <c r="M3155" t="s">
        <v>3263</v>
      </c>
    </row>
    <row r="3156" spans="1:13" x14ac:dyDescent="0.3">
      <c r="A3156" t="s">
        <v>3261</v>
      </c>
      <c r="B3156" t="s">
        <v>341</v>
      </c>
      <c r="C3156" t="s">
        <v>11</v>
      </c>
      <c r="D3156" t="s">
        <v>12</v>
      </c>
      <c r="E3156" t="s">
        <v>391</v>
      </c>
      <c r="H3156" t="s">
        <v>392</v>
      </c>
      <c r="I3156" t="s">
        <v>3268</v>
      </c>
      <c r="L3156" t="s">
        <v>394</v>
      </c>
      <c r="M3156" t="s">
        <v>3263</v>
      </c>
    </row>
    <row r="3157" spans="1:13" x14ac:dyDescent="0.3">
      <c r="A3157" t="s">
        <v>3259</v>
      </c>
      <c r="B3157" t="s">
        <v>1134</v>
      </c>
      <c r="C3157" t="s">
        <v>11</v>
      </c>
      <c r="D3157" t="s">
        <v>12</v>
      </c>
      <c r="E3157" t="s">
        <v>391</v>
      </c>
      <c r="H3157" t="s">
        <v>392</v>
      </c>
      <c r="I3157" t="s">
        <v>3269</v>
      </c>
      <c r="L3157" t="s">
        <v>394</v>
      </c>
      <c r="M3157" t="s">
        <v>3263</v>
      </c>
    </row>
    <row r="3158" spans="1:13" x14ac:dyDescent="0.3">
      <c r="A3158" t="s">
        <v>3260</v>
      </c>
      <c r="B3158" t="s">
        <v>1138</v>
      </c>
      <c r="C3158" t="s">
        <v>11</v>
      </c>
      <c r="D3158" t="s">
        <v>12</v>
      </c>
      <c r="E3158" t="s">
        <v>391</v>
      </c>
      <c r="H3158" t="s">
        <v>392</v>
      </c>
      <c r="I3158" t="s">
        <v>3270</v>
      </c>
      <c r="L3158" t="s">
        <v>394</v>
      </c>
      <c r="M3158" t="s">
        <v>3263</v>
      </c>
    </row>
    <row r="3159" spans="1:13" x14ac:dyDescent="0.3">
      <c r="A3159" t="s">
        <v>3257</v>
      </c>
      <c r="B3159" t="s">
        <v>2077</v>
      </c>
      <c r="C3159" t="s">
        <v>11</v>
      </c>
      <c r="D3159" t="s">
        <v>12</v>
      </c>
      <c r="E3159" t="s">
        <v>391</v>
      </c>
      <c r="H3159" t="s">
        <v>392</v>
      </c>
      <c r="I3159" t="s">
        <v>2128</v>
      </c>
      <c r="L3159" t="s">
        <v>394</v>
      </c>
      <c r="M3159" t="s">
        <v>3263</v>
      </c>
    </row>
    <row r="3160" spans="1:13" x14ac:dyDescent="0.3">
      <c r="A3160" t="s">
        <v>3271</v>
      </c>
      <c r="B3160" t="s">
        <v>2733</v>
      </c>
      <c r="C3160" t="s">
        <v>280</v>
      </c>
      <c r="D3160" t="s">
        <v>3272</v>
      </c>
      <c r="E3160" t="s">
        <v>2735</v>
      </c>
      <c r="H3160" t="s">
        <v>25</v>
      </c>
      <c r="I3160" t="s">
        <v>2736</v>
      </c>
    </row>
    <row r="3161" spans="1:13" x14ac:dyDescent="0.3">
      <c r="A3161" t="s">
        <v>3271</v>
      </c>
      <c r="B3161" t="s">
        <v>2733</v>
      </c>
      <c r="C3161" t="s">
        <v>308</v>
      </c>
      <c r="D3161" t="s">
        <v>3273</v>
      </c>
      <c r="E3161" t="s">
        <v>2738</v>
      </c>
      <c r="H3161" t="s">
        <v>25</v>
      </c>
      <c r="I3161" t="s">
        <v>2739</v>
      </c>
      <c r="L3161" t="s">
        <v>312</v>
      </c>
      <c r="M3161" t="s">
        <v>327</v>
      </c>
    </row>
    <row r="3162" spans="1:13" x14ac:dyDescent="0.3">
      <c r="A3162" t="s">
        <v>3271</v>
      </c>
      <c r="B3162" t="s">
        <v>2733</v>
      </c>
      <c r="C3162" t="s">
        <v>308</v>
      </c>
      <c r="D3162" t="s">
        <v>3274</v>
      </c>
      <c r="E3162" t="s">
        <v>527</v>
      </c>
      <c r="H3162" t="s">
        <v>25</v>
      </c>
      <c r="I3162" t="s">
        <v>2741</v>
      </c>
      <c r="L3162" t="s">
        <v>312</v>
      </c>
      <c r="M3162" t="s">
        <v>343</v>
      </c>
    </row>
    <row r="3163" spans="1:13" x14ac:dyDescent="0.3">
      <c r="A3163" t="s">
        <v>3271</v>
      </c>
      <c r="B3163" t="s">
        <v>2733</v>
      </c>
      <c r="C3163" t="s">
        <v>308</v>
      </c>
      <c r="D3163" t="s">
        <v>3275</v>
      </c>
      <c r="E3163" t="s">
        <v>2077</v>
      </c>
      <c r="H3163" t="s">
        <v>25</v>
      </c>
      <c r="I3163" t="s">
        <v>2078</v>
      </c>
      <c r="L3163" t="s">
        <v>312</v>
      </c>
      <c r="M3163" t="s">
        <v>1687</v>
      </c>
    </row>
    <row r="3164" spans="1:13" x14ac:dyDescent="0.3">
      <c r="A3164" t="s">
        <v>3271</v>
      </c>
      <c r="B3164" t="s">
        <v>2733</v>
      </c>
      <c r="C3164" t="s">
        <v>308</v>
      </c>
      <c r="D3164" t="s">
        <v>3276</v>
      </c>
      <c r="E3164" t="s">
        <v>1138</v>
      </c>
      <c r="H3164" t="s">
        <v>25</v>
      </c>
      <c r="I3164" t="s">
        <v>2065</v>
      </c>
      <c r="L3164" t="s">
        <v>312</v>
      </c>
      <c r="M3164" t="s">
        <v>317</v>
      </c>
    </row>
    <row r="3165" spans="1:13" x14ac:dyDescent="0.3">
      <c r="A3165" t="s">
        <v>3271</v>
      </c>
      <c r="B3165" t="s">
        <v>2733</v>
      </c>
      <c r="C3165" t="s">
        <v>308</v>
      </c>
      <c r="D3165" t="s">
        <v>3277</v>
      </c>
      <c r="E3165" t="s">
        <v>1134</v>
      </c>
      <c r="H3165" t="s">
        <v>25</v>
      </c>
      <c r="I3165" t="s">
        <v>2069</v>
      </c>
      <c r="L3165" t="s">
        <v>312</v>
      </c>
      <c r="M3165" t="s">
        <v>317</v>
      </c>
    </row>
    <row r="3166" spans="1:13" x14ac:dyDescent="0.3">
      <c r="A3166" t="s">
        <v>3271</v>
      </c>
      <c r="B3166" t="s">
        <v>2733</v>
      </c>
      <c r="C3166" t="s">
        <v>308</v>
      </c>
      <c r="D3166" t="s">
        <v>3278</v>
      </c>
      <c r="E3166" t="s">
        <v>1138</v>
      </c>
      <c r="H3166" t="s">
        <v>25</v>
      </c>
      <c r="I3166" t="s">
        <v>2746</v>
      </c>
      <c r="L3166" t="s">
        <v>312</v>
      </c>
      <c r="M3166" t="s">
        <v>317</v>
      </c>
    </row>
    <row r="3167" spans="1:13" x14ac:dyDescent="0.3">
      <c r="A3167" t="s">
        <v>3271</v>
      </c>
      <c r="B3167" t="s">
        <v>2733</v>
      </c>
      <c r="C3167" t="s">
        <v>308</v>
      </c>
      <c r="D3167" t="s">
        <v>3279</v>
      </c>
      <c r="E3167" t="s">
        <v>341</v>
      </c>
      <c r="H3167" t="s">
        <v>25</v>
      </c>
      <c r="I3167" t="s">
        <v>342</v>
      </c>
      <c r="L3167" t="s">
        <v>312</v>
      </c>
      <c r="M3167" t="s">
        <v>343</v>
      </c>
    </row>
    <row r="3168" spans="1:13" x14ac:dyDescent="0.3">
      <c r="A3168" t="s">
        <v>3271</v>
      </c>
      <c r="B3168" t="s">
        <v>2733</v>
      </c>
      <c r="C3168" t="s">
        <v>22</v>
      </c>
      <c r="D3168" t="s">
        <v>23</v>
      </c>
      <c r="E3168" t="s">
        <v>28</v>
      </c>
    </row>
    <row r="3169" spans="1:27" x14ac:dyDescent="0.3">
      <c r="A3169" t="s">
        <v>3271</v>
      </c>
      <c r="B3169" t="s">
        <v>2733</v>
      </c>
      <c r="C3169" t="s">
        <v>2748</v>
      </c>
      <c r="D3169">
        <v>1.5</v>
      </c>
      <c r="H3169" t="s">
        <v>312</v>
      </c>
      <c r="I3169" t="s">
        <v>385</v>
      </c>
    </row>
    <row r="3170" spans="1:27" x14ac:dyDescent="0.3">
      <c r="A3170" t="s">
        <v>3271</v>
      </c>
      <c r="B3170" t="s">
        <v>2733</v>
      </c>
      <c r="C3170" t="s">
        <v>378</v>
      </c>
      <c r="D3170">
        <v>95</v>
      </c>
      <c r="H3170" t="s">
        <v>312</v>
      </c>
      <c r="I3170" t="s">
        <v>327</v>
      </c>
    </row>
    <row r="3171" spans="1:27" x14ac:dyDescent="0.3">
      <c r="A3171" t="s">
        <v>3271</v>
      </c>
      <c r="B3171" t="s">
        <v>2733</v>
      </c>
      <c r="C3171" t="s">
        <v>380</v>
      </c>
      <c r="D3171" t="s">
        <v>554</v>
      </c>
      <c r="E3171" t="s">
        <v>279</v>
      </c>
      <c r="F3171" t="s">
        <v>25</v>
      </c>
      <c r="G3171" t="s">
        <v>3280</v>
      </c>
      <c r="J3171" t="s">
        <v>2089</v>
      </c>
      <c r="K3171" t="s">
        <v>2750</v>
      </c>
      <c r="N3171" t="s">
        <v>2751</v>
      </c>
      <c r="O3171">
        <v>1</v>
      </c>
      <c r="R3171" t="s">
        <v>2752</v>
      </c>
      <c r="S3171">
        <v>158</v>
      </c>
      <c r="V3171" t="s">
        <v>2753</v>
      </c>
      <c r="W3171" t="s">
        <v>2754</v>
      </c>
      <c r="Z3171" t="s">
        <v>2755</v>
      </c>
      <c r="AA3171" t="s">
        <v>2756</v>
      </c>
    </row>
    <row r="3172" spans="1:27" x14ac:dyDescent="0.3">
      <c r="A3172" t="s">
        <v>3271</v>
      </c>
      <c r="B3172" t="s">
        <v>2733</v>
      </c>
      <c r="C3172" t="s">
        <v>16</v>
      </c>
      <c r="D3172" t="s">
        <v>69</v>
      </c>
      <c r="E3172" t="s">
        <v>37</v>
      </c>
    </row>
    <row r="3173" spans="1:27" x14ac:dyDescent="0.3">
      <c r="A3173" t="s">
        <v>3271</v>
      </c>
      <c r="B3173" t="s">
        <v>2733</v>
      </c>
      <c r="C3173" t="s">
        <v>11</v>
      </c>
      <c r="D3173" t="s">
        <v>12</v>
      </c>
      <c r="E3173" t="s">
        <v>13</v>
      </c>
      <c r="H3173" t="s">
        <v>382</v>
      </c>
      <c r="I3173" t="s">
        <v>3281</v>
      </c>
      <c r="L3173" t="s">
        <v>14</v>
      </c>
      <c r="M3173" t="s">
        <v>3281</v>
      </c>
    </row>
    <row r="3174" spans="1:27" x14ac:dyDescent="0.3">
      <c r="A3174" t="s">
        <v>3274</v>
      </c>
      <c r="B3174" t="s">
        <v>527</v>
      </c>
      <c r="C3174" t="s">
        <v>11</v>
      </c>
      <c r="D3174" t="s">
        <v>12</v>
      </c>
      <c r="E3174" t="s">
        <v>391</v>
      </c>
      <c r="H3174" t="s">
        <v>392</v>
      </c>
      <c r="I3174" t="s">
        <v>2758</v>
      </c>
      <c r="L3174" t="s">
        <v>394</v>
      </c>
      <c r="M3174" t="s">
        <v>3281</v>
      </c>
    </row>
    <row r="3175" spans="1:27" x14ac:dyDescent="0.3">
      <c r="A3175" t="s">
        <v>3273</v>
      </c>
      <c r="B3175" t="s">
        <v>2738</v>
      </c>
      <c r="C3175" t="s">
        <v>11</v>
      </c>
      <c r="D3175" t="s">
        <v>12</v>
      </c>
      <c r="E3175" t="s">
        <v>391</v>
      </c>
      <c r="H3175" t="s">
        <v>392</v>
      </c>
      <c r="I3175" t="s">
        <v>3282</v>
      </c>
      <c r="L3175" t="s">
        <v>394</v>
      </c>
      <c r="M3175" t="s">
        <v>3281</v>
      </c>
    </row>
    <row r="3176" spans="1:27" x14ac:dyDescent="0.3">
      <c r="A3176" t="s">
        <v>3272</v>
      </c>
      <c r="B3176" t="s">
        <v>2735</v>
      </c>
      <c r="C3176" t="s">
        <v>308</v>
      </c>
      <c r="D3176" t="s">
        <v>3283</v>
      </c>
      <c r="E3176" t="s">
        <v>406</v>
      </c>
      <c r="H3176" t="s">
        <v>25</v>
      </c>
      <c r="I3176" t="s">
        <v>2761</v>
      </c>
      <c r="L3176" t="s">
        <v>312</v>
      </c>
      <c r="M3176" t="s">
        <v>404</v>
      </c>
    </row>
    <row r="3177" spans="1:27" x14ac:dyDescent="0.3">
      <c r="A3177" t="s">
        <v>3283</v>
      </c>
      <c r="B3177" t="s">
        <v>406</v>
      </c>
      <c r="C3177" t="s">
        <v>11</v>
      </c>
      <c r="D3177" t="s">
        <v>12</v>
      </c>
      <c r="E3177" t="s">
        <v>391</v>
      </c>
      <c r="H3177" t="s">
        <v>392</v>
      </c>
      <c r="I3177" t="s">
        <v>3284</v>
      </c>
      <c r="L3177" t="s">
        <v>394</v>
      </c>
      <c r="M3177" t="s">
        <v>3281</v>
      </c>
    </row>
    <row r="3178" spans="1:27" x14ac:dyDescent="0.3">
      <c r="A3178" t="s">
        <v>3276</v>
      </c>
      <c r="B3178" t="s">
        <v>1138</v>
      </c>
      <c r="C3178" t="s">
        <v>11</v>
      </c>
      <c r="D3178" t="s">
        <v>12</v>
      </c>
      <c r="E3178" t="s">
        <v>391</v>
      </c>
      <c r="H3178" t="s">
        <v>392</v>
      </c>
      <c r="I3178" t="s">
        <v>3285</v>
      </c>
      <c r="L3178" t="s">
        <v>394</v>
      </c>
      <c r="M3178" t="s">
        <v>3281</v>
      </c>
    </row>
    <row r="3179" spans="1:27" x14ac:dyDescent="0.3">
      <c r="A3179" t="s">
        <v>3279</v>
      </c>
      <c r="B3179" t="s">
        <v>341</v>
      </c>
      <c r="C3179" t="s">
        <v>11</v>
      </c>
      <c r="D3179" t="s">
        <v>12</v>
      </c>
      <c r="E3179" t="s">
        <v>391</v>
      </c>
      <c r="H3179" t="s">
        <v>392</v>
      </c>
      <c r="I3179" t="s">
        <v>3286</v>
      </c>
      <c r="L3179" t="s">
        <v>394</v>
      </c>
      <c r="M3179" t="s">
        <v>3281</v>
      </c>
    </row>
    <row r="3180" spans="1:27" x14ac:dyDescent="0.3">
      <c r="A3180" t="s">
        <v>3277</v>
      </c>
      <c r="B3180" t="s">
        <v>1134</v>
      </c>
      <c r="C3180" t="s">
        <v>11</v>
      </c>
      <c r="D3180" t="s">
        <v>12</v>
      </c>
      <c r="E3180" t="s">
        <v>391</v>
      </c>
      <c r="H3180" t="s">
        <v>392</v>
      </c>
      <c r="I3180" t="s">
        <v>3287</v>
      </c>
      <c r="L3180" t="s">
        <v>394</v>
      </c>
      <c r="M3180" t="s">
        <v>3281</v>
      </c>
    </row>
    <row r="3181" spans="1:27" x14ac:dyDescent="0.3">
      <c r="A3181" t="s">
        <v>3278</v>
      </c>
      <c r="B3181" t="s">
        <v>1138</v>
      </c>
      <c r="C3181" t="s">
        <v>11</v>
      </c>
      <c r="D3181" t="s">
        <v>12</v>
      </c>
      <c r="E3181" t="s">
        <v>391</v>
      </c>
      <c r="H3181" t="s">
        <v>392</v>
      </c>
      <c r="I3181" t="s">
        <v>3288</v>
      </c>
      <c r="L3181" t="s">
        <v>394</v>
      </c>
      <c r="M3181" t="s">
        <v>3281</v>
      </c>
    </row>
    <row r="3182" spans="1:27" x14ac:dyDescent="0.3">
      <c r="A3182" t="s">
        <v>3275</v>
      </c>
      <c r="B3182" t="s">
        <v>2077</v>
      </c>
      <c r="C3182" t="s">
        <v>11</v>
      </c>
      <c r="D3182" t="s">
        <v>12</v>
      </c>
      <c r="E3182" t="s">
        <v>391</v>
      </c>
      <c r="H3182" t="s">
        <v>392</v>
      </c>
      <c r="I3182" t="s">
        <v>2128</v>
      </c>
      <c r="L3182" t="s">
        <v>394</v>
      </c>
      <c r="M3182" t="s">
        <v>3281</v>
      </c>
    </row>
    <row r="3183" spans="1:27" x14ac:dyDescent="0.3">
      <c r="A3183" t="s">
        <v>3289</v>
      </c>
      <c r="B3183" t="s">
        <v>2733</v>
      </c>
      <c r="C3183" t="s">
        <v>280</v>
      </c>
      <c r="D3183" t="s">
        <v>3290</v>
      </c>
      <c r="E3183" t="s">
        <v>2735</v>
      </c>
      <c r="H3183" t="s">
        <v>25</v>
      </c>
      <c r="I3183" t="s">
        <v>2736</v>
      </c>
    </row>
    <row r="3184" spans="1:27" x14ac:dyDescent="0.3">
      <c r="A3184" t="s">
        <v>3289</v>
      </c>
      <c r="B3184" t="s">
        <v>2733</v>
      </c>
      <c r="C3184" t="s">
        <v>308</v>
      </c>
      <c r="D3184" t="s">
        <v>3291</v>
      </c>
      <c r="E3184" t="s">
        <v>2738</v>
      </c>
      <c r="H3184" t="s">
        <v>25</v>
      </c>
      <c r="I3184" t="s">
        <v>2739</v>
      </c>
      <c r="L3184" t="s">
        <v>312</v>
      </c>
      <c r="M3184" t="s">
        <v>327</v>
      </c>
    </row>
    <row r="3185" spans="1:27" x14ac:dyDescent="0.3">
      <c r="A3185" t="s">
        <v>3289</v>
      </c>
      <c r="B3185" t="s">
        <v>2733</v>
      </c>
      <c r="C3185" t="s">
        <v>308</v>
      </c>
      <c r="D3185" t="s">
        <v>3292</v>
      </c>
      <c r="E3185" t="s">
        <v>527</v>
      </c>
      <c r="H3185" t="s">
        <v>25</v>
      </c>
      <c r="I3185" t="s">
        <v>2741</v>
      </c>
      <c r="L3185" t="s">
        <v>312</v>
      </c>
      <c r="M3185" t="s">
        <v>343</v>
      </c>
    </row>
    <row r="3186" spans="1:27" x14ac:dyDescent="0.3">
      <c r="A3186" t="s">
        <v>3289</v>
      </c>
      <c r="B3186" t="s">
        <v>2733</v>
      </c>
      <c r="C3186" t="s">
        <v>308</v>
      </c>
      <c r="D3186" t="s">
        <v>3293</v>
      </c>
      <c r="E3186" t="s">
        <v>2077</v>
      </c>
      <c r="H3186" t="s">
        <v>25</v>
      </c>
      <c r="I3186" t="s">
        <v>2078</v>
      </c>
      <c r="L3186" t="s">
        <v>312</v>
      </c>
      <c r="M3186" t="s">
        <v>1687</v>
      </c>
    </row>
    <row r="3187" spans="1:27" x14ac:dyDescent="0.3">
      <c r="A3187" t="s">
        <v>3289</v>
      </c>
      <c r="B3187" t="s">
        <v>2733</v>
      </c>
      <c r="C3187" t="s">
        <v>308</v>
      </c>
      <c r="D3187" t="s">
        <v>3294</v>
      </c>
      <c r="E3187" t="s">
        <v>1138</v>
      </c>
      <c r="H3187" t="s">
        <v>25</v>
      </c>
      <c r="I3187" t="s">
        <v>2065</v>
      </c>
      <c r="L3187" t="s">
        <v>312</v>
      </c>
      <c r="M3187" t="s">
        <v>317</v>
      </c>
    </row>
    <row r="3188" spans="1:27" x14ac:dyDescent="0.3">
      <c r="A3188" t="s">
        <v>3289</v>
      </c>
      <c r="B3188" t="s">
        <v>2733</v>
      </c>
      <c r="C3188" t="s">
        <v>308</v>
      </c>
      <c r="D3188" t="s">
        <v>3295</v>
      </c>
      <c r="E3188" t="s">
        <v>1134</v>
      </c>
      <c r="H3188" t="s">
        <v>25</v>
      </c>
      <c r="I3188" t="s">
        <v>2069</v>
      </c>
      <c r="L3188" t="s">
        <v>312</v>
      </c>
      <c r="M3188" t="s">
        <v>317</v>
      </c>
    </row>
    <row r="3189" spans="1:27" x14ac:dyDescent="0.3">
      <c r="A3189" t="s">
        <v>3289</v>
      </c>
      <c r="B3189" t="s">
        <v>2733</v>
      </c>
      <c r="C3189" t="s">
        <v>308</v>
      </c>
      <c r="D3189" t="s">
        <v>3296</v>
      </c>
      <c r="E3189" t="s">
        <v>1138</v>
      </c>
      <c r="H3189" t="s">
        <v>25</v>
      </c>
      <c r="I3189" t="s">
        <v>2746</v>
      </c>
      <c r="L3189" t="s">
        <v>312</v>
      </c>
      <c r="M3189" t="s">
        <v>317</v>
      </c>
    </row>
    <row r="3190" spans="1:27" x14ac:dyDescent="0.3">
      <c r="A3190" t="s">
        <v>3289</v>
      </c>
      <c r="B3190" t="s">
        <v>2733</v>
      </c>
      <c r="C3190" t="s">
        <v>308</v>
      </c>
      <c r="D3190" t="s">
        <v>3297</v>
      </c>
      <c r="E3190" t="s">
        <v>341</v>
      </c>
      <c r="H3190" t="s">
        <v>25</v>
      </c>
      <c r="I3190" t="s">
        <v>342</v>
      </c>
      <c r="L3190" t="s">
        <v>312</v>
      </c>
      <c r="M3190" t="s">
        <v>343</v>
      </c>
    </row>
    <row r="3191" spans="1:27" x14ac:dyDescent="0.3">
      <c r="A3191" t="s">
        <v>3289</v>
      </c>
      <c r="B3191" t="s">
        <v>2733</v>
      </c>
      <c r="C3191" t="s">
        <v>22</v>
      </c>
      <c r="D3191" t="s">
        <v>23</v>
      </c>
      <c r="E3191" t="s">
        <v>28</v>
      </c>
    </row>
    <row r="3192" spans="1:27" x14ac:dyDescent="0.3">
      <c r="A3192" t="s">
        <v>3289</v>
      </c>
      <c r="B3192" t="s">
        <v>2733</v>
      </c>
      <c r="C3192" t="s">
        <v>2748</v>
      </c>
      <c r="D3192">
        <v>1.5</v>
      </c>
      <c r="H3192" t="s">
        <v>312</v>
      </c>
      <c r="I3192" t="s">
        <v>385</v>
      </c>
    </row>
    <row r="3193" spans="1:27" x14ac:dyDescent="0.3">
      <c r="A3193" t="s">
        <v>3289</v>
      </c>
      <c r="B3193" t="s">
        <v>2733</v>
      </c>
      <c r="C3193" t="s">
        <v>378</v>
      </c>
      <c r="D3193">
        <v>55</v>
      </c>
      <c r="H3193" t="s">
        <v>312</v>
      </c>
      <c r="I3193" t="s">
        <v>327</v>
      </c>
    </row>
    <row r="3194" spans="1:27" x14ac:dyDescent="0.3">
      <c r="A3194" t="s">
        <v>3289</v>
      </c>
      <c r="B3194" t="s">
        <v>2733</v>
      </c>
      <c r="C3194" t="s">
        <v>380</v>
      </c>
      <c r="D3194" t="s">
        <v>554</v>
      </c>
      <c r="E3194" t="s">
        <v>279</v>
      </c>
      <c r="F3194" t="s">
        <v>25</v>
      </c>
      <c r="G3194" t="s">
        <v>3298</v>
      </c>
      <c r="J3194" t="s">
        <v>2089</v>
      </c>
      <c r="K3194" t="s">
        <v>2750</v>
      </c>
      <c r="N3194" t="s">
        <v>2751</v>
      </c>
      <c r="O3194">
        <v>1</v>
      </c>
      <c r="R3194" t="s">
        <v>2752</v>
      </c>
      <c r="S3194">
        <v>158</v>
      </c>
      <c r="V3194" t="s">
        <v>2753</v>
      </c>
      <c r="W3194" t="s">
        <v>2754</v>
      </c>
      <c r="Z3194" t="s">
        <v>2755</v>
      </c>
      <c r="AA3194" t="s">
        <v>2756</v>
      </c>
    </row>
    <row r="3195" spans="1:27" x14ac:dyDescent="0.3">
      <c r="A3195" t="s">
        <v>3289</v>
      </c>
      <c r="B3195" t="s">
        <v>2733</v>
      </c>
      <c r="C3195" t="s">
        <v>16</v>
      </c>
      <c r="D3195" t="s">
        <v>36</v>
      </c>
      <c r="E3195" t="s">
        <v>37</v>
      </c>
    </row>
    <row r="3196" spans="1:27" x14ac:dyDescent="0.3">
      <c r="A3196" t="s">
        <v>3289</v>
      </c>
      <c r="B3196" t="s">
        <v>2733</v>
      </c>
      <c r="C3196" t="s">
        <v>11</v>
      </c>
      <c r="D3196" t="s">
        <v>12</v>
      </c>
      <c r="E3196" t="s">
        <v>13</v>
      </c>
      <c r="H3196" t="s">
        <v>382</v>
      </c>
      <c r="I3196" t="s">
        <v>3299</v>
      </c>
      <c r="L3196" t="s">
        <v>14</v>
      </c>
      <c r="M3196" t="s">
        <v>3299</v>
      </c>
    </row>
    <row r="3197" spans="1:27" x14ac:dyDescent="0.3">
      <c r="A3197" t="s">
        <v>3292</v>
      </c>
      <c r="B3197" t="s">
        <v>527</v>
      </c>
      <c r="C3197" t="s">
        <v>11</v>
      </c>
      <c r="D3197" t="s">
        <v>12</v>
      </c>
      <c r="E3197" t="s">
        <v>391</v>
      </c>
      <c r="H3197" t="s">
        <v>392</v>
      </c>
      <c r="I3197" t="s">
        <v>2758</v>
      </c>
      <c r="L3197" t="s">
        <v>394</v>
      </c>
      <c r="M3197" t="s">
        <v>3299</v>
      </c>
    </row>
    <row r="3198" spans="1:27" x14ac:dyDescent="0.3">
      <c r="A3198" t="s">
        <v>3291</v>
      </c>
      <c r="B3198" t="s">
        <v>2738</v>
      </c>
      <c r="C3198" t="s">
        <v>11</v>
      </c>
      <c r="D3198" t="s">
        <v>12</v>
      </c>
      <c r="E3198" t="s">
        <v>391</v>
      </c>
      <c r="H3198" t="s">
        <v>392</v>
      </c>
      <c r="I3198" t="s">
        <v>3300</v>
      </c>
      <c r="L3198" t="s">
        <v>394</v>
      </c>
      <c r="M3198" t="s">
        <v>3299</v>
      </c>
    </row>
    <row r="3199" spans="1:27" x14ac:dyDescent="0.3">
      <c r="A3199" t="s">
        <v>3290</v>
      </c>
      <c r="B3199" t="s">
        <v>2735</v>
      </c>
      <c r="C3199" t="s">
        <v>308</v>
      </c>
      <c r="D3199" t="s">
        <v>3301</v>
      </c>
      <c r="E3199" t="s">
        <v>406</v>
      </c>
      <c r="H3199" t="s">
        <v>25</v>
      </c>
      <c r="I3199" t="s">
        <v>2761</v>
      </c>
      <c r="L3199" t="s">
        <v>312</v>
      </c>
      <c r="M3199" t="s">
        <v>404</v>
      </c>
    </row>
    <row r="3200" spans="1:27" x14ac:dyDescent="0.3">
      <c r="A3200" t="s">
        <v>3301</v>
      </c>
      <c r="B3200" t="s">
        <v>406</v>
      </c>
      <c r="C3200" t="s">
        <v>11</v>
      </c>
      <c r="D3200" t="s">
        <v>12</v>
      </c>
      <c r="E3200" t="s">
        <v>391</v>
      </c>
      <c r="H3200" t="s">
        <v>392</v>
      </c>
      <c r="I3200" t="s">
        <v>3302</v>
      </c>
      <c r="L3200" t="s">
        <v>394</v>
      </c>
      <c r="M3200" t="s">
        <v>3299</v>
      </c>
    </row>
    <row r="3201" spans="1:13" x14ac:dyDescent="0.3">
      <c r="A3201" t="s">
        <v>3294</v>
      </c>
      <c r="B3201" t="s">
        <v>1138</v>
      </c>
      <c r="C3201" t="s">
        <v>11</v>
      </c>
      <c r="D3201" t="s">
        <v>12</v>
      </c>
      <c r="E3201" t="s">
        <v>391</v>
      </c>
      <c r="H3201" t="s">
        <v>392</v>
      </c>
      <c r="I3201" t="s">
        <v>3303</v>
      </c>
      <c r="L3201" t="s">
        <v>394</v>
      </c>
      <c r="M3201" t="s">
        <v>3299</v>
      </c>
    </row>
    <row r="3202" spans="1:13" x14ac:dyDescent="0.3">
      <c r="A3202" t="s">
        <v>3297</v>
      </c>
      <c r="B3202" t="s">
        <v>341</v>
      </c>
      <c r="C3202" t="s">
        <v>11</v>
      </c>
      <c r="D3202" t="s">
        <v>12</v>
      </c>
      <c r="E3202" t="s">
        <v>391</v>
      </c>
      <c r="H3202" t="s">
        <v>392</v>
      </c>
      <c r="I3202" t="s">
        <v>3304</v>
      </c>
      <c r="L3202" t="s">
        <v>394</v>
      </c>
      <c r="M3202" t="s">
        <v>3299</v>
      </c>
    </row>
    <row r="3203" spans="1:13" x14ac:dyDescent="0.3">
      <c r="A3203" t="s">
        <v>3295</v>
      </c>
      <c r="B3203" t="s">
        <v>1134</v>
      </c>
      <c r="C3203" t="s">
        <v>11</v>
      </c>
      <c r="D3203" t="s">
        <v>12</v>
      </c>
      <c r="E3203" t="s">
        <v>391</v>
      </c>
      <c r="H3203" t="s">
        <v>392</v>
      </c>
      <c r="I3203" t="s">
        <v>3305</v>
      </c>
      <c r="L3203" t="s">
        <v>394</v>
      </c>
      <c r="M3203" t="s">
        <v>3299</v>
      </c>
    </row>
    <row r="3204" spans="1:13" x14ac:dyDescent="0.3">
      <c r="A3204" t="s">
        <v>3296</v>
      </c>
      <c r="B3204" t="s">
        <v>1138</v>
      </c>
      <c r="C3204" t="s">
        <v>11</v>
      </c>
      <c r="D3204" t="s">
        <v>12</v>
      </c>
      <c r="E3204" t="s">
        <v>391</v>
      </c>
      <c r="H3204" t="s">
        <v>392</v>
      </c>
      <c r="I3204" t="s">
        <v>3306</v>
      </c>
      <c r="L3204" t="s">
        <v>394</v>
      </c>
      <c r="M3204" t="s">
        <v>3299</v>
      </c>
    </row>
    <row r="3205" spans="1:13" x14ac:dyDescent="0.3">
      <c r="A3205" t="s">
        <v>3293</v>
      </c>
      <c r="B3205" t="s">
        <v>2077</v>
      </c>
      <c r="C3205" t="s">
        <v>11</v>
      </c>
      <c r="D3205" t="s">
        <v>12</v>
      </c>
      <c r="E3205" t="s">
        <v>391</v>
      </c>
      <c r="H3205" t="s">
        <v>392</v>
      </c>
      <c r="I3205" t="s">
        <v>2128</v>
      </c>
      <c r="L3205" t="s">
        <v>394</v>
      </c>
      <c r="M3205" t="s">
        <v>3299</v>
      </c>
    </row>
    <row r="3206" spans="1:13" x14ac:dyDescent="0.3">
      <c r="A3206" t="s">
        <v>3307</v>
      </c>
      <c r="B3206" t="s">
        <v>2733</v>
      </c>
      <c r="C3206" t="s">
        <v>280</v>
      </c>
      <c r="D3206" t="s">
        <v>3308</v>
      </c>
      <c r="E3206" t="s">
        <v>2735</v>
      </c>
      <c r="H3206" t="s">
        <v>25</v>
      </c>
      <c r="I3206" t="s">
        <v>2736</v>
      </c>
    </row>
    <row r="3207" spans="1:13" x14ac:dyDescent="0.3">
      <c r="A3207" t="s">
        <v>3307</v>
      </c>
      <c r="B3207" t="s">
        <v>2733</v>
      </c>
      <c r="C3207" t="s">
        <v>308</v>
      </c>
      <c r="D3207" t="s">
        <v>3309</v>
      </c>
      <c r="E3207" t="s">
        <v>2738</v>
      </c>
      <c r="H3207" t="s">
        <v>25</v>
      </c>
      <c r="I3207" t="s">
        <v>2739</v>
      </c>
      <c r="L3207" t="s">
        <v>312</v>
      </c>
      <c r="M3207" t="s">
        <v>327</v>
      </c>
    </row>
    <row r="3208" spans="1:13" x14ac:dyDescent="0.3">
      <c r="A3208" t="s">
        <v>3307</v>
      </c>
      <c r="B3208" t="s">
        <v>2733</v>
      </c>
      <c r="C3208" t="s">
        <v>308</v>
      </c>
      <c r="D3208" t="s">
        <v>3310</v>
      </c>
      <c r="E3208" t="s">
        <v>527</v>
      </c>
      <c r="H3208" t="s">
        <v>25</v>
      </c>
      <c r="I3208" t="s">
        <v>2741</v>
      </c>
      <c r="L3208" t="s">
        <v>312</v>
      </c>
      <c r="M3208" t="s">
        <v>343</v>
      </c>
    </row>
    <row r="3209" spans="1:13" x14ac:dyDescent="0.3">
      <c r="A3209" t="s">
        <v>3307</v>
      </c>
      <c r="B3209" t="s">
        <v>2733</v>
      </c>
      <c r="C3209" t="s">
        <v>308</v>
      </c>
      <c r="D3209" t="s">
        <v>3311</v>
      </c>
      <c r="E3209" t="s">
        <v>2077</v>
      </c>
      <c r="H3209" t="s">
        <v>25</v>
      </c>
      <c r="I3209" t="s">
        <v>2078</v>
      </c>
      <c r="L3209" t="s">
        <v>312</v>
      </c>
      <c r="M3209" t="s">
        <v>1687</v>
      </c>
    </row>
    <row r="3210" spans="1:13" x14ac:dyDescent="0.3">
      <c r="A3210" t="s">
        <v>3307</v>
      </c>
      <c r="B3210" t="s">
        <v>2733</v>
      </c>
      <c r="C3210" t="s">
        <v>308</v>
      </c>
      <c r="D3210" t="s">
        <v>3312</v>
      </c>
      <c r="E3210" t="s">
        <v>1138</v>
      </c>
      <c r="H3210" t="s">
        <v>25</v>
      </c>
      <c r="I3210" t="s">
        <v>2065</v>
      </c>
      <c r="L3210" t="s">
        <v>312</v>
      </c>
      <c r="M3210" t="s">
        <v>317</v>
      </c>
    </row>
    <row r="3211" spans="1:13" x14ac:dyDescent="0.3">
      <c r="A3211" t="s">
        <v>3307</v>
      </c>
      <c r="B3211" t="s">
        <v>2733</v>
      </c>
      <c r="C3211" t="s">
        <v>308</v>
      </c>
      <c r="D3211" t="s">
        <v>3313</v>
      </c>
      <c r="E3211" t="s">
        <v>1134</v>
      </c>
      <c r="H3211" t="s">
        <v>25</v>
      </c>
      <c r="I3211" t="s">
        <v>2069</v>
      </c>
      <c r="L3211" t="s">
        <v>312</v>
      </c>
      <c r="M3211" t="s">
        <v>317</v>
      </c>
    </row>
    <row r="3212" spans="1:13" x14ac:dyDescent="0.3">
      <c r="A3212" t="s">
        <v>3307</v>
      </c>
      <c r="B3212" t="s">
        <v>2733</v>
      </c>
      <c r="C3212" t="s">
        <v>308</v>
      </c>
      <c r="D3212" t="s">
        <v>3314</v>
      </c>
      <c r="E3212" t="s">
        <v>1138</v>
      </c>
      <c r="H3212" t="s">
        <v>25</v>
      </c>
      <c r="I3212" t="s">
        <v>2746</v>
      </c>
      <c r="L3212" t="s">
        <v>312</v>
      </c>
      <c r="M3212" t="s">
        <v>317</v>
      </c>
    </row>
    <row r="3213" spans="1:13" x14ac:dyDescent="0.3">
      <c r="A3213" t="s">
        <v>3307</v>
      </c>
      <c r="B3213" t="s">
        <v>2733</v>
      </c>
      <c r="C3213" t="s">
        <v>308</v>
      </c>
      <c r="D3213" t="s">
        <v>3315</v>
      </c>
      <c r="E3213" t="s">
        <v>341</v>
      </c>
      <c r="H3213" t="s">
        <v>25</v>
      </c>
      <c r="I3213" t="s">
        <v>342</v>
      </c>
      <c r="L3213" t="s">
        <v>312</v>
      </c>
      <c r="M3213" t="s">
        <v>343</v>
      </c>
    </row>
    <row r="3214" spans="1:13" x14ac:dyDescent="0.3">
      <c r="A3214" t="s">
        <v>3307</v>
      </c>
      <c r="B3214" t="s">
        <v>2733</v>
      </c>
      <c r="C3214" t="s">
        <v>22</v>
      </c>
      <c r="D3214" t="s">
        <v>23</v>
      </c>
      <c r="E3214" t="s">
        <v>28</v>
      </c>
    </row>
    <row r="3215" spans="1:13" x14ac:dyDescent="0.3">
      <c r="A3215" t="s">
        <v>3307</v>
      </c>
      <c r="B3215" t="s">
        <v>2733</v>
      </c>
      <c r="C3215" t="s">
        <v>2748</v>
      </c>
      <c r="D3215">
        <v>1.5</v>
      </c>
      <c r="H3215" t="s">
        <v>312</v>
      </c>
      <c r="I3215" t="s">
        <v>385</v>
      </c>
    </row>
    <row r="3216" spans="1:13" x14ac:dyDescent="0.3">
      <c r="A3216" t="s">
        <v>3307</v>
      </c>
      <c r="B3216" t="s">
        <v>2733</v>
      </c>
      <c r="C3216" t="s">
        <v>378</v>
      </c>
      <c r="D3216">
        <v>30</v>
      </c>
      <c r="H3216" t="s">
        <v>312</v>
      </c>
      <c r="I3216" t="s">
        <v>327</v>
      </c>
    </row>
    <row r="3217" spans="1:27" x14ac:dyDescent="0.3">
      <c r="A3217" t="s">
        <v>3307</v>
      </c>
      <c r="B3217" t="s">
        <v>2733</v>
      </c>
      <c r="C3217" t="s">
        <v>380</v>
      </c>
      <c r="D3217" t="s">
        <v>554</v>
      </c>
      <c r="E3217" t="s">
        <v>279</v>
      </c>
      <c r="F3217" t="s">
        <v>25</v>
      </c>
      <c r="G3217" t="s">
        <v>3316</v>
      </c>
      <c r="J3217" t="s">
        <v>2089</v>
      </c>
      <c r="K3217" t="s">
        <v>2750</v>
      </c>
      <c r="N3217" t="s">
        <v>2751</v>
      </c>
      <c r="O3217">
        <v>1</v>
      </c>
      <c r="R3217" t="s">
        <v>2752</v>
      </c>
      <c r="S3217">
        <v>158</v>
      </c>
      <c r="V3217" t="s">
        <v>2753</v>
      </c>
      <c r="W3217" t="s">
        <v>2754</v>
      </c>
      <c r="Z3217" t="s">
        <v>2755</v>
      </c>
      <c r="AA3217" t="s">
        <v>2756</v>
      </c>
    </row>
    <row r="3218" spans="1:27" x14ac:dyDescent="0.3">
      <c r="A3218" t="s">
        <v>3307</v>
      </c>
      <c r="B3218" t="s">
        <v>2733</v>
      </c>
      <c r="C3218" t="s">
        <v>16</v>
      </c>
      <c r="D3218" t="s">
        <v>73</v>
      </c>
      <c r="E3218" t="s">
        <v>37</v>
      </c>
    </row>
    <row r="3219" spans="1:27" x14ac:dyDescent="0.3">
      <c r="A3219" t="s">
        <v>3307</v>
      </c>
      <c r="B3219" t="s">
        <v>2733</v>
      </c>
      <c r="C3219" t="s">
        <v>11</v>
      </c>
      <c r="D3219" t="s">
        <v>12</v>
      </c>
      <c r="E3219" t="s">
        <v>13</v>
      </c>
      <c r="H3219" t="s">
        <v>382</v>
      </c>
      <c r="I3219" t="s">
        <v>3317</v>
      </c>
      <c r="L3219" t="s">
        <v>14</v>
      </c>
      <c r="M3219" t="s">
        <v>3317</v>
      </c>
    </row>
    <row r="3220" spans="1:27" x14ac:dyDescent="0.3">
      <c r="A3220" t="s">
        <v>3310</v>
      </c>
      <c r="B3220" t="s">
        <v>527</v>
      </c>
      <c r="C3220" t="s">
        <v>11</v>
      </c>
      <c r="D3220" t="s">
        <v>12</v>
      </c>
      <c r="E3220" t="s">
        <v>391</v>
      </c>
      <c r="H3220" t="s">
        <v>392</v>
      </c>
      <c r="I3220" t="s">
        <v>2758</v>
      </c>
      <c r="L3220" t="s">
        <v>394</v>
      </c>
      <c r="M3220" t="s">
        <v>3317</v>
      </c>
    </row>
    <row r="3221" spans="1:27" x14ac:dyDescent="0.3">
      <c r="A3221" t="s">
        <v>3309</v>
      </c>
      <c r="B3221" t="s">
        <v>2738</v>
      </c>
      <c r="C3221" t="s">
        <v>11</v>
      </c>
      <c r="D3221" t="s">
        <v>12</v>
      </c>
      <c r="E3221" t="s">
        <v>391</v>
      </c>
      <c r="H3221" t="s">
        <v>392</v>
      </c>
      <c r="I3221" t="s">
        <v>3318</v>
      </c>
      <c r="L3221" t="s">
        <v>394</v>
      </c>
      <c r="M3221" t="s">
        <v>3317</v>
      </c>
    </row>
    <row r="3222" spans="1:27" x14ac:dyDescent="0.3">
      <c r="A3222" t="s">
        <v>3308</v>
      </c>
      <c r="B3222" t="s">
        <v>2735</v>
      </c>
      <c r="C3222" t="s">
        <v>308</v>
      </c>
      <c r="D3222" t="s">
        <v>3319</v>
      </c>
      <c r="E3222" t="s">
        <v>406</v>
      </c>
      <c r="H3222" t="s">
        <v>25</v>
      </c>
      <c r="I3222" t="s">
        <v>2761</v>
      </c>
      <c r="L3222" t="s">
        <v>312</v>
      </c>
      <c r="M3222" t="s">
        <v>404</v>
      </c>
    </row>
    <row r="3223" spans="1:27" x14ac:dyDescent="0.3">
      <c r="A3223" t="s">
        <v>3319</v>
      </c>
      <c r="B3223" t="s">
        <v>406</v>
      </c>
      <c r="C3223" t="s">
        <v>11</v>
      </c>
      <c r="D3223" t="s">
        <v>12</v>
      </c>
      <c r="E3223" t="s">
        <v>391</v>
      </c>
      <c r="H3223" t="s">
        <v>392</v>
      </c>
      <c r="I3223" t="s">
        <v>3320</v>
      </c>
      <c r="L3223" t="s">
        <v>394</v>
      </c>
      <c r="M3223" t="s">
        <v>3317</v>
      </c>
    </row>
    <row r="3224" spans="1:27" x14ac:dyDescent="0.3">
      <c r="A3224" t="s">
        <v>3312</v>
      </c>
      <c r="B3224" t="s">
        <v>1138</v>
      </c>
      <c r="C3224" t="s">
        <v>11</v>
      </c>
      <c r="D3224" t="s">
        <v>12</v>
      </c>
      <c r="E3224" t="s">
        <v>391</v>
      </c>
      <c r="H3224" t="s">
        <v>392</v>
      </c>
      <c r="I3224" t="s">
        <v>3321</v>
      </c>
      <c r="L3224" t="s">
        <v>394</v>
      </c>
      <c r="M3224" t="s">
        <v>3317</v>
      </c>
    </row>
    <row r="3225" spans="1:27" x14ac:dyDescent="0.3">
      <c r="A3225" t="s">
        <v>3315</v>
      </c>
      <c r="B3225" t="s">
        <v>341</v>
      </c>
      <c r="C3225" t="s">
        <v>11</v>
      </c>
      <c r="D3225" t="s">
        <v>12</v>
      </c>
      <c r="E3225" t="s">
        <v>391</v>
      </c>
      <c r="H3225" t="s">
        <v>392</v>
      </c>
      <c r="I3225" t="s">
        <v>3322</v>
      </c>
      <c r="L3225" t="s">
        <v>394</v>
      </c>
      <c r="M3225" t="s">
        <v>3317</v>
      </c>
    </row>
    <row r="3226" spans="1:27" x14ac:dyDescent="0.3">
      <c r="A3226" t="s">
        <v>3313</v>
      </c>
      <c r="B3226" t="s">
        <v>1134</v>
      </c>
      <c r="C3226" t="s">
        <v>11</v>
      </c>
      <c r="D3226" t="s">
        <v>12</v>
      </c>
      <c r="E3226" t="s">
        <v>391</v>
      </c>
      <c r="H3226" t="s">
        <v>392</v>
      </c>
      <c r="I3226" t="s">
        <v>3323</v>
      </c>
      <c r="L3226" t="s">
        <v>394</v>
      </c>
      <c r="M3226" t="s">
        <v>3317</v>
      </c>
    </row>
    <row r="3227" spans="1:27" x14ac:dyDescent="0.3">
      <c r="A3227" t="s">
        <v>3314</v>
      </c>
      <c r="B3227" t="s">
        <v>1138</v>
      </c>
      <c r="C3227" t="s">
        <v>11</v>
      </c>
      <c r="D3227" t="s">
        <v>12</v>
      </c>
      <c r="E3227" t="s">
        <v>391</v>
      </c>
      <c r="H3227" t="s">
        <v>392</v>
      </c>
      <c r="I3227" t="s">
        <v>3324</v>
      </c>
      <c r="L3227" t="s">
        <v>394</v>
      </c>
      <c r="M3227" t="s">
        <v>3317</v>
      </c>
    </row>
    <row r="3228" spans="1:27" x14ac:dyDescent="0.3">
      <c r="A3228" t="s">
        <v>3311</v>
      </c>
      <c r="B3228" t="s">
        <v>2077</v>
      </c>
      <c r="C3228" t="s">
        <v>11</v>
      </c>
      <c r="D3228" t="s">
        <v>12</v>
      </c>
      <c r="E3228" t="s">
        <v>391</v>
      </c>
      <c r="H3228" t="s">
        <v>392</v>
      </c>
      <c r="I3228" t="s">
        <v>2128</v>
      </c>
      <c r="L3228" t="s">
        <v>394</v>
      </c>
      <c r="M3228" t="s">
        <v>3317</v>
      </c>
    </row>
    <row r="3229" spans="1:27" x14ac:dyDescent="0.3">
      <c r="A3229" t="s">
        <v>3325</v>
      </c>
      <c r="B3229" t="s">
        <v>2733</v>
      </c>
      <c r="C3229" t="s">
        <v>280</v>
      </c>
      <c r="D3229" t="s">
        <v>3326</v>
      </c>
      <c r="E3229" t="s">
        <v>2735</v>
      </c>
      <c r="H3229" t="s">
        <v>25</v>
      </c>
      <c r="I3229" t="s">
        <v>2736</v>
      </c>
    </row>
    <row r="3230" spans="1:27" x14ac:dyDescent="0.3">
      <c r="A3230" t="s">
        <v>3325</v>
      </c>
      <c r="B3230" t="s">
        <v>2733</v>
      </c>
      <c r="C3230" t="s">
        <v>308</v>
      </c>
      <c r="D3230" t="s">
        <v>3327</v>
      </c>
      <c r="E3230" t="s">
        <v>2738</v>
      </c>
      <c r="H3230" t="s">
        <v>25</v>
      </c>
      <c r="I3230" t="s">
        <v>2739</v>
      </c>
      <c r="L3230" t="s">
        <v>312</v>
      </c>
      <c r="M3230" t="s">
        <v>327</v>
      </c>
    </row>
    <row r="3231" spans="1:27" x14ac:dyDescent="0.3">
      <c r="A3231" t="s">
        <v>3325</v>
      </c>
      <c r="B3231" t="s">
        <v>2733</v>
      </c>
      <c r="C3231" t="s">
        <v>308</v>
      </c>
      <c r="D3231" t="s">
        <v>3328</v>
      </c>
      <c r="E3231" t="s">
        <v>527</v>
      </c>
      <c r="H3231" t="s">
        <v>25</v>
      </c>
      <c r="I3231" t="s">
        <v>2741</v>
      </c>
      <c r="L3231" t="s">
        <v>312</v>
      </c>
      <c r="M3231" t="s">
        <v>343</v>
      </c>
    </row>
    <row r="3232" spans="1:27" x14ac:dyDescent="0.3">
      <c r="A3232" t="s">
        <v>3325</v>
      </c>
      <c r="B3232" t="s">
        <v>2733</v>
      </c>
      <c r="C3232" t="s">
        <v>308</v>
      </c>
      <c r="D3232" t="s">
        <v>3329</v>
      </c>
      <c r="E3232" t="s">
        <v>2077</v>
      </c>
      <c r="H3232" t="s">
        <v>25</v>
      </c>
      <c r="I3232" t="s">
        <v>2078</v>
      </c>
      <c r="L3232" t="s">
        <v>312</v>
      </c>
      <c r="M3232" t="s">
        <v>1687</v>
      </c>
    </row>
    <row r="3233" spans="1:27" x14ac:dyDescent="0.3">
      <c r="A3233" t="s">
        <v>3325</v>
      </c>
      <c r="B3233" t="s">
        <v>2733</v>
      </c>
      <c r="C3233" t="s">
        <v>308</v>
      </c>
      <c r="D3233" t="s">
        <v>3330</v>
      </c>
      <c r="E3233" t="s">
        <v>1138</v>
      </c>
      <c r="H3233" t="s">
        <v>25</v>
      </c>
      <c r="I3233" t="s">
        <v>2065</v>
      </c>
      <c r="L3233" t="s">
        <v>312</v>
      </c>
      <c r="M3233" t="s">
        <v>317</v>
      </c>
    </row>
    <row r="3234" spans="1:27" x14ac:dyDescent="0.3">
      <c r="A3234" t="s">
        <v>3325</v>
      </c>
      <c r="B3234" t="s">
        <v>2733</v>
      </c>
      <c r="C3234" t="s">
        <v>308</v>
      </c>
      <c r="D3234" t="s">
        <v>3331</v>
      </c>
      <c r="E3234" t="s">
        <v>1134</v>
      </c>
      <c r="H3234" t="s">
        <v>25</v>
      </c>
      <c r="I3234" t="s">
        <v>2069</v>
      </c>
      <c r="L3234" t="s">
        <v>312</v>
      </c>
      <c r="M3234" t="s">
        <v>317</v>
      </c>
    </row>
    <row r="3235" spans="1:27" x14ac:dyDescent="0.3">
      <c r="A3235" t="s">
        <v>3325</v>
      </c>
      <c r="B3235" t="s">
        <v>2733</v>
      </c>
      <c r="C3235" t="s">
        <v>308</v>
      </c>
      <c r="D3235" t="s">
        <v>3332</v>
      </c>
      <c r="E3235" t="s">
        <v>1138</v>
      </c>
      <c r="H3235" t="s">
        <v>25</v>
      </c>
      <c r="I3235" t="s">
        <v>2746</v>
      </c>
      <c r="L3235" t="s">
        <v>312</v>
      </c>
      <c r="M3235" t="s">
        <v>317</v>
      </c>
    </row>
    <row r="3236" spans="1:27" x14ac:dyDescent="0.3">
      <c r="A3236" t="s">
        <v>3325</v>
      </c>
      <c r="B3236" t="s">
        <v>2733</v>
      </c>
      <c r="C3236" t="s">
        <v>308</v>
      </c>
      <c r="D3236" t="s">
        <v>3333</v>
      </c>
      <c r="E3236" t="s">
        <v>341</v>
      </c>
      <c r="H3236" t="s">
        <v>25</v>
      </c>
      <c r="I3236" t="s">
        <v>342</v>
      </c>
      <c r="L3236" t="s">
        <v>312</v>
      </c>
      <c r="M3236" t="s">
        <v>343</v>
      </c>
    </row>
    <row r="3237" spans="1:27" x14ac:dyDescent="0.3">
      <c r="A3237" t="s">
        <v>3325</v>
      </c>
      <c r="B3237" t="s">
        <v>2733</v>
      </c>
      <c r="C3237" t="s">
        <v>22</v>
      </c>
      <c r="D3237" t="s">
        <v>23</v>
      </c>
      <c r="E3237" t="s">
        <v>28</v>
      </c>
    </row>
    <row r="3238" spans="1:27" x14ac:dyDescent="0.3">
      <c r="A3238" t="s">
        <v>3325</v>
      </c>
      <c r="B3238" t="s">
        <v>2733</v>
      </c>
      <c r="C3238" t="s">
        <v>2748</v>
      </c>
      <c r="D3238">
        <v>1.5</v>
      </c>
      <c r="H3238" t="s">
        <v>312</v>
      </c>
      <c r="I3238" t="s">
        <v>385</v>
      </c>
    </row>
    <row r="3239" spans="1:27" x14ac:dyDescent="0.3">
      <c r="A3239" t="s">
        <v>3325</v>
      </c>
      <c r="B3239" t="s">
        <v>2733</v>
      </c>
      <c r="C3239" t="s">
        <v>378</v>
      </c>
      <c r="D3239">
        <v>110</v>
      </c>
      <c r="H3239" t="s">
        <v>312</v>
      </c>
      <c r="I3239" t="s">
        <v>327</v>
      </c>
    </row>
    <row r="3240" spans="1:27" x14ac:dyDescent="0.3">
      <c r="A3240" t="s">
        <v>3325</v>
      </c>
      <c r="B3240" t="s">
        <v>2733</v>
      </c>
      <c r="C3240" t="s">
        <v>380</v>
      </c>
      <c r="D3240" t="s">
        <v>554</v>
      </c>
      <c r="E3240" t="s">
        <v>279</v>
      </c>
      <c r="F3240" t="s">
        <v>25</v>
      </c>
      <c r="G3240" t="s">
        <v>3334</v>
      </c>
      <c r="J3240" t="s">
        <v>2089</v>
      </c>
      <c r="K3240" t="s">
        <v>2750</v>
      </c>
      <c r="N3240" t="s">
        <v>2751</v>
      </c>
      <c r="O3240">
        <v>1</v>
      </c>
      <c r="R3240" t="s">
        <v>2752</v>
      </c>
      <c r="S3240">
        <v>158</v>
      </c>
      <c r="V3240" t="s">
        <v>2753</v>
      </c>
      <c r="W3240" t="s">
        <v>2754</v>
      </c>
      <c r="Z3240" t="s">
        <v>2755</v>
      </c>
      <c r="AA3240" t="s">
        <v>2756</v>
      </c>
    </row>
    <row r="3241" spans="1:27" x14ac:dyDescent="0.3">
      <c r="A3241" t="s">
        <v>3325</v>
      </c>
      <c r="B3241" t="s">
        <v>2733</v>
      </c>
      <c r="C3241" t="s">
        <v>16</v>
      </c>
      <c r="D3241" t="s">
        <v>93</v>
      </c>
      <c r="E3241" t="s">
        <v>37</v>
      </c>
    </row>
    <row r="3242" spans="1:27" x14ac:dyDescent="0.3">
      <c r="A3242" t="s">
        <v>3325</v>
      </c>
      <c r="B3242" t="s">
        <v>2733</v>
      </c>
      <c r="C3242" t="s">
        <v>11</v>
      </c>
      <c r="D3242" t="s">
        <v>12</v>
      </c>
      <c r="E3242" t="s">
        <v>13</v>
      </c>
      <c r="H3242" t="s">
        <v>382</v>
      </c>
      <c r="I3242" t="s">
        <v>3335</v>
      </c>
      <c r="L3242" t="s">
        <v>14</v>
      </c>
      <c r="M3242" t="s">
        <v>3335</v>
      </c>
    </row>
    <row r="3243" spans="1:27" x14ac:dyDescent="0.3">
      <c r="A3243" t="s">
        <v>3328</v>
      </c>
      <c r="B3243" t="s">
        <v>527</v>
      </c>
      <c r="C3243" t="s">
        <v>11</v>
      </c>
      <c r="D3243" t="s">
        <v>12</v>
      </c>
      <c r="E3243" t="s">
        <v>391</v>
      </c>
      <c r="H3243" t="s">
        <v>392</v>
      </c>
      <c r="I3243" t="s">
        <v>2758</v>
      </c>
      <c r="L3243" t="s">
        <v>394</v>
      </c>
      <c r="M3243" t="s">
        <v>3335</v>
      </c>
    </row>
    <row r="3244" spans="1:27" x14ac:dyDescent="0.3">
      <c r="A3244" t="s">
        <v>3327</v>
      </c>
      <c r="B3244" t="s">
        <v>2738</v>
      </c>
      <c r="C3244" t="s">
        <v>11</v>
      </c>
      <c r="D3244" t="s">
        <v>12</v>
      </c>
      <c r="E3244" t="s">
        <v>391</v>
      </c>
      <c r="H3244" t="s">
        <v>392</v>
      </c>
      <c r="I3244" t="s">
        <v>3336</v>
      </c>
      <c r="L3244" t="s">
        <v>394</v>
      </c>
      <c r="M3244" t="s">
        <v>3335</v>
      </c>
    </row>
    <row r="3245" spans="1:27" x14ac:dyDescent="0.3">
      <c r="A3245" t="s">
        <v>3326</v>
      </c>
      <c r="B3245" t="s">
        <v>2735</v>
      </c>
      <c r="C3245" t="s">
        <v>308</v>
      </c>
      <c r="D3245" t="s">
        <v>3337</v>
      </c>
      <c r="E3245" t="s">
        <v>406</v>
      </c>
      <c r="H3245" t="s">
        <v>25</v>
      </c>
      <c r="I3245" t="s">
        <v>2761</v>
      </c>
      <c r="L3245" t="s">
        <v>312</v>
      </c>
      <c r="M3245" t="s">
        <v>404</v>
      </c>
    </row>
    <row r="3246" spans="1:27" x14ac:dyDescent="0.3">
      <c r="A3246" t="s">
        <v>3337</v>
      </c>
      <c r="B3246" t="s">
        <v>406</v>
      </c>
      <c r="C3246" t="s">
        <v>11</v>
      </c>
      <c r="D3246" t="s">
        <v>12</v>
      </c>
      <c r="E3246" t="s">
        <v>391</v>
      </c>
      <c r="H3246" t="s">
        <v>392</v>
      </c>
      <c r="I3246" t="s">
        <v>3338</v>
      </c>
      <c r="L3246" t="s">
        <v>394</v>
      </c>
      <c r="M3246" t="s">
        <v>3335</v>
      </c>
    </row>
    <row r="3247" spans="1:27" x14ac:dyDescent="0.3">
      <c r="A3247" t="s">
        <v>3330</v>
      </c>
      <c r="B3247" t="s">
        <v>1138</v>
      </c>
      <c r="C3247" t="s">
        <v>11</v>
      </c>
      <c r="D3247" t="s">
        <v>12</v>
      </c>
      <c r="E3247" t="s">
        <v>391</v>
      </c>
      <c r="H3247" t="s">
        <v>392</v>
      </c>
      <c r="I3247" t="s">
        <v>3339</v>
      </c>
      <c r="L3247" t="s">
        <v>394</v>
      </c>
      <c r="M3247" t="s">
        <v>3335</v>
      </c>
    </row>
    <row r="3248" spans="1:27" x14ac:dyDescent="0.3">
      <c r="A3248" t="s">
        <v>3333</v>
      </c>
      <c r="B3248" t="s">
        <v>341</v>
      </c>
      <c r="C3248" t="s">
        <v>11</v>
      </c>
      <c r="D3248" t="s">
        <v>12</v>
      </c>
      <c r="E3248" t="s">
        <v>391</v>
      </c>
      <c r="H3248" t="s">
        <v>392</v>
      </c>
      <c r="I3248" t="s">
        <v>3340</v>
      </c>
      <c r="L3248" t="s">
        <v>394</v>
      </c>
      <c r="M3248" t="s">
        <v>3335</v>
      </c>
    </row>
    <row r="3249" spans="1:27" x14ac:dyDescent="0.3">
      <c r="A3249" t="s">
        <v>3331</v>
      </c>
      <c r="B3249" t="s">
        <v>1134</v>
      </c>
      <c r="C3249" t="s">
        <v>11</v>
      </c>
      <c r="D3249" t="s">
        <v>12</v>
      </c>
      <c r="E3249" t="s">
        <v>391</v>
      </c>
      <c r="H3249" t="s">
        <v>392</v>
      </c>
      <c r="I3249" t="s">
        <v>3341</v>
      </c>
      <c r="L3249" t="s">
        <v>394</v>
      </c>
      <c r="M3249" t="s">
        <v>3335</v>
      </c>
    </row>
    <row r="3250" spans="1:27" x14ac:dyDescent="0.3">
      <c r="A3250" t="s">
        <v>3332</v>
      </c>
      <c r="B3250" t="s">
        <v>1138</v>
      </c>
      <c r="C3250" t="s">
        <v>11</v>
      </c>
      <c r="D3250" t="s">
        <v>12</v>
      </c>
      <c r="E3250" t="s">
        <v>391</v>
      </c>
      <c r="H3250" t="s">
        <v>392</v>
      </c>
      <c r="I3250" t="s">
        <v>3342</v>
      </c>
      <c r="L3250" t="s">
        <v>394</v>
      </c>
      <c r="M3250" t="s">
        <v>3335</v>
      </c>
    </row>
    <row r="3251" spans="1:27" x14ac:dyDescent="0.3">
      <c r="A3251" t="s">
        <v>3329</v>
      </c>
      <c r="B3251" t="s">
        <v>2077</v>
      </c>
      <c r="C3251" t="s">
        <v>11</v>
      </c>
      <c r="D3251" t="s">
        <v>12</v>
      </c>
      <c r="E3251" t="s">
        <v>391</v>
      </c>
      <c r="H3251" t="s">
        <v>392</v>
      </c>
      <c r="I3251" t="s">
        <v>2128</v>
      </c>
      <c r="L3251" t="s">
        <v>394</v>
      </c>
      <c r="M3251" t="s">
        <v>3335</v>
      </c>
    </row>
    <row r="3252" spans="1:27" x14ac:dyDescent="0.3">
      <c r="A3252" t="s">
        <v>3343</v>
      </c>
      <c r="B3252" t="s">
        <v>2733</v>
      </c>
      <c r="C3252" t="s">
        <v>280</v>
      </c>
      <c r="D3252" t="s">
        <v>3344</v>
      </c>
      <c r="E3252" t="s">
        <v>2735</v>
      </c>
      <c r="H3252" t="s">
        <v>25</v>
      </c>
      <c r="I3252" t="s">
        <v>2736</v>
      </c>
    </row>
    <row r="3253" spans="1:27" x14ac:dyDescent="0.3">
      <c r="A3253" t="s">
        <v>3343</v>
      </c>
      <c r="B3253" t="s">
        <v>2733</v>
      </c>
      <c r="C3253" t="s">
        <v>308</v>
      </c>
      <c r="D3253" t="s">
        <v>3345</v>
      </c>
      <c r="E3253" t="s">
        <v>2738</v>
      </c>
      <c r="H3253" t="s">
        <v>25</v>
      </c>
      <c r="I3253" t="s">
        <v>2739</v>
      </c>
      <c r="L3253" t="s">
        <v>312</v>
      </c>
      <c r="M3253" t="s">
        <v>327</v>
      </c>
    </row>
    <row r="3254" spans="1:27" x14ac:dyDescent="0.3">
      <c r="A3254" t="s">
        <v>3343</v>
      </c>
      <c r="B3254" t="s">
        <v>2733</v>
      </c>
      <c r="C3254" t="s">
        <v>308</v>
      </c>
      <c r="D3254" t="s">
        <v>3346</v>
      </c>
      <c r="E3254" t="s">
        <v>527</v>
      </c>
      <c r="H3254" t="s">
        <v>25</v>
      </c>
      <c r="I3254" t="s">
        <v>2741</v>
      </c>
      <c r="L3254" t="s">
        <v>312</v>
      </c>
      <c r="M3254" t="s">
        <v>343</v>
      </c>
    </row>
    <row r="3255" spans="1:27" x14ac:dyDescent="0.3">
      <c r="A3255" t="s">
        <v>3343</v>
      </c>
      <c r="B3255" t="s">
        <v>2733</v>
      </c>
      <c r="C3255" t="s">
        <v>308</v>
      </c>
      <c r="D3255" t="s">
        <v>3347</v>
      </c>
      <c r="E3255" t="s">
        <v>2077</v>
      </c>
      <c r="H3255" t="s">
        <v>25</v>
      </c>
      <c r="I3255" t="s">
        <v>2078</v>
      </c>
      <c r="L3255" t="s">
        <v>312</v>
      </c>
      <c r="M3255" t="s">
        <v>1687</v>
      </c>
    </row>
    <row r="3256" spans="1:27" x14ac:dyDescent="0.3">
      <c r="A3256" t="s">
        <v>3343</v>
      </c>
      <c r="B3256" t="s">
        <v>2733</v>
      </c>
      <c r="C3256" t="s">
        <v>308</v>
      </c>
      <c r="D3256" t="s">
        <v>3348</v>
      </c>
      <c r="E3256" t="s">
        <v>1138</v>
      </c>
      <c r="H3256" t="s">
        <v>25</v>
      </c>
      <c r="I3256" t="s">
        <v>2065</v>
      </c>
      <c r="L3256" t="s">
        <v>312</v>
      </c>
      <c r="M3256" t="s">
        <v>317</v>
      </c>
    </row>
    <row r="3257" spans="1:27" x14ac:dyDescent="0.3">
      <c r="A3257" t="s">
        <v>3343</v>
      </c>
      <c r="B3257" t="s">
        <v>2733</v>
      </c>
      <c r="C3257" t="s">
        <v>308</v>
      </c>
      <c r="D3257" t="s">
        <v>3349</v>
      </c>
      <c r="E3257" t="s">
        <v>1134</v>
      </c>
      <c r="H3257" t="s">
        <v>25</v>
      </c>
      <c r="I3257" t="s">
        <v>2069</v>
      </c>
      <c r="L3257" t="s">
        <v>312</v>
      </c>
      <c r="M3257" t="s">
        <v>317</v>
      </c>
    </row>
    <row r="3258" spans="1:27" x14ac:dyDescent="0.3">
      <c r="A3258" t="s">
        <v>3343</v>
      </c>
      <c r="B3258" t="s">
        <v>2733</v>
      </c>
      <c r="C3258" t="s">
        <v>308</v>
      </c>
      <c r="D3258" t="s">
        <v>3350</v>
      </c>
      <c r="E3258" t="s">
        <v>1138</v>
      </c>
      <c r="H3258" t="s">
        <v>25</v>
      </c>
      <c r="I3258" t="s">
        <v>2746</v>
      </c>
      <c r="L3258" t="s">
        <v>312</v>
      </c>
      <c r="M3258" t="s">
        <v>317</v>
      </c>
    </row>
    <row r="3259" spans="1:27" x14ac:dyDescent="0.3">
      <c r="A3259" t="s">
        <v>3343</v>
      </c>
      <c r="B3259" t="s">
        <v>2733</v>
      </c>
      <c r="C3259" t="s">
        <v>308</v>
      </c>
      <c r="D3259" t="s">
        <v>3351</v>
      </c>
      <c r="E3259" t="s">
        <v>341</v>
      </c>
      <c r="H3259" t="s">
        <v>25</v>
      </c>
      <c r="I3259" t="s">
        <v>342</v>
      </c>
      <c r="L3259" t="s">
        <v>312</v>
      </c>
      <c r="M3259" t="s">
        <v>343</v>
      </c>
    </row>
    <row r="3260" spans="1:27" x14ac:dyDescent="0.3">
      <c r="A3260" t="s">
        <v>3343</v>
      </c>
      <c r="B3260" t="s">
        <v>2733</v>
      </c>
      <c r="C3260" t="s">
        <v>22</v>
      </c>
      <c r="D3260" t="s">
        <v>23</v>
      </c>
      <c r="E3260" t="s">
        <v>28</v>
      </c>
    </row>
    <row r="3261" spans="1:27" x14ac:dyDescent="0.3">
      <c r="A3261" t="s">
        <v>3343</v>
      </c>
      <c r="B3261" t="s">
        <v>2733</v>
      </c>
      <c r="C3261" t="s">
        <v>2748</v>
      </c>
      <c r="D3261">
        <v>1.5</v>
      </c>
      <c r="H3261" t="s">
        <v>312</v>
      </c>
      <c r="I3261" t="s">
        <v>385</v>
      </c>
    </row>
    <row r="3262" spans="1:27" x14ac:dyDescent="0.3">
      <c r="A3262" t="s">
        <v>3343</v>
      </c>
      <c r="B3262" t="s">
        <v>2733</v>
      </c>
      <c r="C3262" t="s">
        <v>378</v>
      </c>
      <c r="D3262">
        <v>540</v>
      </c>
      <c r="H3262" t="s">
        <v>312</v>
      </c>
      <c r="I3262" t="s">
        <v>327</v>
      </c>
    </row>
    <row r="3263" spans="1:27" x14ac:dyDescent="0.3">
      <c r="A3263" t="s">
        <v>3343</v>
      </c>
      <c r="B3263" t="s">
        <v>2733</v>
      </c>
      <c r="C3263" t="s">
        <v>380</v>
      </c>
      <c r="D3263" t="s">
        <v>554</v>
      </c>
      <c r="E3263" t="s">
        <v>279</v>
      </c>
      <c r="F3263" t="s">
        <v>25</v>
      </c>
      <c r="G3263" t="s">
        <v>3352</v>
      </c>
      <c r="J3263" t="s">
        <v>2089</v>
      </c>
      <c r="K3263" t="s">
        <v>2750</v>
      </c>
      <c r="N3263" t="s">
        <v>2751</v>
      </c>
      <c r="O3263">
        <v>1</v>
      </c>
      <c r="R3263" t="s">
        <v>2752</v>
      </c>
      <c r="S3263">
        <v>158</v>
      </c>
      <c r="V3263" t="s">
        <v>2753</v>
      </c>
      <c r="W3263" t="s">
        <v>2754</v>
      </c>
      <c r="Z3263" t="s">
        <v>2755</v>
      </c>
      <c r="AA3263" t="s">
        <v>2756</v>
      </c>
    </row>
    <row r="3264" spans="1:27" x14ac:dyDescent="0.3">
      <c r="A3264" t="s">
        <v>3343</v>
      </c>
      <c r="B3264" t="s">
        <v>2733</v>
      </c>
      <c r="C3264" t="s">
        <v>16</v>
      </c>
      <c r="D3264" t="s">
        <v>43</v>
      </c>
      <c r="E3264" t="s">
        <v>37</v>
      </c>
    </row>
    <row r="3265" spans="1:13" x14ac:dyDescent="0.3">
      <c r="A3265" t="s">
        <v>3343</v>
      </c>
      <c r="B3265" t="s">
        <v>2733</v>
      </c>
      <c r="C3265" t="s">
        <v>11</v>
      </c>
      <c r="D3265" t="s">
        <v>12</v>
      </c>
      <c r="E3265" t="s">
        <v>13</v>
      </c>
      <c r="H3265" t="s">
        <v>382</v>
      </c>
      <c r="I3265" t="s">
        <v>3353</v>
      </c>
      <c r="L3265" t="s">
        <v>14</v>
      </c>
      <c r="M3265" t="s">
        <v>3353</v>
      </c>
    </row>
    <row r="3266" spans="1:13" x14ac:dyDescent="0.3">
      <c r="A3266" t="s">
        <v>3346</v>
      </c>
      <c r="B3266" t="s">
        <v>527</v>
      </c>
      <c r="C3266" t="s">
        <v>11</v>
      </c>
      <c r="D3266" t="s">
        <v>12</v>
      </c>
      <c r="E3266" t="s">
        <v>391</v>
      </c>
      <c r="H3266" t="s">
        <v>392</v>
      </c>
      <c r="I3266" t="s">
        <v>2758</v>
      </c>
      <c r="L3266" t="s">
        <v>394</v>
      </c>
      <c r="M3266" t="s">
        <v>3353</v>
      </c>
    </row>
    <row r="3267" spans="1:13" x14ac:dyDescent="0.3">
      <c r="A3267" t="s">
        <v>3345</v>
      </c>
      <c r="B3267" t="s">
        <v>2738</v>
      </c>
      <c r="C3267" t="s">
        <v>11</v>
      </c>
      <c r="D3267" t="s">
        <v>12</v>
      </c>
      <c r="E3267" t="s">
        <v>391</v>
      </c>
      <c r="H3267" t="s">
        <v>392</v>
      </c>
      <c r="I3267" t="s">
        <v>3354</v>
      </c>
      <c r="L3267" t="s">
        <v>394</v>
      </c>
      <c r="M3267" t="s">
        <v>3353</v>
      </c>
    </row>
    <row r="3268" spans="1:13" x14ac:dyDescent="0.3">
      <c r="A3268" t="s">
        <v>3344</v>
      </c>
      <c r="B3268" t="s">
        <v>2735</v>
      </c>
      <c r="C3268" t="s">
        <v>308</v>
      </c>
      <c r="D3268" t="s">
        <v>3355</v>
      </c>
      <c r="E3268" t="s">
        <v>406</v>
      </c>
      <c r="H3268" t="s">
        <v>25</v>
      </c>
      <c r="I3268" t="s">
        <v>2761</v>
      </c>
      <c r="L3268" t="s">
        <v>312</v>
      </c>
      <c r="M3268" t="s">
        <v>404</v>
      </c>
    </row>
    <row r="3269" spans="1:13" x14ac:dyDescent="0.3">
      <c r="A3269" t="s">
        <v>3355</v>
      </c>
      <c r="B3269" t="s">
        <v>406</v>
      </c>
      <c r="C3269" t="s">
        <v>11</v>
      </c>
      <c r="D3269" t="s">
        <v>12</v>
      </c>
      <c r="E3269" t="s">
        <v>391</v>
      </c>
      <c r="H3269" t="s">
        <v>392</v>
      </c>
      <c r="I3269" t="s">
        <v>3356</v>
      </c>
      <c r="L3269" t="s">
        <v>394</v>
      </c>
      <c r="M3269" t="s">
        <v>3353</v>
      </c>
    </row>
    <row r="3270" spans="1:13" x14ac:dyDescent="0.3">
      <c r="A3270" t="s">
        <v>3348</v>
      </c>
      <c r="B3270" t="s">
        <v>1138</v>
      </c>
      <c r="C3270" t="s">
        <v>11</v>
      </c>
      <c r="D3270" t="s">
        <v>12</v>
      </c>
      <c r="E3270" t="s">
        <v>391</v>
      </c>
      <c r="H3270" t="s">
        <v>392</v>
      </c>
      <c r="I3270" t="s">
        <v>3357</v>
      </c>
      <c r="L3270" t="s">
        <v>394</v>
      </c>
      <c r="M3270" t="s">
        <v>3353</v>
      </c>
    </row>
    <row r="3271" spans="1:13" x14ac:dyDescent="0.3">
      <c r="A3271" t="s">
        <v>3351</v>
      </c>
      <c r="B3271" t="s">
        <v>341</v>
      </c>
      <c r="C3271" t="s">
        <v>11</v>
      </c>
      <c r="D3271" t="s">
        <v>12</v>
      </c>
      <c r="E3271" t="s">
        <v>391</v>
      </c>
      <c r="H3271" t="s">
        <v>392</v>
      </c>
      <c r="I3271" t="s">
        <v>3358</v>
      </c>
      <c r="L3271" t="s">
        <v>394</v>
      </c>
      <c r="M3271" t="s">
        <v>3353</v>
      </c>
    </row>
    <row r="3272" spans="1:13" x14ac:dyDescent="0.3">
      <c r="A3272" t="s">
        <v>3349</v>
      </c>
      <c r="B3272" t="s">
        <v>1134</v>
      </c>
      <c r="C3272" t="s">
        <v>11</v>
      </c>
      <c r="D3272" t="s">
        <v>12</v>
      </c>
      <c r="E3272" t="s">
        <v>391</v>
      </c>
      <c r="H3272" t="s">
        <v>392</v>
      </c>
      <c r="I3272" t="s">
        <v>3359</v>
      </c>
      <c r="L3272" t="s">
        <v>394</v>
      </c>
      <c r="M3272" t="s">
        <v>3353</v>
      </c>
    </row>
    <row r="3273" spans="1:13" x14ac:dyDescent="0.3">
      <c r="A3273" t="s">
        <v>3350</v>
      </c>
      <c r="B3273" t="s">
        <v>1138</v>
      </c>
      <c r="C3273" t="s">
        <v>11</v>
      </c>
      <c r="D3273" t="s">
        <v>12</v>
      </c>
      <c r="E3273" t="s">
        <v>391</v>
      </c>
      <c r="H3273" t="s">
        <v>392</v>
      </c>
      <c r="I3273" t="s">
        <v>3360</v>
      </c>
      <c r="L3273" t="s">
        <v>394</v>
      </c>
      <c r="M3273" t="s">
        <v>3353</v>
      </c>
    </row>
    <row r="3274" spans="1:13" x14ac:dyDescent="0.3">
      <c r="A3274" t="s">
        <v>3347</v>
      </c>
      <c r="B3274" t="s">
        <v>2077</v>
      </c>
      <c r="C3274" t="s">
        <v>11</v>
      </c>
      <c r="D3274" t="s">
        <v>12</v>
      </c>
      <c r="E3274" t="s">
        <v>391</v>
      </c>
      <c r="H3274" t="s">
        <v>392</v>
      </c>
      <c r="I3274" t="s">
        <v>2128</v>
      </c>
      <c r="L3274" t="s">
        <v>394</v>
      </c>
      <c r="M3274" t="s">
        <v>3353</v>
      </c>
    </row>
    <row r="3275" spans="1:13" x14ac:dyDescent="0.3">
      <c r="A3275" t="s">
        <v>3361</v>
      </c>
      <c r="B3275" t="s">
        <v>2733</v>
      </c>
      <c r="C3275" t="s">
        <v>280</v>
      </c>
      <c r="D3275" t="s">
        <v>3362</v>
      </c>
      <c r="E3275" t="s">
        <v>2735</v>
      </c>
      <c r="H3275" t="s">
        <v>25</v>
      </c>
      <c r="I3275" t="s">
        <v>2736</v>
      </c>
    </row>
    <row r="3276" spans="1:13" x14ac:dyDescent="0.3">
      <c r="A3276" t="s">
        <v>3361</v>
      </c>
      <c r="B3276" t="s">
        <v>2733</v>
      </c>
      <c r="C3276" t="s">
        <v>308</v>
      </c>
      <c r="D3276" t="s">
        <v>3363</v>
      </c>
      <c r="E3276" t="s">
        <v>2738</v>
      </c>
      <c r="H3276" t="s">
        <v>25</v>
      </c>
      <c r="I3276" t="s">
        <v>2739</v>
      </c>
      <c r="L3276" t="s">
        <v>312</v>
      </c>
      <c r="M3276" t="s">
        <v>327</v>
      </c>
    </row>
    <row r="3277" spans="1:13" x14ac:dyDescent="0.3">
      <c r="A3277" t="s">
        <v>3361</v>
      </c>
      <c r="B3277" t="s">
        <v>2733</v>
      </c>
      <c r="C3277" t="s">
        <v>308</v>
      </c>
      <c r="D3277" t="s">
        <v>3364</v>
      </c>
      <c r="E3277" t="s">
        <v>527</v>
      </c>
      <c r="H3277" t="s">
        <v>25</v>
      </c>
      <c r="I3277" t="s">
        <v>2741</v>
      </c>
      <c r="L3277" t="s">
        <v>312</v>
      </c>
      <c r="M3277" t="s">
        <v>343</v>
      </c>
    </row>
    <row r="3278" spans="1:13" x14ac:dyDescent="0.3">
      <c r="A3278" t="s">
        <v>3361</v>
      </c>
      <c r="B3278" t="s">
        <v>2733</v>
      </c>
      <c r="C3278" t="s">
        <v>308</v>
      </c>
      <c r="D3278" t="s">
        <v>3365</v>
      </c>
      <c r="E3278" t="s">
        <v>2077</v>
      </c>
      <c r="H3278" t="s">
        <v>25</v>
      </c>
      <c r="I3278" t="s">
        <v>2078</v>
      </c>
      <c r="L3278" t="s">
        <v>312</v>
      </c>
      <c r="M3278" t="s">
        <v>1687</v>
      </c>
    </row>
    <row r="3279" spans="1:13" x14ac:dyDescent="0.3">
      <c r="A3279" t="s">
        <v>3361</v>
      </c>
      <c r="B3279" t="s">
        <v>2733</v>
      </c>
      <c r="C3279" t="s">
        <v>308</v>
      </c>
      <c r="D3279" t="s">
        <v>3366</v>
      </c>
      <c r="E3279" t="s">
        <v>1138</v>
      </c>
      <c r="H3279" t="s">
        <v>25</v>
      </c>
      <c r="I3279" t="s">
        <v>2065</v>
      </c>
      <c r="L3279" t="s">
        <v>312</v>
      </c>
      <c r="M3279" t="s">
        <v>317</v>
      </c>
    </row>
    <row r="3280" spans="1:13" x14ac:dyDescent="0.3">
      <c r="A3280" t="s">
        <v>3361</v>
      </c>
      <c r="B3280" t="s">
        <v>2733</v>
      </c>
      <c r="C3280" t="s">
        <v>308</v>
      </c>
      <c r="D3280" t="s">
        <v>3367</v>
      </c>
      <c r="E3280" t="s">
        <v>1134</v>
      </c>
      <c r="H3280" t="s">
        <v>25</v>
      </c>
      <c r="I3280" t="s">
        <v>2069</v>
      </c>
      <c r="L3280" t="s">
        <v>312</v>
      </c>
      <c r="M3280" t="s">
        <v>317</v>
      </c>
    </row>
    <row r="3281" spans="1:27" x14ac:dyDescent="0.3">
      <c r="A3281" t="s">
        <v>3361</v>
      </c>
      <c r="B3281" t="s">
        <v>2733</v>
      </c>
      <c r="C3281" t="s">
        <v>308</v>
      </c>
      <c r="D3281" t="s">
        <v>3368</v>
      </c>
      <c r="E3281" t="s">
        <v>1138</v>
      </c>
      <c r="H3281" t="s">
        <v>25</v>
      </c>
      <c r="I3281" t="s">
        <v>2746</v>
      </c>
      <c r="L3281" t="s">
        <v>312</v>
      </c>
      <c r="M3281" t="s">
        <v>317</v>
      </c>
    </row>
    <row r="3282" spans="1:27" x14ac:dyDescent="0.3">
      <c r="A3282" t="s">
        <v>3361</v>
      </c>
      <c r="B3282" t="s">
        <v>2733</v>
      </c>
      <c r="C3282" t="s">
        <v>308</v>
      </c>
      <c r="D3282" t="s">
        <v>3369</v>
      </c>
      <c r="E3282" t="s">
        <v>341</v>
      </c>
      <c r="H3282" t="s">
        <v>25</v>
      </c>
      <c r="I3282" t="s">
        <v>342</v>
      </c>
      <c r="L3282" t="s">
        <v>312</v>
      </c>
      <c r="M3282" t="s">
        <v>343</v>
      </c>
    </row>
    <row r="3283" spans="1:27" x14ac:dyDescent="0.3">
      <c r="A3283" t="s">
        <v>3361</v>
      </c>
      <c r="B3283" t="s">
        <v>2733</v>
      </c>
      <c r="C3283" t="s">
        <v>22</v>
      </c>
      <c r="D3283" t="s">
        <v>23</v>
      </c>
      <c r="E3283" t="s">
        <v>28</v>
      </c>
    </row>
    <row r="3284" spans="1:27" x14ac:dyDescent="0.3">
      <c r="A3284" t="s">
        <v>3361</v>
      </c>
      <c r="B3284" t="s">
        <v>2733</v>
      </c>
      <c r="C3284" t="s">
        <v>2748</v>
      </c>
      <c r="D3284">
        <v>1.5</v>
      </c>
      <c r="H3284" t="s">
        <v>312</v>
      </c>
      <c r="I3284" t="s">
        <v>385</v>
      </c>
    </row>
    <row r="3285" spans="1:27" x14ac:dyDescent="0.3">
      <c r="A3285" t="s">
        <v>3361</v>
      </c>
      <c r="B3285" t="s">
        <v>2733</v>
      </c>
      <c r="C3285" t="s">
        <v>378</v>
      </c>
      <c r="D3285">
        <v>60</v>
      </c>
      <c r="H3285" t="s">
        <v>312</v>
      </c>
      <c r="I3285" t="s">
        <v>327</v>
      </c>
    </row>
    <row r="3286" spans="1:27" x14ac:dyDescent="0.3">
      <c r="A3286" t="s">
        <v>3361</v>
      </c>
      <c r="B3286" t="s">
        <v>2733</v>
      </c>
      <c r="C3286" t="s">
        <v>380</v>
      </c>
      <c r="D3286" t="s">
        <v>554</v>
      </c>
      <c r="E3286" t="s">
        <v>279</v>
      </c>
      <c r="F3286" t="s">
        <v>25</v>
      </c>
      <c r="G3286" t="s">
        <v>3370</v>
      </c>
      <c r="J3286" t="s">
        <v>2089</v>
      </c>
      <c r="K3286" t="s">
        <v>2750</v>
      </c>
      <c r="N3286" t="s">
        <v>2751</v>
      </c>
      <c r="O3286">
        <v>2</v>
      </c>
      <c r="R3286" t="s">
        <v>2752</v>
      </c>
      <c r="S3286">
        <v>158</v>
      </c>
      <c r="V3286" t="s">
        <v>2753</v>
      </c>
      <c r="W3286" t="s">
        <v>2754</v>
      </c>
      <c r="Z3286" t="s">
        <v>2755</v>
      </c>
      <c r="AA3286" t="s">
        <v>2756</v>
      </c>
    </row>
    <row r="3287" spans="1:27" x14ac:dyDescent="0.3">
      <c r="A3287" t="s">
        <v>3361</v>
      </c>
      <c r="B3287" t="s">
        <v>2733</v>
      </c>
      <c r="C3287" t="s">
        <v>16</v>
      </c>
      <c r="D3287" t="s">
        <v>57</v>
      </c>
      <c r="E3287" t="s">
        <v>37</v>
      </c>
    </row>
    <row r="3288" spans="1:27" x14ac:dyDescent="0.3">
      <c r="A3288" t="s">
        <v>3361</v>
      </c>
      <c r="B3288" t="s">
        <v>2733</v>
      </c>
      <c r="C3288" t="s">
        <v>11</v>
      </c>
      <c r="D3288" t="s">
        <v>12</v>
      </c>
      <c r="E3288" t="s">
        <v>13</v>
      </c>
      <c r="H3288" t="s">
        <v>382</v>
      </c>
      <c r="I3288" t="s">
        <v>3371</v>
      </c>
      <c r="L3288" t="s">
        <v>14</v>
      </c>
      <c r="M3288" t="s">
        <v>3371</v>
      </c>
    </row>
    <row r="3289" spans="1:27" x14ac:dyDescent="0.3">
      <c r="A3289" t="s">
        <v>3364</v>
      </c>
      <c r="B3289" t="s">
        <v>527</v>
      </c>
      <c r="C3289" t="s">
        <v>11</v>
      </c>
      <c r="D3289" t="s">
        <v>12</v>
      </c>
      <c r="E3289" t="s">
        <v>391</v>
      </c>
      <c r="H3289" t="s">
        <v>392</v>
      </c>
      <c r="I3289" t="s">
        <v>2758</v>
      </c>
      <c r="L3289" t="s">
        <v>394</v>
      </c>
      <c r="M3289" t="s">
        <v>3371</v>
      </c>
    </row>
    <row r="3290" spans="1:27" x14ac:dyDescent="0.3">
      <c r="A3290" t="s">
        <v>3363</v>
      </c>
      <c r="B3290" t="s">
        <v>2738</v>
      </c>
      <c r="C3290" t="s">
        <v>11</v>
      </c>
      <c r="D3290" t="s">
        <v>12</v>
      </c>
      <c r="E3290" t="s">
        <v>391</v>
      </c>
      <c r="H3290" t="s">
        <v>392</v>
      </c>
      <c r="I3290" t="s">
        <v>3372</v>
      </c>
      <c r="L3290" t="s">
        <v>394</v>
      </c>
      <c r="M3290" t="s">
        <v>3371</v>
      </c>
    </row>
    <row r="3291" spans="1:27" x14ac:dyDescent="0.3">
      <c r="A3291" t="s">
        <v>3362</v>
      </c>
      <c r="B3291" t="s">
        <v>2735</v>
      </c>
      <c r="C3291" t="s">
        <v>308</v>
      </c>
      <c r="D3291" t="s">
        <v>3373</v>
      </c>
      <c r="E3291" t="s">
        <v>406</v>
      </c>
      <c r="H3291" t="s">
        <v>25</v>
      </c>
      <c r="I3291" t="s">
        <v>2761</v>
      </c>
      <c r="L3291" t="s">
        <v>312</v>
      </c>
      <c r="M3291" t="s">
        <v>404</v>
      </c>
    </row>
    <row r="3292" spans="1:27" x14ac:dyDescent="0.3">
      <c r="A3292" t="s">
        <v>3373</v>
      </c>
      <c r="B3292" t="s">
        <v>406</v>
      </c>
      <c r="C3292" t="s">
        <v>11</v>
      </c>
      <c r="D3292" t="s">
        <v>12</v>
      </c>
      <c r="E3292" t="s">
        <v>391</v>
      </c>
      <c r="H3292" t="s">
        <v>392</v>
      </c>
      <c r="I3292" t="s">
        <v>3374</v>
      </c>
      <c r="L3292" t="s">
        <v>394</v>
      </c>
      <c r="M3292" t="s">
        <v>3371</v>
      </c>
    </row>
    <row r="3293" spans="1:27" x14ac:dyDescent="0.3">
      <c r="A3293" t="s">
        <v>3366</v>
      </c>
      <c r="B3293" t="s">
        <v>1138</v>
      </c>
      <c r="C3293" t="s">
        <v>11</v>
      </c>
      <c r="D3293" t="s">
        <v>12</v>
      </c>
      <c r="E3293" t="s">
        <v>391</v>
      </c>
      <c r="H3293" t="s">
        <v>392</v>
      </c>
      <c r="I3293" t="s">
        <v>3375</v>
      </c>
      <c r="L3293" t="s">
        <v>394</v>
      </c>
      <c r="M3293" t="s">
        <v>3371</v>
      </c>
    </row>
    <row r="3294" spans="1:27" x14ac:dyDescent="0.3">
      <c r="A3294" t="s">
        <v>3369</v>
      </c>
      <c r="B3294" t="s">
        <v>341</v>
      </c>
      <c r="C3294" t="s">
        <v>11</v>
      </c>
      <c r="D3294" t="s">
        <v>12</v>
      </c>
      <c r="E3294" t="s">
        <v>391</v>
      </c>
      <c r="H3294" t="s">
        <v>392</v>
      </c>
      <c r="I3294" t="s">
        <v>3376</v>
      </c>
      <c r="L3294" t="s">
        <v>394</v>
      </c>
      <c r="M3294" t="s">
        <v>3371</v>
      </c>
    </row>
    <row r="3295" spans="1:27" x14ac:dyDescent="0.3">
      <c r="A3295" t="s">
        <v>3367</v>
      </c>
      <c r="B3295" t="s">
        <v>1134</v>
      </c>
      <c r="C3295" t="s">
        <v>11</v>
      </c>
      <c r="D3295" t="s">
        <v>12</v>
      </c>
      <c r="E3295" t="s">
        <v>391</v>
      </c>
      <c r="H3295" t="s">
        <v>392</v>
      </c>
      <c r="I3295" t="s">
        <v>3377</v>
      </c>
      <c r="L3295" t="s">
        <v>394</v>
      </c>
      <c r="M3295" t="s">
        <v>3371</v>
      </c>
    </row>
    <row r="3296" spans="1:27" x14ac:dyDescent="0.3">
      <c r="A3296" t="s">
        <v>3368</v>
      </c>
      <c r="B3296" t="s">
        <v>1138</v>
      </c>
      <c r="C3296" t="s">
        <v>11</v>
      </c>
      <c r="D3296" t="s">
        <v>12</v>
      </c>
      <c r="E3296" t="s">
        <v>391</v>
      </c>
      <c r="H3296" t="s">
        <v>392</v>
      </c>
      <c r="I3296" t="s">
        <v>3378</v>
      </c>
      <c r="L3296" t="s">
        <v>394</v>
      </c>
      <c r="M3296" t="s">
        <v>3371</v>
      </c>
    </row>
    <row r="3297" spans="1:27" x14ac:dyDescent="0.3">
      <c r="A3297" t="s">
        <v>3365</v>
      </c>
      <c r="B3297" t="s">
        <v>2077</v>
      </c>
      <c r="C3297" t="s">
        <v>11</v>
      </c>
      <c r="D3297" t="s">
        <v>12</v>
      </c>
      <c r="E3297" t="s">
        <v>391</v>
      </c>
      <c r="H3297" t="s">
        <v>392</v>
      </c>
      <c r="I3297" t="s">
        <v>2128</v>
      </c>
      <c r="L3297" t="s">
        <v>394</v>
      </c>
      <c r="M3297" t="s">
        <v>3371</v>
      </c>
    </row>
    <row r="3298" spans="1:27" x14ac:dyDescent="0.3">
      <c r="A3298" t="s">
        <v>3379</v>
      </c>
      <c r="B3298" t="s">
        <v>2733</v>
      </c>
      <c r="C3298" t="s">
        <v>280</v>
      </c>
      <c r="D3298" t="s">
        <v>3380</v>
      </c>
      <c r="E3298" t="s">
        <v>2735</v>
      </c>
      <c r="H3298" t="s">
        <v>25</v>
      </c>
      <c r="I3298" t="s">
        <v>2736</v>
      </c>
    </row>
    <row r="3299" spans="1:27" x14ac:dyDescent="0.3">
      <c r="A3299" t="s">
        <v>3379</v>
      </c>
      <c r="B3299" t="s">
        <v>2733</v>
      </c>
      <c r="C3299" t="s">
        <v>308</v>
      </c>
      <c r="D3299" t="s">
        <v>3381</v>
      </c>
      <c r="E3299" t="s">
        <v>2738</v>
      </c>
      <c r="H3299" t="s">
        <v>25</v>
      </c>
      <c r="I3299" t="s">
        <v>2739</v>
      </c>
      <c r="L3299" t="s">
        <v>312</v>
      </c>
      <c r="M3299" t="s">
        <v>327</v>
      </c>
    </row>
    <row r="3300" spans="1:27" x14ac:dyDescent="0.3">
      <c r="A3300" t="s">
        <v>3379</v>
      </c>
      <c r="B3300" t="s">
        <v>2733</v>
      </c>
      <c r="C3300" t="s">
        <v>308</v>
      </c>
      <c r="D3300" t="s">
        <v>3382</v>
      </c>
      <c r="E3300" t="s">
        <v>527</v>
      </c>
      <c r="H3300" t="s">
        <v>25</v>
      </c>
      <c r="I3300" t="s">
        <v>2741</v>
      </c>
      <c r="L3300" t="s">
        <v>312</v>
      </c>
      <c r="M3300" t="s">
        <v>343</v>
      </c>
    </row>
    <row r="3301" spans="1:27" x14ac:dyDescent="0.3">
      <c r="A3301" t="s">
        <v>3379</v>
      </c>
      <c r="B3301" t="s">
        <v>2733</v>
      </c>
      <c r="C3301" t="s">
        <v>308</v>
      </c>
      <c r="D3301" t="s">
        <v>3383</v>
      </c>
      <c r="E3301" t="s">
        <v>2077</v>
      </c>
      <c r="H3301" t="s">
        <v>25</v>
      </c>
      <c r="I3301" t="s">
        <v>2078</v>
      </c>
      <c r="L3301" t="s">
        <v>312</v>
      </c>
      <c r="M3301" t="s">
        <v>1687</v>
      </c>
    </row>
    <row r="3302" spans="1:27" x14ac:dyDescent="0.3">
      <c r="A3302" t="s">
        <v>3379</v>
      </c>
      <c r="B3302" t="s">
        <v>2733</v>
      </c>
      <c r="C3302" t="s">
        <v>308</v>
      </c>
      <c r="D3302" t="s">
        <v>3384</v>
      </c>
      <c r="E3302" t="s">
        <v>1138</v>
      </c>
      <c r="H3302" t="s">
        <v>25</v>
      </c>
      <c r="I3302" t="s">
        <v>2065</v>
      </c>
      <c r="L3302" t="s">
        <v>312</v>
      </c>
      <c r="M3302" t="s">
        <v>317</v>
      </c>
    </row>
    <row r="3303" spans="1:27" x14ac:dyDescent="0.3">
      <c r="A3303" t="s">
        <v>3379</v>
      </c>
      <c r="B3303" t="s">
        <v>2733</v>
      </c>
      <c r="C3303" t="s">
        <v>308</v>
      </c>
      <c r="D3303" t="s">
        <v>3385</v>
      </c>
      <c r="E3303" t="s">
        <v>1134</v>
      </c>
      <c r="H3303" t="s">
        <v>25</v>
      </c>
      <c r="I3303" t="s">
        <v>2069</v>
      </c>
      <c r="L3303" t="s">
        <v>312</v>
      </c>
      <c r="M3303" t="s">
        <v>317</v>
      </c>
    </row>
    <row r="3304" spans="1:27" x14ac:dyDescent="0.3">
      <c r="A3304" t="s">
        <v>3379</v>
      </c>
      <c r="B3304" t="s">
        <v>2733</v>
      </c>
      <c r="C3304" t="s">
        <v>308</v>
      </c>
      <c r="D3304" t="s">
        <v>3386</v>
      </c>
      <c r="E3304" t="s">
        <v>1138</v>
      </c>
      <c r="H3304" t="s">
        <v>25</v>
      </c>
      <c r="I3304" t="s">
        <v>2746</v>
      </c>
      <c r="L3304" t="s">
        <v>312</v>
      </c>
      <c r="M3304" t="s">
        <v>317</v>
      </c>
    </row>
    <row r="3305" spans="1:27" x14ac:dyDescent="0.3">
      <c r="A3305" t="s">
        <v>3379</v>
      </c>
      <c r="B3305" t="s">
        <v>2733</v>
      </c>
      <c r="C3305" t="s">
        <v>308</v>
      </c>
      <c r="D3305" t="s">
        <v>3387</v>
      </c>
      <c r="E3305" t="s">
        <v>341</v>
      </c>
      <c r="H3305" t="s">
        <v>25</v>
      </c>
      <c r="I3305" t="s">
        <v>342</v>
      </c>
      <c r="L3305" t="s">
        <v>312</v>
      </c>
      <c r="M3305" t="s">
        <v>343</v>
      </c>
    </row>
    <row r="3306" spans="1:27" x14ac:dyDescent="0.3">
      <c r="A3306" t="s">
        <v>3379</v>
      </c>
      <c r="B3306" t="s">
        <v>2733</v>
      </c>
      <c r="C3306" t="s">
        <v>22</v>
      </c>
      <c r="D3306" t="s">
        <v>23</v>
      </c>
      <c r="E3306" t="s">
        <v>28</v>
      </c>
    </row>
    <row r="3307" spans="1:27" x14ac:dyDescent="0.3">
      <c r="A3307" t="s">
        <v>3379</v>
      </c>
      <c r="B3307" t="s">
        <v>2733</v>
      </c>
      <c r="C3307" t="s">
        <v>2748</v>
      </c>
      <c r="D3307">
        <v>1.5</v>
      </c>
      <c r="H3307" t="s">
        <v>312</v>
      </c>
      <c r="I3307" t="s">
        <v>385</v>
      </c>
    </row>
    <row r="3308" spans="1:27" x14ac:dyDescent="0.3">
      <c r="A3308" t="s">
        <v>3379</v>
      </c>
      <c r="B3308" t="s">
        <v>2733</v>
      </c>
      <c r="C3308" t="s">
        <v>378</v>
      </c>
      <c r="D3308" s="3">
        <v>125</v>
      </c>
      <c r="H3308" t="s">
        <v>312</v>
      </c>
      <c r="I3308" t="s">
        <v>327</v>
      </c>
    </row>
    <row r="3309" spans="1:27" x14ac:dyDescent="0.3">
      <c r="A3309" t="s">
        <v>3379</v>
      </c>
      <c r="B3309" t="s">
        <v>2733</v>
      </c>
      <c r="C3309" t="s">
        <v>380</v>
      </c>
      <c r="D3309" t="s">
        <v>554</v>
      </c>
      <c r="E3309" t="s">
        <v>279</v>
      </c>
      <c r="F3309" t="s">
        <v>25</v>
      </c>
      <c r="G3309" t="s">
        <v>3388</v>
      </c>
      <c r="J3309" t="s">
        <v>2089</v>
      </c>
      <c r="K3309" t="s">
        <v>2750</v>
      </c>
      <c r="N3309" t="s">
        <v>2751</v>
      </c>
      <c r="O3309">
        <v>1</v>
      </c>
      <c r="R3309" t="s">
        <v>2752</v>
      </c>
      <c r="S3309">
        <v>158</v>
      </c>
      <c r="V3309" t="s">
        <v>2753</v>
      </c>
      <c r="W3309" t="s">
        <v>2754</v>
      </c>
      <c r="Z3309" t="s">
        <v>2755</v>
      </c>
      <c r="AA3309" t="s">
        <v>2756</v>
      </c>
    </row>
    <row r="3310" spans="1:27" x14ac:dyDescent="0.3">
      <c r="A3310" t="s">
        <v>3379</v>
      </c>
      <c r="B3310" t="s">
        <v>2733</v>
      </c>
      <c r="C3310" t="s">
        <v>16</v>
      </c>
      <c r="D3310" t="s">
        <v>81</v>
      </c>
      <c r="E3310" t="s">
        <v>37</v>
      </c>
    </row>
    <row r="3311" spans="1:27" x14ac:dyDescent="0.3">
      <c r="A3311" t="s">
        <v>3379</v>
      </c>
      <c r="B3311" t="s">
        <v>2733</v>
      </c>
      <c r="C3311" t="s">
        <v>11</v>
      </c>
      <c r="D3311" t="s">
        <v>12</v>
      </c>
      <c r="E3311" t="s">
        <v>13</v>
      </c>
      <c r="H3311" t="s">
        <v>382</v>
      </c>
      <c r="I3311" t="s">
        <v>3389</v>
      </c>
      <c r="L3311" t="s">
        <v>14</v>
      </c>
      <c r="M3311" t="s">
        <v>3389</v>
      </c>
    </row>
    <row r="3312" spans="1:27" x14ac:dyDescent="0.3">
      <c r="A3312" t="s">
        <v>3382</v>
      </c>
      <c r="B3312" t="s">
        <v>527</v>
      </c>
      <c r="C3312" t="s">
        <v>11</v>
      </c>
      <c r="D3312" t="s">
        <v>12</v>
      </c>
      <c r="E3312" t="s">
        <v>391</v>
      </c>
      <c r="H3312" t="s">
        <v>392</v>
      </c>
      <c r="I3312" t="s">
        <v>2758</v>
      </c>
      <c r="L3312" t="s">
        <v>394</v>
      </c>
      <c r="M3312" t="s">
        <v>3389</v>
      </c>
    </row>
    <row r="3313" spans="1:13" x14ac:dyDescent="0.3">
      <c r="A3313" t="s">
        <v>3381</v>
      </c>
      <c r="B3313" t="s">
        <v>2738</v>
      </c>
      <c r="C3313" t="s">
        <v>11</v>
      </c>
      <c r="D3313" t="s">
        <v>12</v>
      </c>
      <c r="E3313" t="s">
        <v>391</v>
      </c>
      <c r="H3313" t="s">
        <v>392</v>
      </c>
      <c r="I3313" t="s">
        <v>3390</v>
      </c>
      <c r="L3313" t="s">
        <v>394</v>
      </c>
      <c r="M3313" t="s">
        <v>3389</v>
      </c>
    </row>
    <row r="3314" spans="1:13" x14ac:dyDescent="0.3">
      <c r="A3314" t="s">
        <v>3380</v>
      </c>
      <c r="B3314" t="s">
        <v>2735</v>
      </c>
      <c r="C3314" t="s">
        <v>308</v>
      </c>
      <c r="D3314" t="s">
        <v>3391</v>
      </c>
      <c r="E3314" t="s">
        <v>406</v>
      </c>
      <c r="H3314" t="s">
        <v>25</v>
      </c>
      <c r="I3314" t="s">
        <v>2761</v>
      </c>
      <c r="L3314" t="s">
        <v>312</v>
      </c>
      <c r="M3314" t="s">
        <v>404</v>
      </c>
    </row>
    <row r="3315" spans="1:13" x14ac:dyDescent="0.3">
      <c r="A3315" t="s">
        <v>3391</v>
      </c>
      <c r="B3315" t="s">
        <v>406</v>
      </c>
      <c r="C3315" t="s">
        <v>11</v>
      </c>
      <c r="D3315" t="s">
        <v>12</v>
      </c>
      <c r="E3315" t="s">
        <v>391</v>
      </c>
      <c r="H3315" t="s">
        <v>392</v>
      </c>
      <c r="I3315" t="s">
        <v>3392</v>
      </c>
      <c r="L3315" t="s">
        <v>394</v>
      </c>
      <c r="M3315" t="s">
        <v>3389</v>
      </c>
    </row>
    <row r="3316" spans="1:13" x14ac:dyDescent="0.3">
      <c r="A3316" t="s">
        <v>3384</v>
      </c>
      <c r="B3316" t="s">
        <v>1138</v>
      </c>
      <c r="C3316" t="s">
        <v>11</v>
      </c>
      <c r="D3316" t="s">
        <v>12</v>
      </c>
      <c r="E3316" t="s">
        <v>391</v>
      </c>
      <c r="H3316" t="s">
        <v>392</v>
      </c>
      <c r="I3316" t="s">
        <v>3393</v>
      </c>
      <c r="L3316" t="s">
        <v>394</v>
      </c>
      <c r="M3316" t="s">
        <v>3389</v>
      </c>
    </row>
    <row r="3317" spans="1:13" x14ac:dyDescent="0.3">
      <c r="A3317" t="s">
        <v>3387</v>
      </c>
      <c r="B3317" t="s">
        <v>341</v>
      </c>
      <c r="C3317" t="s">
        <v>11</v>
      </c>
      <c r="D3317" t="s">
        <v>12</v>
      </c>
      <c r="E3317" t="s">
        <v>391</v>
      </c>
      <c r="H3317" t="s">
        <v>392</v>
      </c>
      <c r="I3317" t="s">
        <v>3394</v>
      </c>
      <c r="L3317" t="s">
        <v>394</v>
      </c>
      <c r="M3317" t="s">
        <v>3389</v>
      </c>
    </row>
    <row r="3318" spans="1:13" x14ac:dyDescent="0.3">
      <c r="A3318" t="s">
        <v>3385</v>
      </c>
      <c r="B3318" t="s">
        <v>1134</v>
      </c>
      <c r="C3318" t="s">
        <v>11</v>
      </c>
      <c r="D3318" t="s">
        <v>12</v>
      </c>
      <c r="E3318" t="s">
        <v>391</v>
      </c>
      <c r="H3318" t="s">
        <v>392</v>
      </c>
      <c r="I3318" t="s">
        <v>3395</v>
      </c>
      <c r="L3318" t="s">
        <v>394</v>
      </c>
      <c r="M3318" t="s">
        <v>3389</v>
      </c>
    </row>
    <row r="3319" spans="1:13" x14ac:dyDescent="0.3">
      <c r="A3319" t="s">
        <v>3386</v>
      </c>
      <c r="B3319" t="s">
        <v>1138</v>
      </c>
      <c r="C3319" t="s">
        <v>11</v>
      </c>
      <c r="D3319" t="s">
        <v>12</v>
      </c>
      <c r="E3319" t="s">
        <v>391</v>
      </c>
      <c r="H3319" t="s">
        <v>392</v>
      </c>
      <c r="I3319" t="s">
        <v>3396</v>
      </c>
      <c r="L3319" t="s">
        <v>394</v>
      </c>
      <c r="M3319" t="s">
        <v>3389</v>
      </c>
    </row>
    <row r="3320" spans="1:13" x14ac:dyDescent="0.3">
      <c r="A3320" t="s">
        <v>3383</v>
      </c>
      <c r="B3320" t="s">
        <v>2077</v>
      </c>
      <c r="C3320" t="s">
        <v>11</v>
      </c>
      <c r="D3320" t="s">
        <v>12</v>
      </c>
      <c r="E3320" t="s">
        <v>391</v>
      </c>
      <c r="H3320" t="s">
        <v>392</v>
      </c>
      <c r="I3320" t="s">
        <v>2128</v>
      </c>
      <c r="L3320" t="s">
        <v>394</v>
      </c>
      <c r="M3320" t="s">
        <v>3389</v>
      </c>
    </row>
    <row r="3321" spans="1:13" x14ac:dyDescent="0.3">
      <c r="A3321" t="s">
        <v>3397</v>
      </c>
      <c r="B3321" t="s">
        <v>2733</v>
      </c>
      <c r="C3321" t="s">
        <v>280</v>
      </c>
      <c r="D3321" t="s">
        <v>3398</v>
      </c>
      <c r="E3321" t="s">
        <v>2735</v>
      </c>
      <c r="H3321" t="s">
        <v>25</v>
      </c>
      <c r="I3321" t="s">
        <v>2736</v>
      </c>
    </row>
    <row r="3322" spans="1:13" x14ac:dyDescent="0.3">
      <c r="A3322" t="s">
        <v>3397</v>
      </c>
      <c r="B3322" t="s">
        <v>2733</v>
      </c>
      <c r="C3322" t="s">
        <v>308</v>
      </c>
      <c r="D3322" t="s">
        <v>3399</v>
      </c>
      <c r="E3322" t="s">
        <v>2738</v>
      </c>
      <c r="H3322" t="s">
        <v>25</v>
      </c>
      <c r="I3322" t="s">
        <v>2739</v>
      </c>
      <c r="L3322" t="s">
        <v>312</v>
      </c>
      <c r="M3322" t="s">
        <v>327</v>
      </c>
    </row>
    <row r="3323" spans="1:13" x14ac:dyDescent="0.3">
      <c r="A3323" t="s">
        <v>3397</v>
      </c>
      <c r="B3323" t="s">
        <v>2733</v>
      </c>
      <c r="C3323" t="s">
        <v>308</v>
      </c>
      <c r="D3323" t="s">
        <v>3400</v>
      </c>
      <c r="E3323" t="s">
        <v>527</v>
      </c>
      <c r="H3323" t="s">
        <v>25</v>
      </c>
      <c r="I3323" t="s">
        <v>2741</v>
      </c>
      <c r="L3323" t="s">
        <v>312</v>
      </c>
      <c r="M3323" t="s">
        <v>343</v>
      </c>
    </row>
    <row r="3324" spans="1:13" x14ac:dyDescent="0.3">
      <c r="A3324" t="s">
        <v>3397</v>
      </c>
      <c r="B3324" t="s">
        <v>2733</v>
      </c>
      <c r="C3324" t="s">
        <v>308</v>
      </c>
      <c r="D3324" t="s">
        <v>3401</v>
      </c>
      <c r="E3324" t="s">
        <v>2077</v>
      </c>
      <c r="H3324" t="s">
        <v>25</v>
      </c>
      <c r="I3324" t="s">
        <v>2078</v>
      </c>
      <c r="L3324" t="s">
        <v>312</v>
      </c>
      <c r="M3324" t="s">
        <v>1687</v>
      </c>
    </row>
    <row r="3325" spans="1:13" x14ac:dyDescent="0.3">
      <c r="A3325" t="s">
        <v>3397</v>
      </c>
      <c r="B3325" t="s">
        <v>2733</v>
      </c>
      <c r="C3325" t="s">
        <v>308</v>
      </c>
      <c r="D3325" t="s">
        <v>3402</v>
      </c>
      <c r="E3325" t="s">
        <v>1138</v>
      </c>
      <c r="H3325" t="s">
        <v>25</v>
      </c>
      <c r="I3325" t="s">
        <v>2065</v>
      </c>
      <c r="L3325" t="s">
        <v>312</v>
      </c>
      <c r="M3325" t="s">
        <v>317</v>
      </c>
    </row>
    <row r="3326" spans="1:13" x14ac:dyDescent="0.3">
      <c r="A3326" t="s">
        <v>3397</v>
      </c>
      <c r="B3326" t="s">
        <v>2733</v>
      </c>
      <c r="C3326" t="s">
        <v>308</v>
      </c>
      <c r="D3326" t="s">
        <v>3403</v>
      </c>
      <c r="E3326" t="s">
        <v>1134</v>
      </c>
      <c r="H3326" t="s">
        <v>25</v>
      </c>
      <c r="I3326" t="s">
        <v>2069</v>
      </c>
      <c r="L3326" t="s">
        <v>312</v>
      </c>
      <c r="M3326" t="s">
        <v>317</v>
      </c>
    </row>
    <row r="3327" spans="1:13" x14ac:dyDescent="0.3">
      <c r="A3327" t="s">
        <v>3397</v>
      </c>
      <c r="B3327" t="s">
        <v>2733</v>
      </c>
      <c r="C3327" t="s">
        <v>308</v>
      </c>
      <c r="D3327" t="s">
        <v>3404</v>
      </c>
      <c r="E3327" t="s">
        <v>1138</v>
      </c>
      <c r="H3327" t="s">
        <v>25</v>
      </c>
      <c r="I3327" t="s">
        <v>2746</v>
      </c>
      <c r="L3327" t="s">
        <v>312</v>
      </c>
      <c r="M3327" t="s">
        <v>317</v>
      </c>
    </row>
    <row r="3328" spans="1:13" x14ac:dyDescent="0.3">
      <c r="A3328" t="s">
        <v>3397</v>
      </c>
      <c r="B3328" t="s">
        <v>2733</v>
      </c>
      <c r="C3328" t="s">
        <v>308</v>
      </c>
      <c r="D3328" t="s">
        <v>3405</v>
      </c>
      <c r="E3328" t="s">
        <v>341</v>
      </c>
      <c r="H3328" t="s">
        <v>25</v>
      </c>
      <c r="I3328" t="s">
        <v>342</v>
      </c>
      <c r="L3328" t="s">
        <v>312</v>
      </c>
      <c r="M3328" t="s">
        <v>343</v>
      </c>
    </row>
    <row r="3329" spans="1:27" x14ac:dyDescent="0.3">
      <c r="A3329" t="s">
        <v>3397</v>
      </c>
      <c r="B3329" t="s">
        <v>2733</v>
      </c>
      <c r="C3329" t="s">
        <v>22</v>
      </c>
      <c r="D3329" t="s">
        <v>23</v>
      </c>
      <c r="E3329" t="s">
        <v>28</v>
      </c>
    </row>
    <row r="3330" spans="1:27" x14ac:dyDescent="0.3">
      <c r="A3330" t="s">
        <v>3397</v>
      </c>
      <c r="B3330" t="s">
        <v>2733</v>
      </c>
      <c r="C3330" t="s">
        <v>2748</v>
      </c>
      <c r="D3330">
        <v>1.5</v>
      </c>
      <c r="H3330" t="s">
        <v>312</v>
      </c>
      <c r="I3330" t="s">
        <v>385</v>
      </c>
    </row>
    <row r="3331" spans="1:27" x14ac:dyDescent="0.3">
      <c r="A3331" t="s">
        <v>3397</v>
      </c>
      <c r="B3331" t="s">
        <v>2733</v>
      </c>
      <c r="C3331" t="s">
        <v>378</v>
      </c>
      <c r="D3331">
        <v>25</v>
      </c>
      <c r="H3331" t="s">
        <v>312</v>
      </c>
      <c r="I3331" t="s">
        <v>327</v>
      </c>
    </row>
    <row r="3332" spans="1:27" x14ac:dyDescent="0.3">
      <c r="A3332" t="s">
        <v>3397</v>
      </c>
      <c r="B3332" t="s">
        <v>2733</v>
      </c>
      <c r="C3332" t="s">
        <v>380</v>
      </c>
      <c r="D3332" t="s">
        <v>554</v>
      </c>
      <c r="E3332" t="s">
        <v>279</v>
      </c>
      <c r="F3332" t="s">
        <v>25</v>
      </c>
      <c r="G3332" t="s">
        <v>3406</v>
      </c>
      <c r="J3332" t="s">
        <v>2089</v>
      </c>
      <c r="K3332" t="s">
        <v>2750</v>
      </c>
      <c r="N3332" t="s">
        <v>2751</v>
      </c>
      <c r="O3332">
        <v>1</v>
      </c>
      <c r="R3332" t="s">
        <v>2752</v>
      </c>
      <c r="S3332">
        <v>158</v>
      </c>
      <c r="V3332" t="s">
        <v>2753</v>
      </c>
      <c r="W3332" t="s">
        <v>2754</v>
      </c>
      <c r="Z3332" t="s">
        <v>2755</v>
      </c>
      <c r="AA3332" t="s">
        <v>2756</v>
      </c>
    </row>
    <row r="3333" spans="1:27" x14ac:dyDescent="0.3">
      <c r="A3333" t="s">
        <v>3397</v>
      </c>
      <c r="B3333" t="s">
        <v>2733</v>
      </c>
      <c r="C3333" t="s">
        <v>16</v>
      </c>
      <c r="D3333" t="s">
        <v>53</v>
      </c>
      <c r="E3333" t="s">
        <v>37</v>
      </c>
    </row>
    <row r="3334" spans="1:27" x14ac:dyDescent="0.3">
      <c r="A3334" t="s">
        <v>3397</v>
      </c>
      <c r="B3334" t="s">
        <v>2733</v>
      </c>
      <c r="C3334" t="s">
        <v>11</v>
      </c>
      <c r="D3334" t="s">
        <v>12</v>
      </c>
      <c r="E3334" t="s">
        <v>13</v>
      </c>
      <c r="H3334" t="s">
        <v>382</v>
      </c>
      <c r="I3334" t="s">
        <v>3407</v>
      </c>
      <c r="L3334" t="s">
        <v>14</v>
      </c>
      <c r="M3334" t="s">
        <v>3407</v>
      </c>
    </row>
    <row r="3335" spans="1:27" x14ac:dyDescent="0.3">
      <c r="A3335" t="s">
        <v>3400</v>
      </c>
      <c r="B3335" t="s">
        <v>527</v>
      </c>
      <c r="C3335" t="s">
        <v>11</v>
      </c>
      <c r="D3335" t="s">
        <v>12</v>
      </c>
      <c r="E3335" t="s">
        <v>391</v>
      </c>
      <c r="H3335" t="s">
        <v>392</v>
      </c>
      <c r="I3335" t="s">
        <v>2758</v>
      </c>
      <c r="L3335" t="s">
        <v>394</v>
      </c>
      <c r="M3335" t="s">
        <v>3407</v>
      </c>
    </row>
    <row r="3336" spans="1:27" x14ac:dyDescent="0.3">
      <c r="A3336" t="s">
        <v>3399</v>
      </c>
      <c r="B3336" t="s">
        <v>2738</v>
      </c>
      <c r="C3336" t="s">
        <v>11</v>
      </c>
      <c r="D3336" t="s">
        <v>12</v>
      </c>
      <c r="E3336" t="s">
        <v>391</v>
      </c>
      <c r="H3336" t="s">
        <v>392</v>
      </c>
      <c r="I3336" t="s">
        <v>3408</v>
      </c>
      <c r="L3336" t="s">
        <v>394</v>
      </c>
      <c r="M3336" t="s">
        <v>3407</v>
      </c>
    </row>
    <row r="3337" spans="1:27" x14ac:dyDescent="0.3">
      <c r="A3337" t="s">
        <v>3398</v>
      </c>
      <c r="B3337" t="s">
        <v>2735</v>
      </c>
      <c r="C3337" t="s">
        <v>308</v>
      </c>
      <c r="D3337" t="s">
        <v>3409</v>
      </c>
      <c r="E3337" t="s">
        <v>406</v>
      </c>
      <c r="H3337" t="s">
        <v>25</v>
      </c>
      <c r="I3337" t="s">
        <v>2761</v>
      </c>
      <c r="L3337" t="s">
        <v>312</v>
      </c>
      <c r="M3337" t="s">
        <v>404</v>
      </c>
    </row>
    <row r="3338" spans="1:27" x14ac:dyDescent="0.3">
      <c r="A3338" t="s">
        <v>3409</v>
      </c>
      <c r="B3338" t="s">
        <v>406</v>
      </c>
      <c r="C3338" t="s">
        <v>11</v>
      </c>
      <c r="D3338" t="s">
        <v>12</v>
      </c>
      <c r="E3338" t="s">
        <v>391</v>
      </c>
      <c r="H3338" t="s">
        <v>392</v>
      </c>
      <c r="I3338" t="s">
        <v>3410</v>
      </c>
      <c r="L3338" t="s">
        <v>394</v>
      </c>
      <c r="M3338" t="s">
        <v>3407</v>
      </c>
    </row>
    <row r="3339" spans="1:27" x14ac:dyDescent="0.3">
      <c r="A3339" t="s">
        <v>3402</v>
      </c>
      <c r="B3339" t="s">
        <v>1138</v>
      </c>
      <c r="C3339" t="s">
        <v>11</v>
      </c>
      <c r="D3339" t="s">
        <v>12</v>
      </c>
      <c r="E3339" t="s">
        <v>391</v>
      </c>
      <c r="H3339" t="s">
        <v>392</v>
      </c>
      <c r="I3339" t="s">
        <v>3411</v>
      </c>
      <c r="L3339" t="s">
        <v>394</v>
      </c>
      <c r="M3339" t="s">
        <v>3407</v>
      </c>
    </row>
    <row r="3340" spans="1:27" x14ac:dyDescent="0.3">
      <c r="A3340" t="s">
        <v>3405</v>
      </c>
      <c r="B3340" t="s">
        <v>341</v>
      </c>
      <c r="C3340" t="s">
        <v>11</v>
      </c>
      <c r="D3340" t="s">
        <v>12</v>
      </c>
      <c r="E3340" t="s">
        <v>391</v>
      </c>
      <c r="H3340" t="s">
        <v>392</v>
      </c>
      <c r="I3340" t="s">
        <v>3412</v>
      </c>
      <c r="L3340" t="s">
        <v>394</v>
      </c>
      <c r="M3340" t="s">
        <v>3407</v>
      </c>
    </row>
    <row r="3341" spans="1:27" x14ac:dyDescent="0.3">
      <c r="A3341" t="s">
        <v>3403</v>
      </c>
      <c r="B3341" t="s">
        <v>1134</v>
      </c>
      <c r="C3341" t="s">
        <v>11</v>
      </c>
      <c r="D3341" t="s">
        <v>12</v>
      </c>
      <c r="E3341" t="s">
        <v>391</v>
      </c>
      <c r="H3341" t="s">
        <v>392</v>
      </c>
      <c r="I3341" t="s">
        <v>3413</v>
      </c>
      <c r="L3341" t="s">
        <v>394</v>
      </c>
      <c r="M3341" t="s">
        <v>3407</v>
      </c>
    </row>
    <row r="3342" spans="1:27" x14ac:dyDescent="0.3">
      <c r="A3342" t="s">
        <v>3404</v>
      </c>
      <c r="B3342" t="s">
        <v>1138</v>
      </c>
      <c r="C3342" t="s">
        <v>11</v>
      </c>
      <c r="D3342" t="s">
        <v>12</v>
      </c>
      <c r="E3342" t="s">
        <v>391</v>
      </c>
      <c r="H3342" t="s">
        <v>392</v>
      </c>
      <c r="I3342" t="s">
        <v>3414</v>
      </c>
      <c r="L3342" t="s">
        <v>394</v>
      </c>
      <c r="M3342" t="s">
        <v>3407</v>
      </c>
    </row>
    <row r="3343" spans="1:27" x14ac:dyDescent="0.3">
      <c r="A3343" t="s">
        <v>3401</v>
      </c>
      <c r="B3343" t="s">
        <v>2077</v>
      </c>
      <c r="C3343" t="s">
        <v>11</v>
      </c>
      <c r="D3343" t="s">
        <v>12</v>
      </c>
      <c r="E3343" t="s">
        <v>391</v>
      </c>
      <c r="H3343" t="s">
        <v>392</v>
      </c>
      <c r="I3343" t="s">
        <v>2128</v>
      </c>
      <c r="L3343" t="s">
        <v>394</v>
      </c>
      <c r="M3343" t="s">
        <v>3407</v>
      </c>
    </row>
    <row r="3344" spans="1:27" x14ac:dyDescent="0.3">
      <c r="A3344" t="s">
        <v>3415</v>
      </c>
      <c r="B3344" t="s">
        <v>2733</v>
      </c>
      <c r="C3344" t="s">
        <v>280</v>
      </c>
      <c r="D3344" t="s">
        <v>3416</v>
      </c>
      <c r="E3344" t="s">
        <v>2735</v>
      </c>
      <c r="H3344" t="s">
        <v>25</v>
      </c>
      <c r="I3344" t="s">
        <v>2736</v>
      </c>
    </row>
    <row r="3345" spans="1:27" x14ac:dyDescent="0.3">
      <c r="A3345" t="s">
        <v>3415</v>
      </c>
      <c r="B3345" t="s">
        <v>2733</v>
      </c>
      <c r="C3345" t="s">
        <v>308</v>
      </c>
      <c r="D3345" t="s">
        <v>3417</v>
      </c>
      <c r="E3345" t="s">
        <v>2738</v>
      </c>
      <c r="H3345" t="s">
        <v>25</v>
      </c>
      <c r="I3345" t="s">
        <v>2739</v>
      </c>
      <c r="L3345" t="s">
        <v>312</v>
      </c>
      <c r="M3345" t="s">
        <v>327</v>
      </c>
    </row>
    <row r="3346" spans="1:27" x14ac:dyDescent="0.3">
      <c r="A3346" t="s">
        <v>3415</v>
      </c>
      <c r="B3346" t="s">
        <v>2733</v>
      </c>
      <c r="C3346" t="s">
        <v>308</v>
      </c>
      <c r="D3346" t="s">
        <v>3418</v>
      </c>
      <c r="E3346" t="s">
        <v>527</v>
      </c>
      <c r="H3346" t="s">
        <v>25</v>
      </c>
      <c r="I3346" t="s">
        <v>2741</v>
      </c>
      <c r="L3346" t="s">
        <v>312</v>
      </c>
      <c r="M3346" t="s">
        <v>343</v>
      </c>
    </row>
    <row r="3347" spans="1:27" x14ac:dyDescent="0.3">
      <c r="A3347" t="s">
        <v>3415</v>
      </c>
      <c r="B3347" t="s">
        <v>2733</v>
      </c>
      <c r="C3347" t="s">
        <v>308</v>
      </c>
      <c r="D3347" t="s">
        <v>3419</v>
      </c>
      <c r="E3347" t="s">
        <v>2077</v>
      </c>
      <c r="H3347" t="s">
        <v>25</v>
      </c>
      <c r="I3347" t="s">
        <v>2078</v>
      </c>
      <c r="L3347" t="s">
        <v>312</v>
      </c>
      <c r="M3347" t="s">
        <v>1687</v>
      </c>
    </row>
    <row r="3348" spans="1:27" x14ac:dyDescent="0.3">
      <c r="A3348" t="s">
        <v>3415</v>
      </c>
      <c r="B3348" t="s">
        <v>2733</v>
      </c>
      <c r="C3348" t="s">
        <v>308</v>
      </c>
      <c r="D3348" t="s">
        <v>3420</v>
      </c>
      <c r="E3348" t="s">
        <v>1138</v>
      </c>
      <c r="H3348" t="s">
        <v>25</v>
      </c>
      <c r="I3348" t="s">
        <v>2065</v>
      </c>
      <c r="L3348" t="s">
        <v>312</v>
      </c>
      <c r="M3348" t="s">
        <v>317</v>
      </c>
    </row>
    <row r="3349" spans="1:27" x14ac:dyDescent="0.3">
      <c r="A3349" t="s">
        <v>3415</v>
      </c>
      <c r="B3349" t="s">
        <v>2733</v>
      </c>
      <c r="C3349" t="s">
        <v>308</v>
      </c>
      <c r="D3349" t="s">
        <v>3421</v>
      </c>
      <c r="E3349" t="s">
        <v>1134</v>
      </c>
      <c r="H3349" t="s">
        <v>25</v>
      </c>
      <c r="I3349" t="s">
        <v>2069</v>
      </c>
      <c r="L3349" t="s">
        <v>312</v>
      </c>
      <c r="M3349" t="s">
        <v>317</v>
      </c>
    </row>
    <row r="3350" spans="1:27" x14ac:dyDescent="0.3">
      <c r="A3350" t="s">
        <v>3415</v>
      </c>
      <c r="B3350" t="s">
        <v>2733</v>
      </c>
      <c r="C3350" t="s">
        <v>308</v>
      </c>
      <c r="D3350" t="s">
        <v>3422</v>
      </c>
      <c r="E3350" t="s">
        <v>1138</v>
      </c>
      <c r="H3350" t="s">
        <v>25</v>
      </c>
      <c r="I3350" t="s">
        <v>2746</v>
      </c>
      <c r="L3350" t="s">
        <v>312</v>
      </c>
      <c r="M3350" t="s">
        <v>317</v>
      </c>
    </row>
    <row r="3351" spans="1:27" x14ac:dyDescent="0.3">
      <c r="A3351" t="s">
        <v>3415</v>
      </c>
      <c r="B3351" t="s">
        <v>2733</v>
      </c>
      <c r="C3351" t="s">
        <v>308</v>
      </c>
      <c r="D3351" t="s">
        <v>3423</v>
      </c>
      <c r="E3351" t="s">
        <v>341</v>
      </c>
      <c r="H3351" t="s">
        <v>25</v>
      </c>
      <c r="I3351" t="s">
        <v>342</v>
      </c>
      <c r="L3351" t="s">
        <v>312</v>
      </c>
      <c r="M3351" t="s">
        <v>343</v>
      </c>
    </row>
    <row r="3352" spans="1:27" x14ac:dyDescent="0.3">
      <c r="A3352" t="s">
        <v>3415</v>
      </c>
      <c r="B3352" t="s">
        <v>2733</v>
      </c>
      <c r="C3352" t="s">
        <v>22</v>
      </c>
      <c r="D3352" t="s">
        <v>23</v>
      </c>
      <c r="E3352" t="s">
        <v>28</v>
      </c>
    </row>
    <row r="3353" spans="1:27" x14ac:dyDescent="0.3">
      <c r="A3353" t="s">
        <v>3415</v>
      </c>
      <c r="B3353" t="s">
        <v>2733</v>
      </c>
      <c r="C3353" t="s">
        <v>2748</v>
      </c>
      <c r="D3353">
        <v>1.5</v>
      </c>
      <c r="H3353" t="s">
        <v>312</v>
      </c>
      <c r="I3353" t="s">
        <v>385</v>
      </c>
    </row>
    <row r="3354" spans="1:27" x14ac:dyDescent="0.3">
      <c r="A3354" t="s">
        <v>3415</v>
      </c>
      <c r="B3354" t="s">
        <v>2733</v>
      </c>
      <c r="C3354" t="s">
        <v>378</v>
      </c>
      <c r="D3354" s="3">
        <v>330</v>
      </c>
      <c r="H3354" t="s">
        <v>312</v>
      </c>
      <c r="I3354" t="s">
        <v>327</v>
      </c>
    </row>
    <row r="3355" spans="1:27" x14ac:dyDescent="0.3">
      <c r="A3355" t="s">
        <v>3415</v>
      </c>
      <c r="B3355" t="s">
        <v>2733</v>
      </c>
      <c r="C3355" t="s">
        <v>380</v>
      </c>
      <c r="D3355" t="s">
        <v>554</v>
      </c>
      <c r="E3355" t="s">
        <v>279</v>
      </c>
      <c r="F3355" t="s">
        <v>25</v>
      </c>
      <c r="G3355" t="s">
        <v>3424</v>
      </c>
      <c r="J3355" t="s">
        <v>2089</v>
      </c>
      <c r="K3355" t="s">
        <v>2750</v>
      </c>
      <c r="N3355" t="s">
        <v>2751</v>
      </c>
      <c r="O3355">
        <v>1</v>
      </c>
      <c r="R3355" t="s">
        <v>2752</v>
      </c>
      <c r="S3355">
        <v>158</v>
      </c>
      <c r="V3355" t="s">
        <v>2753</v>
      </c>
      <c r="W3355" t="s">
        <v>2754</v>
      </c>
      <c r="Z3355" t="s">
        <v>2755</v>
      </c>
      <c r="AA3355" t="s">
        <v>2756</v>
      </c>
    </row>
    <row r="3356" spans="1:27" x14ac:dyDescent="0.3">
      <c r="A3356" t="s">
        <v>3415</v>
      </c>
      <c r="B3356" t="s">
        <v>2733</v>
      </c>
      <c r="C3356" t="s">
        <v>16</v>
      </c>
      <c r="D3356" t="s">
        <v>132</v>
      </c>
      <c r="E3356" t="s">
        <v>37</v>
      </c>
    </row>
    <row r="3357" spans="1:27" x14ac:dyDescent="0.3">
      <c r="A3357" t="s">
        <v>3415</v>
      </c>
      <c r="B3357" t="s">
        <v>2733</v>
      </c>
      <c r="C3357" t="s">
        <v>11</v>
      </c>
      <c r="D3357" t="s">
        <v>12</v>
      </c>
      <c r="E3357" t="s">
        <v>13</v>
      </c>
      <c r="H3357" t="s">
        <v>382</v>
      </c>
      <c r="I3357" t="s">
        <v>3425</v>
      </c>
      <c r="L3357" t="s">
        <v>14</v>
      </c>
      <c r="M3357" t="s">
        <v>3425</v>
      </c>
    </row>
    <row r="3358" spans="1:27" x14ac:dyDescent="0.3">
      <c r="A3358" t="s">
        <v>3418</v>
      </c>
      <c r="B3358" t="s">
        <v>527</v>
      </c>
      <c r="C3358" t="s">
        <v>11</v>
      </c>
      <c r="D3358" t="s">
        <v>12</v>
      </c>
      <c r="E3358" t="s">
        <v>391</v>
      </c>
      <c r="H3358" t="s">
        <v>392</v>
      </c>
      <c r="I3358" t="s">
        <v>2758</v>
      </c>
      <c r="L3358" t="s">
        <v>394</v>
      </c>
      <c r="M3358" t="s">
        <v>3425</v>
      </c>
    </row>
    <row r="3359" spans="1:27" x14ac:dyDescent="0.3">
      <c r="A3359" t="s">
        <v>3417</v>
      </c>
      <c r="B3359" t="s">
        <v>2738</v>
      </c>
      <c r="C3359" t="s">
        <v>11</v>
      </c>
      <c r="D3359" t="s">
        <v>12</v>
      </c>
      <c r="E3359" t="s">
        <v>391</v>
      </c>
      <c r="H3359" t="s">
        <v>392</v>
      </c>
      <c r="I3359" t="s">
        <v>3426</v>
      </c>
      <c r="L3359" t="s">
        <v>394</v>
      </c>
      <c r="M3359" t="s">
        <v>3425</v>
      </c>
    </row>
    <row r="3360" spans="1:27" x14ac:dyDescent="0.3">
      <c r="A3360" t="s">
        <v>3416</v>
      </c>
      <c r="B3360" t="s">
        <v>2735</v>
      </c>
      <c r="C3360" t="s">
        <v>308</v>
      </c>
      <c r="D3360" t="s">
        <v>3427</v>
      </c>
      <c r="E3360" t="s">
        <v>406</v>
      </c>
      <c r="H3360" t="s">
        <v>25</v>
      </c>
      <c r="I3360" t="s">
        <v>2761</v>
      </c>
      <c r="L3360" t="s">
        <v>312</v>
      </c>
      <c r="M3360" t="s">
        <v>404</v>
      </c>
    </row>
    <row r="3361" spans="1:13" x14ac:dyDescent="0.3">
      <c r="A3361" t="s">
        <v>3427</v>
      </c>
      <c r="B3361" t="s">
        <v>406</v>
      </c>
      <c r="C3361" t="s">
        <v>11</v>
      </c>
      <c r="D3361" t="s">
        <v>12</v>
      </c>
      <c r="E3361" t="s">
        <v>391</v>
      </c>
      <c r="H3361" t="s">
        <v>392</v>
      </c>
      <c r="I3361" t="s">
        <v>3428</v>
      </c>
      <c r="L3361" t="s">
        <v>394</v>
      </c>
      <c r="M3361" t="s">
        <v>3425</v>
      </c>
    </row>
    <row r="3362" spans="1:13" x14ac:dyDescent="0.3">
      <c r="A3362" t="s">
        <v>3420</v>
      </c>
      <c r="B3362" t="s">
        <v>1138</v>
      </c>
      <c r="C3362" t="s">
        <v>11</v>
      </c>
      <c r="D3362" t="s">
        <v>12</v>
      </c>
      <c r="E3362" t="s">
        <v>391</v>
      </c>
      <c r="H3362" t="s">
        <v>392</v>
      </c>
      <c r="I3362" t="s">
        <v>3429</v>
      </c>
      <c r="L3362" t="s">
        <v>394</v>
      </c>
      <c r="M3362" t="s">
        <v>3425</v>
      </c>
    </row>
    <row r="3363" spans="1:13" x14ac:dyDescent="0.3">
      <c r="A3363" t="s">
        <v>3423</v>
      </c>
      <c r="B3363" t="s">
        <v>341</v>
      </c>
      <c r="C3363" t="s">
        <v>11</v>
      </c>
      <c r="D3363" t="s">
        <v>12</v>
      </c>
      <c r="E3363" t="s">
        <v>391</v>
      </c>
      <c r="H3363" t="s">
        <v>392</v>
      </c>
      <c r="I3363" t="s">
        <v>3430</v>
      </c>
      <c r="L3363" t="s">
        <v>394</v>
      </c>
      <c r="M3363" t="s">
        <v>3425</v>
      </c>
    </row>
    <row r="3364" spans="1:13" x14ac:dyDescent="0.3">
      <c r="A3364" t="s">
        <v>3421</v>
      </c>
      <c r="B3364" t="s">
        <v>1134</v>
      </c>
      <c r="C3364" t="s">
        <v>11</v>
      </c>
      <c r="D3364" t="s">
        <v>12</v>
      </c>
      <c r="E3364" t="s">
        <v>391</v>
      </c>
      <c r="H3364" t="s">
        <v>392</v>
      </c>
      <c r="I3364" t="s">
        <v>3431</v>
      </c>
      <c r="L3364" t="s">
        <v>394</v>
      </c>
      <c r="M3364" t="s">
        <v>3425</v>
      </c>
    </row>
    <row r="3365" spans="1:13" x14ac:dyDescent="0.3">
      <c r="A3365" t="s">
        <v>3422</v>
      </c>
      <c r="B3365" t="s">
        <v>1138</v>
      </c>
      <c r="C3365" t="s">
        <v>11</v>
      </c>
      <c r="D3365" t="s">
        <v>12</v>
      </c>
      <c r="E3365" t="s">
        <v>391</v>
      </c>
      <c r="H3365" t="s">
        <v>392</v>
      </c>
      <c r="I3365" t="s">
        <v>3432</v>
      </c>
      <c r="L3365" t="s">
        <v>394</v>
      </c>
      <c r="M3365" t="s">
        <v>3425</v>
      </c>
    </row>
    <row r="3366" spans="1:13" x14ac:dyDescent="0.3">
      <c r="A3366" t="s">
        <v>3419</v>
      </c>
      <c r="B3366" t="s">
        <v>2077</v>
      </c>
      <c r="C3366" t="s">
        <v>11</v>
      </c>
      <c r="D3366" t="s">
        <v>12</v>
      </c>
      <c r="E3366" t="s">
        <v>391</v>
      </c>
      <c r="H3366" t="s">
        <v>392</v>
      </c>
      <c r="I3366" t="s">
        <v>2128</v>
      </c>
      <c r="L3366" t="s">
        <v>394</v>
      </c>
      <c r="M3366" t="s">
        <v>3425</v>
      </c>
    </row>
    <row r="3367" spans="1:13" x14ac:dyDescent="0.3">
      <c r="A3367" t="s">
        <v>3433</v>
      </c>
      <c r="B3367" t="s">
        <v>2733</v>
      </c>
      <c r="C3367" t="s">
        <v>280</v>
      </c>
      <c r="D3367" t="s">
        <v>3434</v>
      </c>
      <c r="E3367" t="s">
        <v>2735</v>
      </c>
      <c r="H3367" t="s">
        <v>25</v>
      </c>
      <c r="I3367" t="s">
        <v>2736</v>
      </c>
    </row>
    <row r="3368" spans="1:13" x14ac:dyDescent="0.3">
      <c r="A3368" t="s">
        <v>3433</v>
      </c>
      <c r="B3368" t="s">
        <v>2733</v>
      </c>
      <c r="C3368" t="s">
        <v>308</v>
      </c>
      <c r="D3368" t="s">
        <v>3435</v>
      </c>
      <c r="E3368" t="s">
        <v>2738</v>
      </c>
      <c r="H3368" t="s">
        <v>25</v>
      </c>
      <c r="I3368" t="s">
        <v>2739</v>
      </c>
      <c r="L3368" t="s">
        <v>312</v>
      </c>
      <c r="M3368" t="s">
        <v>327</v>
      </c>
    </row>
    <row r="3369" spans="1:13" x14ac:dyDescent="0.3">
      <c r="A3369" t="s">
        <v>3433</v>
      </c>
      <c r="B3369" t="s">
        <v>2733</v>
      </c>
      <c r="C3369" t="s">
        <v>308</v>
      </c>
      <c r="D3369" t="s">
        <v>3436</v>
      </c>
      <c r="E3369" t="s">
        <v>527</v>
      </c>
      <c r="H3369" t="s">
        <v>25</v>
      </c>
      <c r="I3369" t="s">
        <v>2741</v>
      </c>
      <c r="L3369" t="s">
        <v>312</v>
      </c>
      <c r="M3369" t="s">
        <v>343</v>
      </c>
    </row>
    <row r="3370" spans="1:13" x14ac:dyDescent="0.3">
      <c r="A3370" t="s">
        <v>3433</v>
      </c>
      <c r="B3370" t="s">
        <v>2733</v>
      </c>
      <c r="C3370" t="s">
        <v>308</v>
      </c>
      <c r="D3370" t="s">
        <v>3437</v>
      </c>
      <c r="E3370" t="s">
        <v>2077</v>
      </c>
      <c r="H3370" t="s">
        <v>25</v>
      </c>
      <c r="I3370" t="s">
        <v>2078</v>
      </c>
      <c r="L3370" t="s">
        <v>312</v>
      </c>
      <c r="M3370" t="s">
        <v>1687</v>
      </c>
    </row>
    <row r="3371" spans="1:13" x14ac:dyDescent="0.3">
      <c r="A3371" t="s">
        <v>3433</v>
      </c>
      <c r="B3371" t="s">
        <v>2733</v>
      </c>
      <c r="C3371" t="s">
        <v>308</v>
      </c>
      <c r="D3371" t="s">
        <v>3438</v>
      </c>
      <c r="E3371" t="s">
        <v>1138</v>
      </c>
      <c r="H3371" t="s">
        <v>25</v>
      </c>
      <c r="I3371" t="s">
        <v>2065</v>
      </c>
      <c r="L3371" t="s">
        <v>312</v>
      </c>
      <c r="M3371" t="s">
        <v>317</v>
      </c>
    </row>
    <row r="3372" spans="1:13" x14ac:dyDescent="0.3">
      <c r="A3372" t="s">
        <v>3433</v>
      </c>
      <c r="B3372" t="s">
        <v>2733</v>
      </c>
      <c r="C3372" t="s">
        <v>308</v>
      </c>
      <c r="D3372" t="s">
        <v>3439</v>
      </c>
      <c r="E3372" t="s">
        <v>1134</v>
      </c>
      <c r="H3372" t="s">
        <v>25</v>
      </c>
      <c r="I3372" t="s">
        <v>2069</v>
      </c>
      <c r="L3372" t="s">
        <v>312</v>
      </c>
      <c r="M3372" t="s">
        <v>317</v>
      </c>
    </row>
    <row r="3373" spans="1:13" x14ac:dyDescent="0.3">
      <c r="A3373" t="s">
        <v>3433</v>
      </c>
      <c r="B3373" t="s">
        <v>2733</v>
      </c>
      <c r="C3373" t="s">
        <v>308</v>
      </c>
      <c r="D3373" t="s">
        <v>3440</v>
      </c>
      <c r="E3373" t="s">
        <v>1138</v>
      </c>
      <c r="H3373" t="s">
        <v>25</v>
      </c>
      <c r="I3373" t="s">
        <v>2746</v>
      </c>
      <c r="L3373" t="s">
        <v>312</v>
      </c>
      <c r="M3373" t="s">
        <v>317</v>
      </c>
    </row>
    <row r="3374" spans="1:13" x14ac:dyDescent="0.3">
      <c r="A3374" t="s">
        <v>3433</v>
      </c>
      <c r="B3374" t="s">
        <v>2733</v>
      </c>
      <c r="C3374" t="s">
        <v>308</v>
      </c>
      <c r="D3374" t="s">
        <v>3441</v>
      </c>
      <c r="E3374" t="s">
        <v>341</v>
      </c>
      <c r="H3374" t="s">
        <v>25</v>
      </c>
      <c r="I3374" t="s">
        <v>342</v>
      </c>
      <c r="L3374" t="s">
        <v>312</v>
      </c>
      <c r="M3374" t="s">
        <v>343</v>
      </c>
    </row>
    <row r="3375" spans="1:13" x14ac:dyDescent="0.3">
      <c r="A3375" t="s">
        <v>3433</v>
      </c>
      <c r="B3375" t="s">
        <v>2733</v>
      </c>
      <c r="C3375" t="s">
        <v>22</v>
      </c>
      <c r="D3375" t="s">
        <v>23</v>
      </c>
      <c r="E3375" t="s">
        <v>28</v>
      </c>
    </row>
    <row r="3376" spans="1:13" x14ac:dyDescent="0.3">
      <c r="A3376" t="s">
        <v>3433</v>
      </c>
      <c r="B3376" t="s">
        <v>2733</v>
      </c>
      <c r="C3376" t="s">
        <v>2748</v>
      </c>
      <c r="D3376">
        <v>3</v>
      </c>
      <c r="H3376" t="s">
        <v>312</v>
      </c>
      <c r="I3376" t="s">
        <v>385</v>
      </c>
    </row>
    <row r="3377" spans="1:27" x14ac:dyDescent="0.3">
      <c r="A3377" t="s">
        <v>3433</v>
      </c>
      <c r="B3377" t="s">
        <v>2733</v>
      </c>
      <c r="C3377" t="s">
        <v>378</v>
      </c>
      <c r="D3377">
        <v>540</v>
      </c>
      <c r="H3377" t="s">
        <v>312</v>
      </c>
      <c r="I3377" t="s">
        <v>327</v>
      </c>
    </row>
    <row r="3378" spans="1:27" x14ac:dyDescent="0.3">
      <c r="A3378" t="s">
        <v>3433</v>
      </c>
      <c r="B3378" t="s">
        <v>2733</v>
      </c>
      <c r="C3378" t="s">
        <v>380</v>
      </c>
      <c r="D3378" t="s">
        <v>554</v>
      </c>
      <c r="E3378" t="s">
        <v>279</v>
      </c>
      <c r="F3378" t="s">
        <v>25</v>
      </c>
      <c r="G3378" t="s">
        <v>3442</v>
      </c>
      <c r="J3378" t="s">
        <v>2089</v>
      </c>
      <c r="K3378" t="s">
        <v>2750</v>
      </c>
      <c r="N3378" t="s">
        <v>2751</v>
      </c>
      <c r="O3378">
        <v>5</v>
      </c>
      <c r="R3378" t="s">
        <v>2752</v>
      </c>
      <c r="S3378">
        <v>313</v>
      </c>
      <c r="V3378" t="s">
        <v>2753</v>
      </c>
      <c r="W3378" t="s">
        <v>2754</v>
      </c>
      <c r="Z3378" t="s">
        <v>2755</v>
      </c>
      <c r="AA3378" t="s">
        <v>2756</v>
      </c>
    </row>
    <row r="3379" spans="1:27" x14ac:dyDescent="0.3">
      <c r="A3379" t="s">
        <v>3433</v>
      </c>
      <c r="B3379" t="s">
        <v>2733</v>
      </c>
      <c r="C3379" t="s">
        <v>16</v>
      </c>
      <c r="D3379" t="s">
        <v>43</v>
      </c>
      <c r="E3379" t="s">
        <v>37</v>
      </c>
    </row>
    <row r="3380" spans="1:27" x14ac:dyDescent="0.3">
      <c r="A3380" t="s">
        <v>3433</v>
      </c>
      <c r="B3380" t="s">
        <v>2733</v>
      </c>
      <c r="C3380" t="s">
        <v>11</v>
      </c>
      <c r="D3380" t="s">
        <v>12</v>
      </c>
      <c r="E3380" t="s">
        <v>13</v>
      </c>
      <c r="H3380" t="s">
        <v>382</v>
      </c>
      <c r="I3380" t="s">
        <v>3443</v>
      </c>
      <c r="L3380" t="s">
        <v>14</v>
      </c>
      <c r="M3380" t="s">
        <v>3443</v>
      </c>
    </row>
    <row r="3381" spans="1:27" x14ac:dyDescent="0.3">
      <c r="A3381" t="s">
        <v>3436</v>
      </c>
      <c r="B3381" t="s">
        <v>527</v>
      </c>
      <c r="C3381" t="s">
        <v>11</v>
      </c>
      <c r="D3381" t="s">
        <v>12</v>
      </c>
      <c r="E3381" t="s">
        <v>391</v>
      </c>
      <c r="H3381" t="s">
        <v>392</v>
      </c>
      <c r="I3381" t="s">
        <v>2758</v>
      </c>
      <c r="L3381" t="s">
        <v>394</v>
      </c>
      <c r="M3381" t="s">
        <v>3443</v>
      </c>
    </row>
    <row r="3382" spans="1:27" x14ac:dyDescent="0.3">
      <c r="A3382" t="s">
        <v>3435</v>
      </c>
      <c r="B3382" t="s">
        <v>2738</v>
      </c>
      <c r="C3382" t="s">
        <v>11</v>
      </c>
      <c r="D3382" t="s">
        <v>12</v>
      </c>
      <c r="E3382" t="s">
        <v>391</v>
      </c>
      <c r="H3382" t="s">
        <v>392</v>
      </c>
      <c r="I3382" t="s">
        <v>3444</v>
      </c>
      <c r="L3382" t="s">
        <v>394</v>
      </c>
      <c r="M3382" t="s">
        <v>3443</v>
      </c>
    </row>
    <row r="3383" spans="1:27" x14ac:dyDescent="0.3">
      <c r="A3383" t="s">
        <v>3434</v>
      </c>
      <c r="B3383" t="s">
        <v>2735</v>
      </c>
      <c r="C3383" t="s">
        <v>308</v>
      </c>
      <c r="D3383" t="s">
        <v>3445</v>
      </c>
      <c r="E3383" t="s">
        <v>406</v>
      </c>
      <c r="H3383" t="s">
        <v>25</v>
      </c>
      <c r="I3383" t="s">
        <v>2761</v>
      </c>
      <c r="L3383" t="s">
        <v>312</v>
      </c>
      <c r="M3383" t="s">
        <v>404</v>
      </c>
    </row>
    <row r="3384" spans="1:27" x14ac:dyDescent="0.3">
      <c r="A3384" t="s">
        <v>3445</v>
      </c>
      <c r="B3384" t="s">
        <v>406</v>
      </c>
      <c r="C3384" t="s">
        <v>11</v>
      </c>
      <c r="D3384" t="s">
        <v>12</v>
      </c>
      <c r="E3384" t="s">
        <v>391</v>
      </c>
      <c r="H3384" t="s">
        <v>392</v>
      </c>
      <c r="I3384" t="s">
        <v>3446</v>
      </c>
      <c r="L3384" t="s">
        <v>394</v>
      </c>
      <c r="M3384" t="s">
        <v>3443</v>
      </c>
    </row>
    <row r="3385" spans="1:27" x14ac:dyDescent="0.3">
      <c r="A3385" t="s">
        <v>3438</v>
      </c>
      <c r="B3385" t="s">
        <v>1138</v>
      </c>
      <c r="C3385" t="s">
        <v>11</v>
      </c>
      <c r="D3385" t="s">
        <v>12</v>
      </c>
      <c r="E3385" t="s">
        <v>391</v>
      </c>
      <c r="H3385" t="s">
        <v>392</v>
      </c>
      <c r="I3385" t="s">
        <v>3447</v>
      </c>
      <c r="L3385" t="s">
        <v>394</v>
      </c>
      <c r="M3385" t="s">
        <v>3443</v>
      </c>
    </row>
    <row r="3386" spans="1:27" x14ac:dyDescent="0.3">
      <c r="A3386" t="s">
        <v>3441</v>
      </c>
      <c r="B3386" t="s">
        <v>341</v>
      </c>
      <c r="C3386" t="s">
        <v>11</v>
      </c>
      <c r="D3386" t="s">
        <v>12</v>
      </c>
      <c r="E3386" t="s">
        <v>391</v>
      </c>
      <c r="H3386" t="s">
        <v>392</v>
      </c>
      <c r="I3386" t="s">
        <v>3448</v>
      </c>
      <c r="L3386" t="s">
        <v>394</v>
      </c>
      <c r="M3386" t="s">
        <v>3443</v>
      </c>
    </row>
    <row r="3387" spans="1:27" x14ac:dyDescent="0.3">
      <c r="A3387" t="s">
        <v>3439</v>
      </c>
      <c r="B3387" t="s">
        <v>1134</v>
      </c>
      <c r="C3387" t="s">
        <v>11</v>
      </c>
      <c r="D3387" t="s">
        <v>12</v>
      </c>
      <c r="E3387" t="s">
        <v>391</v>
      </c>
      <c r="H3387" t="s">
        <v>392</v>
      </c>
      <c r="I3387" t="s">
        <v>3449</v>
      </c>
      <c r="L3387" t="s">
        <v>394</v>
      </c>
      <c r="M3387" t="s">
        <v>3443</v>
      </c>
    </row>
    <row r="3388" spans="1:27" x14ac:dyDescent="0.3">
      <c r="A3388" t="s">
        <v>3440</v>
      </c>
      <c r="B3388" t="s">
        <v>1138</v>
      </c>
      <c r="C3388" t="s">
        <v>11</v>
      </c>
      <c r="D3388" t="s">
        <v>12</v>
      </c>
      <c r="E3388" t="s">
        <v>391</v>
      </c>
      <c r="H3388" t="s">
        <v>392</v>
      </c>
      <c r="I3388" t="s">
        <v>3450</v>
      </c>
      <c r="L3388" t="s">
        <v>394</v>
      </c>
      <c r="M3388" t="s">
        <v>3443</v>
      </c>
    </row>
    <row r="3389" spans="1:27" x14ac:dyDescent="0.3">
      <c r="A3389" t="s">
        <v>3437</v>
      </c>
      <c r="B3389" t="s">
        <v>2077</v>
      </c>
      <c r="C3389" t="s">
        <v>11</v>
      </c>
      <c r="D3389" t="s">
        <v>12</v>
      </c>
      <c r="E3389" t="s">
        <v>391</v>
      </c>
      <c r="H3389" t="s">
        <v>392</v>
      </c>
      <c r="I3389" t="s">
        <v>2128</v>
      </c>
      <c r="L3389" t="s">
        <v>394</v>
      </c>
      <c r="M3389" t="s">
        <v>3443</v>
      </c>
    </row>
    <row r="3390" spans="1:27" x14ac:dyDescent="0.3">
      <c r="A3390" t="s">
        <v>3451</v>
      </c>
      <c r="B3390" t="s">
        <v>2733</v>
      </c>
      <c r="C3390" t="s">
        <v>280</v>
      </c>
      <c r="D3390" t="s">
        <v>3452</v>
      </c>
      <c r="E3390" t="s">
        <v>2735</v>
      </c>
      <c r="H3390" t="s">
        <v>25</v>
      </c>
      <c r="I3390" t="s">
        <v>2736</v>
      </c>
    </row>
    <row r="3391" spans="1:27" x14ac:dyDescent="0.3">
      <c r="A3391" t="s">
        <v>3451</v>
      </c>
      <c r="B3391" t="s">
        <v>2733</v>
      </c>
      <c r="C3391" t="s">
        <v>308</v>
      </c>
      <c r="D3391" t="s">
        <v>3453</v>
      </c>
      <c r="E3391" t="s">
        <v>2738</v>
      </c>
      <c r="H3391" t="s">
        <v>25</v>
      </c>
      <c r="I3391" t="s">
        <v>2739</v>
      </c>
      <c r="L3391" t="s">
        <v>312</v>
      </c>
      <c r="M3391" t="s">
        <v>327</v>
      </c>
    </row>
    <row r="3392" spans="1:27" x14ac:dyDescent="0.3">
      <c r="A3392" t="s">
        <v>3451</v>
      </c>
      <c r="B3392" t="s">
        <v>2733</v>
      </c>
      <c r="C3392" t="s">
        <v>308</v>
      </c>
      <c r="D3392" t="s">
        <v>3454</v>
      </c>
      <c r="E3392" t="s">
        <v>527</v>
      </c>
      <c r="H3392" t="s">
        <v>25</v>
      </c>
      <c r="I3392" t="s">
        <v>2741</v>
      </c>
      <c r="L3392" t="s">
        <v>312</v>
      </c>
      <c r="M3392" t="s">
        <v>343</v>
      </c>
    </row>
    <row r="3393" spans="1:27" x14ac:dyDescent="0.3">
      <c r="A3393" t="s">
        <v>3451</v>
      </c>
      <c r="B3393" t="s">
        <v>2733</v>
      </c>
      <c r="C3393" t="s">
        <v>308</v>
      </c>
      <c r="D3393" t="s">
        <v>3455</v>
      </c>
      <c r="E3393" t="s">
        <v>2077</v>
      </c>
      <c r="H3393" t="s">
        <v>25</v>
      </c>
      <c r="I3393" t="s">
        <v>2078</v>
      </c>
      <c r="L3393" t="s">
        <v>312</v>
      </c>
      <c r="M3393" t="s">
        <v>1687</v>
      </c>
    </row>
    <row r="3394" spans="1:27" x14ac:dyDescent="0.3">
      <c r="A3394" t="s">
        <v>3451</v>
      </c>
      <c r="B3394" t="s">
        <v>2733</v>
      </c>
      <c r="C3394" t="s">
        <v>308</v>
      </c>
      <c r="D3394" t="s">
        <v>3456</v>
      </c>
      <c r="E3394" t="s">
        <v>1138</v>
      </c>
      <c r="H3394" t="s">
        <v>25</v>
      </c>
      <c r="I3394" t="s">
        <v>2065</v>
      </c>
      <c r="L3394" t="s">
        <v>312</v>
      </c>
      <c r="M3394" t="s">
        <v>317</v>
      </c>
    </row>
    <row r="3395" spans="1:27" x14ac:dyDescent="0.3">
      <c r="A3395" t="s">
        <v>3451</v>
      </c>
      <c r="B3395" t="s">
        <v>2733</v>
      </c>
      <c r="C3395" t="s">
        <v>308</v>
      </c>
      <c r="D3395" t="s">
        <v>3457</v>
      </c>
      <c r="E3395" t="s">
        <v>1134</v>
      </c>
      <c r="H3395" t="s">
        <v>25</v>
      </c>
      <c r="I3395" t="s">
        <v>2069</v>
      </c>
      <c r="L3395" t="s">
        <v>312</v>
      </c>
      <c r="M3395" t="s">
        <v>317</v>
      </c>
    </row>
    <row r="3396" spans="1:27" x14ac:dyDescent="0.3">
      <c r="A3396" t="s">
        <v>3451</v>
      </c>
      <c r="B3396" t="s">
        <v>2733</v>
      </c>
      <c r="C3396" t="s">
        <v>308</v>
      </c>
      <c r="D3396" t="s">
        <v>3458</v>
      </c>
      <c r="E3396" t="s">
        <v>1138</v>
      </c>
      <c r="H3396" t="s">
        <v>25</v>
      </c>
      <c r="I3396" t="s">
        <v>2746</v>
      </c>
      <c r="L3396" t="s">
        <v>312</v>
      </c>
      <c r="M3396" t="s">
        <v>317</v>
      </c>
    </row>
    <row r="3397" spans="1:27" x14ac:dyDescent="0.3">
      <c r="A3397" t="s">
        <v>3451</v>
      </c>
      <c r="B3397" t="s">
        <v>2733</v>
      </c>
      <c r="C3397" t="s">
        <v>308</v>
      </c>
      <c r="D3397" t="s">
        <v>3459</v>
      </c>
      <c r="E3397" t="s">
        <v>341</v>
      </c>
      <c r="H3397" t="s">
        <v>25</v>
      </c>
      <c r="I3397" t="s">
        <v>342</v>
      </c>
      <c r="L3397" t="s">
        <v>312</v>
      </c>
      <c r="M3397" t="s">
        <v>343</v>
      </c>
    </row>
    <row r="3398" spans="1:27" x14ac:dyDescent="0.3">
      <c r="A3398" t="s">
        <v>3451</v>
      </c>
      <c r="B3398" t="s">
        <v>2733</v>
      </c>
      <c r="C3398" t="s">
        <v>22</v>
      </c>
      <c r="D3398" t="s">
        <v>23</v>
      </c>
      <c r="E3398" t="s">
        <v>28</v>
      </c>
    </row>
    <row r="3399" spans="1:27" x14ac:dyDescent="0.3">
      <c r="A3399" t="s">
        <v>3451</v>
      </c>
      <c r="B3399" t="s">
        <v>2733</v>
      </c>
      <c r="C3399" t="s">
        <v>2748</v>
      </c>
      <c r="D3399">
        <v>2</v>
      </c>
      <c r="H3399" t="s">
        <v>312</v>
      </c>
      <c r="I3399" t="s">
        <v>385</v>
      </c>
    </row>
    <row r="3400" spans="1:27" x14ac:dyDescent="0.3">
      <c r="A3400" t="s">
        <v>3451</v>
      </c>
      <c r="B3400" t="s">
        <v>2733</v>
      </c>
      <c r="C3400" t="s">
        <v>378</v>
      </c>
      <c r="D3400">
        <v>325</v>
      </c>
      <c r="H3400" t="s">
        <v>312</v>
      </c>
      <c r="I3400" t="s">
        <v>327</v>
      </c>
    </row>
    <row r="3401" spans="1:27" x14ac:dyDescent="0.3">
      <c r="A3401" t="s">
        <v>3451</v>
      </c>
      <c r="B3401" t="s">
        <v>2733</v>
      </c>
      <c r="C3401" t="s">
        <v>380</v>
      </c>
      <c r="D3401" t="s">
        <v>554</v>
      </c>
      <c r="E3401" t="s">
        <v>279</v>
      </c>
      <c r="F3401" t="s">
        <v>25</v>
      </c>
      <c r="G3401" t="s">
        <v>3460</v>
      </c>
      <c r="J3401" t="s">
        <v>2089</v>
      </c>
      <c r="K3401" t="s">
        <v>2750</v>
      </c>
      <c r="N3401" t="s">
        <v>2751</v>
      </c>
      <c r="O3401">
        <v>4</v>
      </c>
      <c r="R3401" t="s">
        <v>2752</v>
      </c>
      <c r="S3401">
        <v>248</v>
      </c>
      <c r="V3401" t="s">
        <v>2753</v>
      </c>
      <c r="W3401" t="s">
        <v>2754</v>
      </c>
      <c r="Z3401" t="s">
        <v>2755</v>
      </c>
      <c r="AA3401" t="s">
        <v>2756</v>
      </c>
    </row>
    <row r="3402" spans="1:27" x14ac:dyDescent="0.3">
      <c r="A3402" t="s">
        <v>3451</v>
      </c>
      <c r="B3402" t="s">
        <v>2733</v>
      </c>
      <c r="C3402" t="s">
        <v>16</v>
      </c>
      <c r="D3402" t="s">
        <v>151</v>
      </c>
      <c r="E3402" t="s">
        <v>37</v>
      </c>
    </row>
    <row r="3403" spans="1:27" x14ac:dyDescent="0.3">
      <c r="A3403" t="s">
        <v>3451</v>
      </c>
      <c r="B3403" t="s">
        <v>2733</v>
      </c>
      <c r="C3403" t="s">
        <v>11</v>
      </c>
      <c r="D3403" t="s">
        <v>12</v>
      </c>
      <c r="E3403" t="s">
        <v>13</v>
      </c>
      <c r="H3403" t="s">
        <v>382</v>
      </c>
      <c r="I3403" t="s">
        <v>3461</v>
      </c>
      <c r="L3403" t="s">
        <v>14</v>
      </c>
      <c r="M3403" t="s">
        <v>3461</v>
      </c>
    </row>
    <row r="3404" spans="1:27" x14ac:dyDescent="0.3">
      <c r="A3404" t="s">
        <v>3454</v>
      </c>
      <c r="B3404" t="s">
        <v>527</v>
      </c>
      <c r="C3404" t="s">
        <v>11</v>
      </c>
      <c r="D3404" t="s">
        <v>12</v>
      </c>
      <c r="E3404" t="s">
        <v>391</v>
      </c>
      <c r="H3404" t="s">
        <v>392</v>
      </c>
      <c r="I3404" t="s">
        <v>2758</v>
      </c>
      <c r="L3404" t="s">
        <v>394</v>
      </c>
      <c r="M3404" t="s">
        <v>3461</v>
      </c>
    </row>
    <row r="3405" spans="1:27" x14ac:dyDescent="0.3">
      <c r="A3405" t="s">
        <v>3453</v>
      </c>
      <c r="B3405" t="s">
        <v>2738</v>
      </c>
      <c r="C3405" t="s">
        <v>11</v>
      </c>
      <c r="D3405" t="s">
        <v>12</v>
      </c>
      <c r="E3405" t="s">
        <v>391</v>
      </c>
      <c r="H3405" t="s">
        <v>392</v>
      </c>
      <c r="I3405" t="s">
        <v>3462</v>
      </c>
      <c r="L3405" t="s">
        <v>394</v>
      </c>
      <c r="M3405" t="s">
        <v>3461</v>
      </c>
    </row>
    <row r="3406" spans="1:27" x14ac:dyDescent="0.3">
      <c r="A3406" t="s">
        <v>3452</v>
      </c>
      <c r="B3406" t="s">
        <v>2735</v>
      </c>
      <c r="C3406" t="s">
        <v>308</v>
      </c>
      <c r="D3406" t="s">
        <v>3463</v>
      </c>
      <c r="E3406" t="s">
        <v>406</v>
      </c>
      <c r="H3406" t="s">
        <v>25</v>
      </c>
      <c r="I3406" t="s">
        <v>2761</v>
      </c>
      <c r="L3406" t="s">
        <v>312</v>
      </c>
      <c r="M3406" t="s">
        <v>404</v>
      </c>
    </row>
    <row r="3407" spans="1:27" x14ac:dyDescent="0.3">
      <c r="A3407" t="s">
        <v>3463</v>
      </c>
      <c r="B3407" t="s">
        <v>406</v>
      </c>
      <c r="C3407" t="s">
        <v>11</v>
      </c>
      <c r="D3407" t="s">
        <v>12</v>
      </c>
      <c r="E3407" t="s">
        <v>391</v>
      </c>
      <c r="H3407" t="s">
        <v>392</v>
      </c>
      <c r="I3407" t="s">
        <v>3464</v>
      </c>
      <c r="L3407" t="s">
        <v>394</v>
      </c>
      <c r="M3407" t="s">
        <v>3461</v>
      </c>
    </row>
    <row r="3408" spans="1:27" x14ac:dyDescent="0.3">
      <c r="A3408" t="s">
        <v>3456</v>
      </c>
      <c r="B3408" t="s">
        <v>1138</v>
      </c>
      <c r="C3408" t="s">
        <v>11</v>
      </c>
      <c r="D3408" t="s">
        <v>12</v>
      </c>
      <c r="E3408" t="s">
        <v>391</v>
      </c>
      <c r="H3408" t="s">
        <v>392</v>
      </c>
      <c r="I3408" t="s">
        <v>3465</v>
      </c>
      <c r="L3408" t="s">
        <v>394</v>
      </c>
      <c r="M3408" t="s">
        <v>3461</v>
      </c>
    </row>
    <row r="3409" spans="1:27" x14ac:dyDescent="0.3">
      <c r="A3409" t="s">
        <v>3459</v>
      </c>
      <c r="B3409" t="s">
        <v>341</v>
      </c>
      <c r="C3409" t="s">
        <v>11</v>
      </c>
      <c r="D3409" t="s">
        <v>12</v>
      </c>
      <c r="E3409" t="s">
        <v>391</v>
      </c>
      <c r="H3409" t="s">
        <v>392</v>
      </c>
      <c r="I3409" t="s">
        <v>3466</v>
      </c>
      <c r="L3409" t="s">
        <v>394</v>
      </c>
      <c r="M3409" t="s">
        <v>3461</v>
      </c>
    </row>
    <row r="3410" spans="1:27" x14ac:dyDescent="0.3">
      <c r="A3410" t="s">
        <v>3457</v>
      </c>
      <c r="B3410" t="s">
        <v>1134</v>
      </c>
      <c r="C3410" t="s">
        <v>11</v>
      </c>
      <c r="D3410" t="s">
        <v>12</v>
      </c>
      <c r="E3410" t="s">
        <v>391</v>
      </c>
      <c r="H3410" t="s">
        <v>392</v>
      </c>
      <c r="I3410" t="s">
        <v>3467</v>
      </c>
      <c r="L3410" t="s">
        <v>394</v>
      </c>
      <c r="M3410" t="s">
        <v>3461</v>
      </c>
    </row>
    <row r="3411" spans="1:27" x14ac:dyDescent="0.3">
      <c r="A3411" t="s">
        <v>3458</v>
      </c>
      <c r="B3411" t="s">
        <v>1138</v>
      </c>
      <c r="C3411" t="s">
        <v>11</v>
      </c>
      <c r="D3411" t="s">
        <v>12</v>
      </c>
      <c r="E3411" t="s">
        <v>391</v>
      </c>
      <c r="H3411" t="s">
        <v>392</v>
      </c>
      <c r="I3411" t="s">
        <v>3468</v>
      </c>
      <c r="L3411" t="s">
        <v>394</v>
      </c>
      <c r="M3411" t="s">
        <v>3461</v>
      </c>
    </row>
    <row r="3412" spans="1:27" x14ac:dyDescent="0.3">
      <c r="A3412" t="s">
        <v>3455</v>
      </c>
      <c r="B3412" t="s">
        <v>2077</v>
      </c>
      <c r="C3412" t="s">
        <v>11</v>
      </c>
      <c r="D3412" t="s">
        <v>12</v>
      </c>
      <c r="E3412" t="s">
        <v>391</v>
      </c>
      <c r="H3412" t="s">
        <v>392</v>
      </c>
      <c r="I3412" t="s">
        <v>2128</v>
      </c>
      <c r="L3412" t="s">
        <v>394</v>
      </c>
      <c r="M3412" t="s">
        <v>3461</v>
      </c>
    </row>
    <row r="3413" spans="1:27" x14ac:dyDescent="0.3">
      <c r="A3413" t="s">
        <v>3469</v>
      </c>
      <c r="B3413" t="s">
        <v>2733</v>
      </c>
      <c r="C3413" t="s">
        <v>280</v>
      </c>
      <c r="D3413" t="s">
        <v>3470</v>
      </c>
      <c r="E3413" t="s">
        <v>2735</v>
      </c>
      <c r="H3413" t="s">
        <v>25</v>
      </c>
      <c r="I3413" t="s">
        <v>2736</v>
      </c>
    </row>
    <row r="3414" spans="1:27" x14ac:dyDescent="0.3">
      <c r="A3414" t="s">
        <v>3469</v>
      </c>
      <c r="B3414" t="s">
        <v>2733</v>
      </c>
      <c r="C3414" t="s">
        <v>308</v>
      </c>
      <c r="D3414" t="s">
        <v>3471</v>
      </c>
      <c r="E3414" t="s">
        <v>2738</v>
      </c>
      <c r="H3414" t="s">
        <v>25</v>
      </c>
      <c r="I3414" t="s">
        <v>2739</v>
      </c>
      <c r="L3414" t="s">
        <v>312</v>
      </c>
      <c r="M3414" t="s">
        <v>327</v>
      </c>
    </row>
    <row r="3415" spans="1:27" x14ac:dyDescent="0.3">
      <c r="A3415" t="s">
        <v>3469</v>
      </c>
      <c r="B3415" t="s">
        <v>2733</v>
      </c>
      <c r="C3415" t="s">
        <v>308</v>
      </c>
      <c r="D3415" t="s">
        <v>3472</v>
      </c>
      <c r="E3415" t="s">
        <v>527</v>
      </c>
      <c r="H3415" t="s">
        <v>25</v>
      </c>
      <c r="I3415" t="s">
        <v>2741</v>
      </c>
      <c r="L3415" t="s">
        <v>312</v>
      </c>
      <c r="M3415" t="s">
        <v>343</v>
      </c>
    </row>
    <row r="3416" spans="1:27" x14ac:dyDescent="0.3">
      <c r="A3416" t="s">
        <v>3469</v>
      </c>
      <c r="B3416" t="s">
        <v>2733</v>
      </c>
      <c r="C3416" t="s">
        <v>308</v>
      </c>
      <c r="D3416" t="s">
        <v>3473</v>
      </c>
      <c r="E3416" t="s">
        <v>2077</v>
      </c>
      <c r="H3416" t="s">
        <v>25</v>
      </c>
      <c r="I3416" t="s">
        <v>2078</v>
      </c>
      <c r="L3416" t="s">
        <v>312</v>
      </c>
      <c r="M3416" t="s">
        <v>1687</v>
      </c>
    </row>
    <row r="3417" spans="1:27" x14ac:dyDescent="0.3">
      <c r="A3417" t="s">
        <v>3469</v>
      </c>
      <c r="B3417" t="s">
        <v>2733</v>
      </c>
      <c r="C3417" t="s">
        <v>308</v>
      </c>
      <c r="D3417" t="s">
        <v>3474</v>
      </c>
      <c r="E3417" t="s">
        <v>1138</v>
      </c>
      <c r="H3417" t="s">
        <v>25</v>
      </c>
      <c r="I3417" t="s">
        <v>2065</v>
      </c>
      <c r="L3417" t="s">
        <v>312</v>
      </c>
      <c r="M3417" t="s">
        <v>317</v>
      </c>
    </row>
    <row r="3418" spans="1:27" x14ac:dyDescent="0.3">
      <c r="A3418" t="s">
        <v>3469</v>
      </c>
      <c r="B3418" t="s">
        <v>2733</v>
      </c>
      <c r="C3418" t="s">
        <v>308</v>
      </c>
      <c r="D3418" t="s">
        <v>3475</v>
      </c>
      <c r="E3418" t="s">
        <v>1134</v>
      </c>
      <c r="H3418" t="s">
        <v>25</v>
      </c>
      <c r="I3418" t="s">
        <v>2069</v>
      </c>
      <c r="L3418" t="s">
        <v>312</v>
      </c>
      <c r="M3418" t="s">
        <v>317</v>
      </c>
    </row>
    <row r="3419" spans="1:27" x14ac:dyDescent="0.3">
      <c r="A3419" t="s">
        <v>3469</v>
      </c>
      <c r="B3419" t="s">
        <v>2733</v>
      </c>
      <c r="C3419" t="s">
        <v>308</v>
      </c>
      <c r="D3419" t="s">
        <v>3476</v>
      </c>
      <c r="E3419" t="s">
        <v>1138</v>
      </c>
      <c r="H3419" t="s">
        <v>25</v>
      </c>
      <c r="I3419" t="s">
        <v>2746</v>
      </c>
      <c r="L3419" t="s">
        <v>312</v>
      </c>
      <c r="M3419" t="s">
        <v>317</v>
      </c>
    </row>
    <row r="3420" spans="1:27" x14ac:dyDescent="0.3">
      <c r="A3420" t="s">
        <v>3469</v>
      </c>
      <c r="B3420" t="s">
        <v>2733</v>
      </c>
      <c r="C3420" t="s">
        <v>308</v>
      </c>
      <c r="D3420" t="s">
        <v>3477</v>
      </c>
      <c r="E3420" t="s">
        <v>341</v>
      </c>
      <c r="H3420" t="s">
        <v>25</v>
      </c>
      <c r="I3420" t="s">
        <v>342</v>
      </c>
      <c r="L3420" t="s">
        <v>312</v>
      </c>
      <c r="M3420" t="s">
        <v>343</v>
      </c>
    </row>
    <row r="3421" spans="1:27" x14ac:dyDescent="0.3">
      <c r="A3421" t="s">
        <v>3469</v>
      </c>
      <c r="B3421" t="s">
        <v>2733</v>
      </c>
      <c r="C3421" t="s">
        <v>22</v>
      </c>
      <c r="D3421" t="s">
        <v>23</v>
      </c>
      <c r="E3421" t="s">
        <v>28</v>
      </c>
    </row>
    <row r="3422" spans="1:27" x14ac:dyDescent="0.3">
      <c r="A3422" t="s">
        <v>3469</v>
      </c>
      <c r="B3422" t="s">
        <v>2733</v>
      </c>
      <c r="C3422" t="s">
        <v>2748</v>
      </c>
      <c r="D3422">
        <v>2</v>
      </c>
      <c r="H3422" t="s">
        <v>312</v>
      </c>
      <c r="I3422" t="s">
        <v>385</v>
      </c>
    </row>
    <row r="3423" spans="1:27" x14ac:dyDescent="0.3">
      <c r="A3423" t="s">
        <v>3469</v>
      </c>
      <c r="B3423" t="s">
        <v>2733</v>
      </c>
      <c r="C3423" t="s">
        <v>378</v>
      </c>
      <c r="D3423">
        <v>300</v>
      </c>
      <c r="H3423" t="s">
        <v>312</v>
      </c>
      <c r="I3423" t="s">
        <v>327</v>
      </c>
    </row>
    <row r="3424" spans="1:27" x14ac:dyDescent="0.3">
      <c r="A3424" t="s">
        <v>3469</v>
      </c>
      <c r="B3424" t="s">
        <v>2733</v>
      </c>
      <c r="C3424" t="s">
        <v>380</v>
      </c>
      <c r="D3424" t="s">
        <v>554</v>
      </c>
      <c r="E3424" t="s">
        <v>279</v>
      </c>
      <c r="F3424" t="s">
        <v>25</v>
      </c>
      <c r="G3424" t="s">
        <v>3478</v>
      </c>
      <c r="J3424" t="s">
        <v>2089</v>
      </c>
      <c r="K3424" t="s">
        <v>2750</v>
      </c>
      <c r="N3424" t="s">
        <v>2751</v>
      </c>
      <c r="O3424">
        <v>4</v>
      </c>
      <c r="R3424" t="s">
        <v>2752</v>
      </c>
      <c r="S3424">
        <v>248</v>
      </c>
      <c r="V3424" t="s">
        <v>2753</v>
      </c>
      <c r="W3424" t="s">
        <v>2754</v>
      </c>
      <c r="Z3424" t="s">
        <v>2755</v>
      </c>
      <c r="AA3424" t="s">
        <v>2756</v>
      </c>
    </row>
    <row r="3425" spans="1:13" x14ac:dyDescent="0.3">
      <c r="A3425" t="s">
        <v>3469</v>
      </c>
      <c r="B3425" t="s">
        <v>2733</v>
      </c>
      <c r="C3425" t="s">
        <v>16</v>
      </c>
      <c r="D3425" t="s">
        <v>149</v>
      </c>
      <c r="E3425" t="s">
        <v>37</v>
      </c>
    </row>
    <row r="3426" spans="1:13" x14ac:dyDescent="0.3">
      <c r="A3426" t="s">
        <v>3469</v>
      </c>
      <c r="B3426" t="s">
        <v>2733</v>
      </c>
      <c r="C3426" t="s">
        <v>11</v>
      </c>
      <c r="D3426" t="s">
        <v>12</v>
      </c>
      <c r="E3426" t="s">
        <v>13</v>
      </c>
      <c r="H3426" t="s">
        <v>382</v>
      </c>
      <c r="I3426" t="s">
        <v>3479</v>
      </c>
      <c r="L3426" t="s">
        <v>14</v>
      </c>
      <c r="M3426" t="s">
        <v>3479</v>
      </c>
    </row>
    <row r="3427" spans="1:13" x14ac:dyDescent="0.3">
      <c r="A3427" t="s">
        <v>3472</v>
      </c>
      <c r="B3427" t="s">
        <v>527</v>
      </c>
      <c r="C3427" t="s">
        <v>11</v>
      </c>
      <c r="D3427" t="s">
        <v>12</v>
      </c>
      <c r="E3427" t="s">
        <v>391</v>
      </c>
      <c r="H3427" t="s">
        <v>392</v>
      </c>
      <c r="I3427" t="s">
        <v>2758</v>
      </c>
      <c r="L3427" t="s">
        <v>394</v>
      </c>
      <c r="M3427" t="s">
        <v>3479</v>
      </c>
    </row>
    <row r="3428" spans="1:13" x14ac:dyDescent="0.3">
      <c r="A3428" t="s">
        <v>3471</v>
      </c>
      <c r="B3428" t="s">
        <v>2738</v>
      </c>
      <c r="C3428" t="s">
        <v>11</v>
      </c>
      <c r="D3428" t="s">
        <v>12</v>
      </c>
      <c r="E3428" t="s">
        <v>391</v>
      </c>
      <c r="H3428" t="s">
        <v>392</v>
      </c>
      <c r="I3428" t="s">
        <v>3480</v>
      </c>
      <c r="L3428" t="s">
        <v>394</v>
      </c>
      <c r="M3428" t="s">
        <v>3479</v>
      </c>
    </row>
    <row r="3429" spans="1:13" x14ac:dyDescent="0.3">
      <c r="A3429" t="s">
        <v>3470</v>
      </c>
      <c r="B3429" t="s">
        <v>2735</v>
      </c>
      <c r="C3429" t="s">
        <v>308</v>
      </c>
      <c r="D3429" t="s">
        <v>3481</v>
      </c>
      <c r="E3429" t="s">
        <v>406</v>
      </c>
      <c r="H3429" t="s">
        <v>25</v>
      </c>
      <c r="I3429" t="s">
        <v>2761</v>
      </c>
      <c r="L3429" t="s">
        <v>312</v>
      </c>
      <c r="M3429" t="s">
        <v>404</v>
      </c>
    </row>
    <row r="3430" spans="1:13" x14ac:dyDescent="0.3">
      <c r="A3430" t="s">
        <v>3481</v>
      </c>
      <c r="B3430" t="s">
        <v>406</v>
      </c>
      <c r="C3430" t="s">
        <v>11</v>
      </c>
      <c r="D3430" t="s">
        <v>12</v>
      </c>
      <c r="E3430" t="s">
        <v>391</v>
      </c>
      <c r="H3430" t="s">
        <v>392</v>
      </c>
      <c r="I3430" t="s">
        <v>3482</v>
      </c>
      <c r="L3430" t="s">
        <v>394</v>
      </c>
      <c r="M3430" t="s">
        <v>3479</v>
      </c>
    </row>
    <row r="3431" spans="1:13" x14ac:dyDescent="0.3">
      <c r="A3431" t="s">
        <v>3474</v>
      </c>
      <c r="B3431" t="s">
        <v>1138</v>
      </c>
      <c r="C3431" t="s">
        <v>11</v>
      </c>
      <c r="D3431" t="s">
        <v>12</v>
      </c>
      <c r="E3431" t="s">
        <v>391</v>
      </c>
      <c r="H3431" t="s">
        <v>392</v>
      </c>
      <c r="I3431" t="s">
        <v>3483</v>
      </c>
      <c r="L3431" t="s">
        <v>394</v>
      </c>
      <c r="M3431" t="s">
        <v>3479</v>
      </c>
    </row>
    <row r="3432" spans="1:13" x14ac:dyDescent="0.3">
      <c r="A3432" t="s">
        <v>3477</v>
      </c>
      <c r="B3432" t="s">
        <v>341</v>
      </c>
      <c r="C3432" t="s">
        <v>11</v>
      </c>
      <c r="D3432" t="s">
        <v>12</v>
      </c>
      <c r="E3432" t="s">
        <v>391</v>
      </c>
      <c r="H3432" t="s">
        <v>392</v>
      </c>
      <c r="I3432" t="s">
        <v>3484</v>
      </c>
      <c r="L3432" t="s">
        <v>394</v>
      </c>
      <c r="M3432" t="s">
        <v>3479</v>
      </c>
    </row>
    <row r="3433" spans="1:13" x14ac:dyDescent="0.3">
      <c r="A3433" t="s">
        <v>3475</v>
      </c>
      <c r="B3433" t="s">
        <v>1134</v>
      </c>
      <c r="C3433" t="s">
        <v>11</v>
      </c>
      <c r="D3433" t="s">
        <v>12</v>
      </c>
      <c r="E3433" t="s">
        <v>391</v>
      </c>
      <c r="H3433" t="s">
        <v>392</v>
      </c>
      <c r="I3433" t="s">
        <v>3485</v>
      </c>
      <c r="L3433" t="s">
        <v>394</v>
      </c>
      <c r="M3433" t="s">
        <v>3479</v>
      </c>
    </row>
    <row r="3434" spans="1:13" x14ac:dyDescent="0.3">
      <c r="A3434" t="s">
        <v>3476</v>
      </c>
      <c r="B3434" t="s">
        <v>1138</v>
      </c>
      <c r="C3434" t="s">
        <v>11</v>
      </c>
      <c r="D3434" t="s">
        <v>12</v>
      </c>
      <c r="E3434" t="s">
        <v>391</v>
      </c>
      <c r="H3434" t="s">
        <v>392</v>
      </c>
      <c r="I3434" t="s">
        <v>3486</v>
      </c>
      <c r="L3434" t="s">
        <v>394</v>
      </c>
      <c r="M3434" t="s">
        <v>3479</v>
      </c>
    </row>
    <row r="3435" spans="1:13" x14ac:dyDescent="0.3">
      <c r="A3435" t="s">
        <v>3473</v>
      </c>
      <c r="B3435" t="s">
        <v>2077</v>
      </c>
      <c r="C3435" t="s">
        <v>11</v>
      </c>
      <c r="D3435" t="s">
        <v>12</v>
      </c>
      <c r="E3435" t="s">
        <v>391</v>
      </c>
      <c r="H3435" t="s">
        <v>392</v>
      </c>
      <c r="I3435" t="s">
        <v>2128</v>
      </c>
      <c r="L3435" t="s">
        <v>394</v>
      </c>
      <c r="M3435" t="s">
        <v>3479</v>
      </c>
    </row>
    <row r="3436" spans="1:13" x14ac:dyDescent="0.3">
      <c r="A3436" t="s">
        <v>3487</v>
      </c>
      <c r="B3436" t="s">
        <v>2733</v>
      </c>
      <c r="C3436" t="s">
        <v>280</v>
      </c>
      <c r="D3436" t="s">
        <v>3488</v>
      </c>
      <c r="E3436" t="s">
        <v>2735</v>
      </c>
      <c r="H3436" t="s">
        <v>25</v>
      </c>
      <c r="I3436" t="s">
        <v>2736</v>
      </c>
    </row>
    <row r="3437" spans="1:13" x14ac:dyDescent="0.3">
      <c r="A3437" t="s">
        <v>3487</v>
      </c>
      <c r="B3437" t="s">
        <v>2733</v>
      </c>
      <c r="C3437" t="s">
        <v>308</v>
      </c>
      <c r="D3437" t="s">
        <v>3489</v>
      </c>
      <c r="E3437" t="s">
        <v>2738</v>
      </c>
      <c r="H3437" t="s">
        <v>25</v>
      </c>
      <c r="I3437" t="s">
        <v>2739</v>
      </c>
      <c r="L3437" t="s">
        <v>312</v>
      </c>
      <c r="M3437" t="s">
        <v>327</v>
      </c>
    </row>
    <row r="3438" spans="1:13" x14ac:dyDescent="0.3">
      <c r="A3438" t="s">
        <v>3487</v>
      </c>
      <c r="B3438" t="s">
        <v>2733</v>
      </c>
      <c r="C3438" t="s">
        <v>308</v>
      </c>
      <c r="D3438" t="s">
        <v>3490</v>
      </c>
      <c r="E3438" t="s">
        <v>527</v>
      </c>
      <c r="H3438" t="s">
        <v>25</v>
      </c>
      <c r="I3438" t="s">
        <v>2741</v>
      </c>
      <c r="L3438" t="s">
        <v>312</v>
      </c>
      <c r="M3438" t="s">
        <v>343</v>
      </c>
    </row>
    <row r="3439" spans="1:13" x14ac:dyDescent="0.3">
      <c r="A3439" t="s">
        <v>3487</v>
      </c>
      <c r="B3439" t="s">
        <v>2733</v>
      </c>
      <c r="C3439" t="s">
        <v>308</v>
      </c>
      <c r="D3439" t="s">
        <v>3491</v>
      </c>
      <c r="E3439" t="s">
        <v>2077</v>
      </c>
      <c r="H3439" t="s">
        <v>25</v>
      </c>
      <c r="I3439" t="s">
        <v>2078</v>
      </c>
      <c r="L3439" t="s">
        <v>312</v>
      </c>
      <c r="M3439" t="s">
        <v>1687</v>
      </c>
    </row>
    <row r="3440" spans="1:13" x14ac:dyDescent="0.3">
      <c r="A3440" t="s">
        <v>3487</v>
      </c>
      <c r="B3440" t="s">
        <v>2733</v>
      </c>
      <c r="C3440" t="s">
        <v>308</v>
      </c>
      <c r="D3440" t="s">
        <v>3492</v>
      </c>
      <c r="E3440" t="s">
        <v>1138</v>
      </c>
      <c r="H3440" t="s">
        <v>25</v>
      </c>
      <c r="I3440" t="s">
        <v>2065</v>
      </c>
      <c r="L3440" t="s">
        <v>312</v>
      </c>
      <c r="M3440" t="s">
        <v>317</v>
      </c>
    </row>
    <row r="3441" spans="1:27" x14ac:dyDescent="0.3">
      <c r="A3441" t="s">
        <v>3487</v>
      </c>
      <c r="B3441" t="s">
        <v>2733</v>
      </c>
      <c r="C3441" t="s">
        <v>308</v>
      </c>
      <c r="D3441" t="s">
        <v>3493</v>
      </c>
      <c r="E3441" t="s">
        <v>1134</v>
      </c>
      <c r="H3441" t="s">
        <v>25</v>
      </c>
      <c r="I3441" t="s">
        <v>2069</v>
      </c>
      <c r="L3441" t="s">
        <v>312</v>
      </c>
      <c r="M3441" t="s">
        <v>317</v>
      </c>
    </row>
    <row r="3442" spans="1:27" x14ac:dyDescent="0.3">
      <c r="A3442" t="s">
        <v>3487</v>
      </c>
      <c r="B3442" t="s">
        <v>2733</v>
      </c>
      <c r="C3442" t="s">
        <v>308</v>
      </c>
      <c r="D3442" t="s">
        <v>3494</v>
      </c>
      <c r="E3442" t="s">
        <v>1138</v>
      </c>
      <c r="H3442" t="s">
        <v>25</v>
      </c>
      <c r="I3442" t="s">
        <v>2746</v>
      </c>
      <c r="L3442" t="s">
        <v>312</v>
      </c>
      <c r="M3442" t="s">
        <v>317</v>
      </c>
    </row>
    <row r="3443" spans="1:27" x14ac:dyDescent="0.3">
      <c r="A3443" t="s">
        <v>3487</v>
      </c>
      <c r="B3443" t="s">
        <v>2733</v>
      </c>
      <c r="C3443" t="s">
        <v>308</v>
      </c>
      <c r="D3443" t="s">
        <v>3495</v>
      </c>
      <c r="E3443" t="s">
        <v>341</v>
      </c>
      <c r="H3443" t="s">
        <v>25</v>
      </c>
      <c r="I3443" t="s">
        <v>342</v>
      </c>
      <c r="L3443" t="s">
        <v>312</v>
      </c>
      <c r="M3443" t="s">
        <v>343</v>
      </c>
    </row>
    <row r="3444" spans="1:27" x14ac:dyDescent="0.3">
      <c r="A3444" t="s">
        <v>3487</v>
      </c>
      <c r="B3444" t="s">
        <v>2733</v>
      </c>
      <c r="C3444" t="s">
        <v>22</v>
      </c>
      <c r="D3444" t="s">
        <v>23</v>
      </c>
      <c r="E3444" t="s">
        <v>28</v>
      </c>
    </row>
    <row r="3445" spans="1:27" x14ac:dyDescent="0.3">
      <c r="A3445" t="s">
        <v>3487</v>
      </c>
      <c r="B3445" t="s">
        <v>2733</v>
      </c>
      <c r="C3445" t="s">
        <v>2748</v>
      </c>
      <c r="D3445">
        <v>2</v>
      </c>
      <c r="H3445" t="s">
        <v>312</v>
      </c>
      <c r="I3445" t="s">
        <v>385</v>
      </c>
    </row>
    <row r="3446" spans="1:27" x14ac:dyDescent="0.3">
      <c r="A3446" t="s">
        <v>3487</v>
      </c>
      <c r="B3446" t="s">
        <v>2733</v>
      </c>
      <c r="C3446" t="s">
        <v>378</v>
      </c>
      <c r="D3446">
        <v>300</v>
      </c>
      <c r="H3446" t="s">
        <v>312</v>
      </c>
      <c r="I3446" t="s">
        <v>327</v>
      </c>
    </row>
    <row r="3447" spans="1:27" x14ac:dyDescent="0.3">
      <c r="A3447" t="s">
        <v>3487</v>
      </c>
      <c r="B3447" t="s">
        <v>2733</v>
      </c>
      <c r="C3447" t="s">
        <v>380</v>
      </c>
      <c r="D3447" t="s">
        <v>278</v>
      </c>
      <c r="E3447" t="s">
        <v>279</v>
      </c>
      <c r="F3447" t="s">
        <v>25</v>
      </c>
      <c r="G3447" t="s">
        <v>3496</v>
      </c>
      <c r="J3447" t="s">
        <v>2089</v>
      </c>
      <c r="K3447" t="s">
        <v>2750</v>
      </c>
      <c r="N3447" t="s">
        <v>2751</v>
      </c>
      <c r="O3447">
        <v>4</v>
      </c>
      <c r="R3447" t="s">
        <v>2752</v>
      </c>
      <c r="S3447">
        <v>248</v>
      </c>
      <c r="V3447" t="s">
        <v>2753</v>
      </c>
      <c r="W3447" t="s">
        <v>2754</v>
      </c>
      <c r="Z3447" t="s">
        <v>2755</v>
      </c>
      <c r="AA3447" t="s">
        <v>2756</v>
      </c>
    </row>
    <row r="3448" spans="1:27" x14ac:dyDescent="0.3">
      <c r="A3448" t="s">
        <v>3487</v>
      </c>
      <c r="B3448" t="s">
        <v>2733</v>
      </c>
      <c r="C3448" t="s">
        <v>16</v>
      </c>
      <c r="D3448" t="s">
        <v>149</v>
      </c>
      <c r="E3448" t="s">
        <v>37</v>
      </c>
    </row>
    <row r="3449" spans="1:27" x14ac:dyDescent="0.3">
      <c r="A3449" t="s">
        <v>3487</v>
      </c>
      <c r="B3449" t="s">
        <v>2733</v>
      </c>
      <c r="C3449" t="s">
        <v>11</v>
      </c>
      <c r="D3449" t="s">
        <v>12</v>
      </c>
      <c r="E3449" t="s">
        <v>13</v>
      </c>
      <c r="H3449" t="s">
        <v>382</v>
      </c>
      <c r="I3449" t="s">
        <v>3497</v>
      </c>
      <c r="L3449" t="s">
        <v>14</v>
      </c>
      <c r="M3449" t="s">
        <v>3497</v>
      </c>
    </row>
    <row r="3450" spans="1:27" x14ac:dyDescent="0.3">
      <c r="A3450" t="s">
        <v>3490</v>
      </c>
      <c r="B3450" t="s">
        <v>527</v>
      </c>
      <c r="C3450" t="s">
        <v>11</v>
      </c>
      <c r="D3450" t="s">
        <v>12</v>
      </c>
      <c r="E3450" t="s">
        <v>391</v>
      </c>
      <c r="H3450" t="s">
        <v>392</v>
      </c>
      <c r="I3450" t="s">
        <v>2758</v>
      </c>
      <c r="L3450" t="s">
        <v>394</v>
      </c>
      <c r="M3450" t="s">
        <v>3497</v>
      </c>
    </row>
    <row r="3451" spans="1:27" x14ac:dyDescent="0.3">
      <c r="A3451" t="s">
        <v>3489</v>
      </c>
      <c r="B3451" t="s">
        <v>2738</v>
      </c>
      <c r="C3451" t="s">
        <v>11</v>
      </c>
      <c r="D3451" t="s">
        <v>12</v>
      </c>
      <c r="E3451" t="s">
        <v>391</v>
      </c>
      <c r="H3451" t="s">
        <v>392</v>
      </c>
      <c r="I3451" t="s">
        <v>3498</v>
      </c>
      <c r="L3451" t="s">
        <v>394</v>
      </c>
      <c r="M3451" t="s">
        <v>3497</v>
      </c>
    </row>
    <row r="3452" spans="1:27" x14ac:dyDescent="0.3">
      <c r="A3452" t="s">
        <v>3488</v>
      </c>
      <c r="B3452" t="s">
        <v>2735</v>
      </c>
      <c r="C3452" t="s">
        <v>308</v>
      </c>
      <c r="D3452" t="s">
        <v>3499</v>
      </c>
      <c r="E3452" t="s">
        <v>406</v>
      </c>
      <c r="H3452" t="s">
        <v>25</v>
      </c>
      <c r="I3452" t="s">
        <v>2761</v>
      </c>
      <c r="L3452" t="s">
        <v>312</v>
      </c>
      <c r="M3452" t="s">
        <v>404</v>
      </c>
    </row>
    <row r="3453" spans="1:27" x14ac:dyDescent="0.3">
      <c r="A3453" t="s">
        <v>3499</v>
      </c>
      <c r="B3453" t="s">
        <v>406</v>
      </c>
      <c r="C3453" t="s">
        <v>11</v>
      </c>
      <c r="D3453" t="s">
        <v>12</v>
      </c>
      <c r="E3453" t="s">
        <v>391</v>
      </c>
      <c r="H3453" t="s">
        <v>392</v>
      </c>
      <c r="I3453" t="s">
        <v>3500</v>
      </c>
      <c r="L3453" t="s">
        <v>394</v>
      </c>
      <c r="M3453" t="s">
        <v>3497</v>
      </c>
    </row>
    <row r="3454" spans="1:27" x14ac:dyDescent="0.3">
      <c r="A3454" t="s">
        <v>3492</v>
      </c>
      <c r="B3454" t="s">
        <v>1138</v>
      </c>
      <c r="C3454" t="s">
        <v>11</v>
      </c>
      <c r="D3454" t="s">
        <v>12</v>
      </c>
      <c r="E3454" t="s">
        <v>391</v>
      </c>
      <c r="H3454" t="s">
        <v>392</v>
      </c>
      <c r="I3454" t="s">
        <v>3501</v>
      </c>
      <c r="L3454" t="s">
        <v>394</v>
      </c>
      <c r="M3454" t="s">
        <v>3497</v>
      </c>
    </row>
    <row r="3455" spans="1:27" x14ac:dyDescent="0.3">
      <c r="A3455" t="s">
        <v>3495</v>
      </c>
      <c r="B3455" t="s">
        <v>341</v>
      </c>
      <c r="C3455" t="s">
        <v>11</v>
      </c>
      <c r="D3455" t="s">
        <v>12</v>
      </c>
      <c r="E3455" t="s">
        <v>391</v>
      </c>
      <c r="H3455" t="s">
        <v>392</v>
      </c>
      <c r="I3455" t="s">
        <v>3502</v>
      </c>
      <c r="L3455" t="s">
        <v>394</v>
      </c>
      <c r="M3455" t="s">
        <v>3497</v>
      </c>
    </row>
    <row r="3456" spans="1:27" x14ac:dyDescent="0.3">
      <c r="A3456" t="s">
        <v>3493</v>
      </c>
      <c r="B3456" t="s">
        <v>1134</v>
      </c>
      <c r="C3456" t="s">
        <v>11</v>
      </c>
      <c r="D3456" t="s">
        <v>12</v>
      </c>
      <c r="E3456" t="s">
        <v>391</v>
      </c>
      <c r="H3456" t="s">
        <v>392</v>
      </c>
      <c r="I3456" t="s">
        <v>3503</v>
      </c>
      <c r="L3456" t="s">
        <v>394</v>
      </c>
      <c r="M3456" t="s">
        <v>3497</v>
      </c>
    </row>
    <row r="3457" spans="1:27" x14ac:dyDescent="0.3">
      <c r="A3457" t="s">
        <v>3494</v>
      </c>
      <c r="B3457" t="s">
        <v>1138</v>
      </c>
      <c r="C3457" t="s">
        <v>11</v>
      </c>
      <c r="D3457" t="s">
        <v>12</v>
      </c>
      <c r="E3457" t="s">
        <v>391</v>
      </c>
      <c r="H3457" t="s">
        <v>392</v>
      </c>
      <c r="I3457" t="s">
        <v>3504</v>
      </c>
      <c r="L3457" t="s">
        <v>394</v>
      </c>
      <c r="M3457" t="s">
        <v>3497</v>
      </c>
    </row>
    <row r="3458" spans="1:27" x14ac:dyDescent="0.3">
      <c r="A3458" t="s">
        <v>3491</v>
      </c>
      <c r="B3458" t="s">
        <v>2077</v>
      </c>
      <c r="C3458" t="s">
        <v>11</v>
      </c>
      <c r="D3458" t="s">
        <v>12</v>
      </c>
      <c r="E3458" t="s">
        <v>391</v>
      </c>
      <c r="H3458" t="s">
        <v>392</v>
      </c>
      <c r="I3458" t="s">
        <v>2128</v>
      </c>
      <c r="L3458" t="s">
        <v>394</v>
      </c>
      <c r="M3458" t="s">
        <v>3497</v>
      </c>
    </row>
    <row r="3459" spans="1:27" x14ac:dyDescent="0.3">
      <c r="A3459" t="s">
        <v>3505</v>
      </c>
      <c r="B3459" t="s">
        <v>2733</v>
      </c>
      <c r="C3459" t="s">
        <v>280</v>
      </c>
      <c r="D3459" t="s">
        <v>3506</v>
      </c>
      <c r="E3459" t="s">
        <v>2735</v>
      </c>
      <c r="H3459" t="s">
        <v>25</v>
      </c>
      <c r="I3459" t="s">
        <v>2736</v>
      </c>
    </row>
    <row r="3460" spans="1:27" x14ac:dyDescent="0.3">
      <c r="A3460" t="s">
        <v>3505</v>
      </c>
      <c r="B3460" t="s">
        <v>2733</v>
      </c>
      <c r="C3460" t="s">
        <v>308</v>
      </c>
      <c r="D3460" t="s">
        <v>3507</v>
      </c>
      <c r="E3460" t="s">
        <v>2738</v>
      </c>
      <c r="H3460" t="s">
        <v>25</v>
      </c>
      <c r="I3460" t="s">
        <v>2739</v>
      </c>
      <c r="L3460" t="s">
        <v>312</v>
      </c>
      <c r="M3460" t="s">
        <v>327</v>
      </c>
    </row>
    <row r="3461" spans="1:27" x14ac:dyDescent="0.3">
      <c r="A3461" t="s">
        <v>3505</v>
      </c>
      <c r="B3461" t="s">
        <v>2733</v>
      </c>
      <c r="C3461" t="s">
        <v>308</v>
      </c>
      <c r="D3461" t="s">
        <v>3508</v>
      </c>
      <c r="E3461" t="s">
        <v>527</v>
      </c>
      <c r="H3461" t="s">
        <v>25</v>
      </c>
      <c r="I3461" t="s">
        <v>2741</v>
      </c>
      <c r="L3461" t="s">
        <v>312</v>
      </c>
      <c r="M3461" t="s">
        <v>343</v>
      </c>
    </row>
    <row r="3462" spans="1:27" x14ac:dyDescent="0.3">
      <c r="A3462" t="s">
        <v>3505</v>
      </c>
      <c r="B3462" t="s">
        <v>2733</v>
      </c>
      <c r="C3462" t="s">
        <v>308</v>
      </c>
      <c r="D3462" t="s">
        <v>3509</v>
      </c>
      <c r="E3462" t="s">
        <v>2077</v>
      </c>
      <c r="H3462" t="s">
        <v>25</v>
      </c>
      <c r="I3462" t="s">
        <v>2078</v>
      </c>
      <c r="L3462" t="s">
        <v>312</v>
      </c>
      <c r="M3462" t="s">
        <v>1687</v>
      </c>
    </row>
    <row r="3463" spans="1:27" x14ac:dyDescent="0.3">
      <c r="A3463" t="s">
        <v>3505</v>
      </c>
      <c r="B3463" t="s">
        <v>2733</v>
      </c>
      <c r="C3463" t="s">
        <v>308</v>
      </c>
      <c r="D3463" t="s">
        <v>3510</v>
      </c>
      <c r="E3463" t="s">
        <v>1138</v>
      </c>
      <c r="H3463" t="s">
        <v>25</v>
      </c>
      <c r="I3463" t="s">
        <v>2065</v>
      </c>
      <c r="L3463" t="s">
        <v>312</v>
      </c>
      <c r="M3463" t="s">
        <v>317</v>
      </c>
    </row>
    <row r="3464" spans="1:27" x14ac:dyDescent="0.3">
      <c r="A3464" t="s">
        <v>3505</v>
      </c>
      <c r="B3464" t="s">
        <v>2733</v>
      </c>
      <c r="C3464" t="s">
        <v>308</v>
      </c>
      <c r="D3464" t="s">
        <v>3511</v>
      </c>
      <c r="E3464" t="s">
        <v>1134</v>
      </c>
      <c r="H3464" t="s">
        <v>25</v>
      </c>
      <c r="I3464" t="s">
        <v>2069</v>
      </c>
      <c r="L3464" t="s">
        <v>312</v>
      </c>
      <c r="M3464" t="s">
        <v>317</v>
      </c>
    </row>
    <row r="3465" spans="1:27" x14ac:dyDescent="0.3">
      <c r="A3465" t="s">
        <v>3505</v>
      </c>
      <c r="B3465" t="s">
        <v>2733</v>
      </c>
      <c r="C3465" t="s">
        <v>308</v>
      </c>
      <c r="D3465" t="s">
        <v>3512</v>
      </c>
      <c r="E3465" t="s">
        <v>1138</v>
      </c>
      <c r="H3465" t="s">
        <v>25</v>
      </c>
      <c r="I3465" t="s">
        <v>2746</v>
      </c>
      <c r="L3465" t="s">
        <v>312</v>
      </c>
      <c r="M3465" t="s">
        <v>317</v>
      </c>
    </row>
    <row r="3466" spans="1:27" x14ac:dyDescent="0.3">
      <c r="A3466" t="s">
        <v>3505</v>
      </c>
      <c r="B3466" t="s">
        <v>2733</v>
      </c>
      <c r="C3466" t="s">
        <v>308</v>
      </c>
      <c r="D3466" t="s">
        <v>3513</v>
      </c>
      <c r="E3466" t="s">
        <v>341</v>
      </c>
      <c r="H3466" t="s">
        <v>25</v>
      </c>
      <c r="I3466" t="s">
        <v>342</v>
      </c>
      <c r="L3466" t="s">
        <v>312</v>
      </c>
      <c r="M3466" t="s">
        <v>343</v>
      </c>
    </row>
    <row r="3467" spans="1:27" x14ac:dyDescent="0.3">
      <c r="A3467" t="s">
        <v>3505</v>
      </c>
      <c r="B3467" t="s">
        <v>2733</v>
      </c>
      <c r="C3467" t="s">
        <v>22</v>
      </c>
      <c r="D3467" t="s">
        <v>23</v>
      </c>
      <c r="E3467" t="s">
        <v>28</v>
      </c>
    </row>
    <row r="3468" spans="1:27" x14ac:dyDescent="0.3">
      <c r="A3468" t="s">
        <v>3505</v>
      </c>
      <c r="B3468" t="s">
        <v>2733</v>
      </c>
      <c r="C3468" t="s">
        <v>2748</v>
      </c>
      <c r="D3468">
        <v>3</v>
      </c>
      <c r="H3468" t="s">
        <v>312</v>
      </c>
      <c r="I3468" t="s">
        <v>385</v>
      </c>
    </row>
    <row r="3469" spans="1:27" x14ac:dyDescent="0.3">
      <c r="A3469" t="s">
        <v>3505</v>
      </c>
      <c r="B3469" t="s">
        <v>2733</v>
      </c>
      <c r="C3469" t="s">
        <v>378</v>
      </c>
      <c r="D3469">
        <v>385</v>
      </c>
      <c r="H3469" t="s">
        <v>312</v>
      </c>
      <c r="I3469" t="s">
        <v>327</v>
      </c>
    </row>
    <row r="3470" spans="1:27" x14ac:dyDescent="0.3">
      <c r="A3470" t="s">
        <v>3505</v>
      </c>
      <c r="B3470" t="s">
        <v>2733</v>
      </c>
      <c r="C3470" t="s">
        <v>380</v>
      </c>
      <c r="D3470" t="s">
        <v>278</v>
      </c>
      <c r="E3470" t="s">
        <v>279</v>
      </c>
      <c r="F3470" t="s">
        <v>25</v>
      </c>
      <c r="G3470" t="s">
        <v>3514</v>
      </c>
      <c r="J3470" t="s">
        <v>2089</v>
      </c>
      <c r="K3470" t="s">
        <v>2750</v>
      </c>
      <c r="N3470" t="s">
        <v>2751</v>
      </c>
      <c r="O3470">
        <v>5</v>
      </c>
      <c r="R3470" t="s">
        <v>2752</v>
      </c>
      <c r="S3470">
        <v>313</v>
      </c>
      <c r="V3470" t="s">
        <v>2753</v>
      </c>
      <c r="W3470" t="s">
        <v>2754</v>
      </c>
      <c r="Z3470" t="s">
        <v>2755</v>
      </c>
      <c r="AA3470" t="s">
        <v>2756</v>
      </c>
    </row>
    <row r="3471" spans="1:27" x14ac:dyDescent="0.3">
      <c r="A3471" t="s">
        <v>3505</v>
      </c>
      <c r="B3471" t="s">
        <v>2733</v>
      </c>
      <c r="C3471" t="s">
        <v>16</v>
      </c>
      <c r="D3471" t="s">
        <v>147</v>
      </c>
      <c r="E3471" t="s">
        <v>37</v>
      </c>
    </row>
    <row r="3472" spans="1:27" x14ac:dyDescent="0.3">
      <c r="A3472" t="s">
        <v>3505</v>
      </c>
      <c r="B3472" t="s">
        <v>2733</v>
      </c>
      <c r="C3472" t="s">
        <v>11</v>
      </c>
      <c r="D3472" t="s">
        <v>12</v>
      </c>
      <c r="E3472" t="s">
        <v>13</v>
      </c>
      <c r="H3472" t="s">
        <v>382</v>
      </c>
      <c r="I3472" t="s">
        <v>3515</v>
      </c>
      <c r="L3472" t="s">
        <v>14</v>
      </c>
      <c r="M3472" t="s">
        <v>3515</v>
      </c>
    </row>
    <row r="3473" spans="1:13" x14ac:dyDescent="0.3">
      <c r="A3473" t="s">
        <v>3508</v>
      </c>
      <c r="B3473" t="s">
        <v>527</v>
      </c>
      <c r="C3473" t="s">
        <v>11</v>
      </c>
      <c r="D3473" t="s">
        <v>12</v>
      </c>
      <c r="E3473" t="s">
        <v>391</v>
      </c>
      <c r="H3473" t="s">
        <v>392</v>
      </c>
      <c r="I3473" t="s">
        <v>2758</v>
      </c>
      <c r="L3473" t="s">
        <v>394</v>
      </c>
      <c r="M3473" t="s">
        <v>3515</v>
      </c>
    </row>
    <row r="3474" spans="1:13" x14ac:dyDescent="0.3">
      <c r="A3474" t="s">
        <v>3507</v>
      </c>
      <c r="B3474" t="s">
        <v>2738</v>
      </c>
      <c r="C3474" t="s">
        <v>11</v>
      </c>
      <c r="D3474" t="s">
        <v>12</v>
      </c>
      <c r="E3474" t="s">
        <v>391</v>
      </c>
      <c r="H3474" t="s">
        <v>392</v>
      </c>
      <c r="I3474" t="s">
        <v>3516</v>
      </c>
      <c r="L3474" t="s">
        <v>394</v>
      </c>
      <c r="M3474" t="s">
        <v>3515</v>
      </c>
    </row>
    <row r="3475" spans="1:13" x14ac:dyDescent="0.3">
      <c r="A3475" t="s">
        <v>3506</v>
      </c>
      <c r="B3475" t="s">
        <v>2735</v>
      </c>
      <c r="C3475" t="s">
        <v>308</v>
      </c>
      <c r="D3475" t="s">
        <v>3517</v>
      </c>
      <c r="E3475" t="s">
        <v>406</v>
      </c>
      <c r="H3475" t="s">
        <v>25</v>
      </c>
      <c r="I3475" t="s">
        <v>2761</v>
      </c>
      <c r="L3475" t="s">
        <v>312</v>
      </c>
      <c r="M3475" t="s">
        <v>404</v>
      </c>
    </row>
    <row r="3476" spans="1:13" x14ac:dyDescent="0.3">
      <c r="A3476" t="s">
        <v>3517</v>
      </c>
      <c r="B3476" t="s">
        <v>406</v>
      </c>
      <c r="C3476" t="s">
        <v>11</v>
      </c>
      <c r="D3476" t="s">
        <v>12</v>
      </c>
      <c r="E3476" t="s">
        <v>391</v>
      </c>
      <c r="H3476" t="s">
        <v>392</v>
      </c>
      <c r="I3476" t="s">
        <v>3518</v>
      </c>
      <c r="L3476" t="s">
        <v>394</v>
      </c>
      <c r="M3476" t="s">
        <v>3515</v>
      </c>
    </row>
    <row r="3477" spans="1:13" x14ac:dyDescent="0.3">
      <c r="A3477" t="s">
        <v>3510</v>
      </c>
      <c r="B3477" t="s">
        <v>1138</v>
      </c>
      <c r="C3477" t="s">
        <v>11</v>
      </c>
      <c r="D3477" t="s">
        <v>12</v>
      </c>
      <c r="E3477" t="s">
        <v>391</v>
      </c>
      <c r="H3477" t="s">
        <v>392</v>
      </c>
      <c r="I3477" t="s">
        <v>3519</v>
      </c>
      <c r="L3477" t="s">
        <v>394</v>
      </c>
      <c r="M3477" t="s">
        <v>3515</v>
      </c>
    </row>
    <row r="3478" spans="1:13" x14ac:dyDescent="0.3">
      <c r="A3478" t="s">
        <v>3513</v>
      </c>
      <c r="B3478" t="s">
        <v>341</v>
      </c>
      <c r="C3478" t="s">
        <v>11</v>
      </c>
      <c r="D3478" t="s">
        <v>12</v>
      </c>
      <c r="E3478" t="s">
        <v>391</v>
      </c>
      <c r="H3478" t="s">
        <v>392</v>
      </c>
      <c r="I3478" t="s">
        <v>3520</v>
      </c>
      <c r="L3478" t="s">
        <v>394</v>
      </c>
      <c r="M3478" t="s">
        <v>3515</v>
      </c>
    </row>
    <row r="3479" spans="1:13" x14ac:dyDescent="0.3">
      <c r="A3479" t="s">
        <v>3511</v>
      </c>
      <c r="B3479" t="s">
        <v>1134</v>
      </c>
      <c r="C3479" t="s">
        <v>11</v>
      </c>
      <c r="D3479" t="s">
        <v>12</v>
      </c>
      <c r="E3479" t="s">
        <v>391</v>
      </c>
      <c r="H3479" t="s">
        <v>392</v>
      </c>
      <c r="I3479" t="s">
        <v>3521</v>
      </c>
      <c r="L3479" t="s">
        <v>394</v>
      </c>
      <c r="M3479" t="s">
        <v>3515</v>
      </c>
    </row>
    <row r="3480" spans="1:13" x14ac:dyDescent="0.3">
      <c r="A3480" t="s">
        <v>3512</v>
      </c>
      <c r="B3480" t="s">
        <v>1138</v>
      </c>
      <c r="C3480" t="s">
        <v>11</v>
      </c>
      <c r="D3480" t="s">
        <v>12</v>
      </c>
      <c r="E3480" t="s">
        <v>391</v>
      </c>
      <c r="H3480" t="s">
        <v>392</v>
      </c>
      <c r="I3480" t="s">
        <v>3522</v>
      </c>
      <c r="L3480" t="s">
        <v>394</v>
      </c>
      <c r="M3480" t="s">
        <v>3515</v>
      </c>
    </row>
    <row r="3481" spans="1:13" x14ac:dyDescent="0.3">
      <c r="A3481" t="s">
        <v>3509</v>
      </c>
      <c r="B3481" t="s">
        <v>2077</v>
      </c>
      <c r="C3481" t="s">
        <v>11</v>
      </c>
      <c r="D3481" t="s">
        <v>12</v>
      </c>
      <c r="E3481" t="s">
        <v>391</v>
      </c>
      <c r="H3481" t="s">
        <v>392</v>
      </c>
      <c r="I3481" t="s">
        <v>2128</v>
      </c>
      <c r="L3481" t="s">
        <v>394</v>
      </c>
      <c r="M3481" t="s">
        <v>3515</v>
      </c>
    </row>
    <row r="3482" spans="1:13" x14ac:dyDescent="0.3">
      <c r="A3482" t="s">
        <v>3523</v>
      </c>
      <c r="B3482" t="s">
        <v>2733</v>
      </c>
      <c r="C3482" t="s">
        <v>280</v>
      </c>
      <c r="D3482" t="s">
        <v>3524</v>
      </c>
      <c r="E3482" t="s">
        <v>2735</v>
      </c>
      <c r="H3482" t="s">
        <v>25</v>
      </c>
      <c r="I3482" t="s">
        <v>2736</v>
      </c>
    </row>
    <row r="3483" spans="1:13" x14ac:dyDescent="0.3">
      <c r="A3483" t="s">
        <v>3523</v>
      </c>
      <c r="B3483" t="s">
        <v>2733</v>
      </c>
      <c r="C3483" t="s">
        <v>308</v>
      </c>
      <c r="D3483" t="s">
        <v>3525</v>
      </c>
      <c r="E3483" t="s">
        <v>2738</v>
      </c>
      <c r="H3483" t="s">
        <v>25</v>
      </c>
      <c r="I3483" t="s">
        <v>2739</v>
      </c>
      <c r="L3483" t="s">
        <v>312</v>
      </c>
      <c r="M3483" t="s">
        <v>327</v>
      </c>
    </row>
    <row r="3484" spans="1:13" x14ac:dyDescent="0.3">
      <c r="A3484" t="s">
        <v>3523</v>
      </c>
      <c r="B3484" t="s">
        <v>2733</v>
      </c>
      <c r="C3484" t="s">
        <v>308</v>
      </c>
      <c r="D3484" t="s">
        <v>3526</v>
      </c>
      <c r="E3484" t="s">
        <v>527</v>
      </c>
      <c r="H3484" t="s">
        <v>25</v>
      </c>
      <c r="I3484" t="s">
        <v>2741</v>
      </c>
      <c r="L3484" t="s">
        <v>312</v>
      </c>
      <c r="M3484" t="s">
        <v>343</v>
      </c>
    </row>
    <row r="3485" spans="1:13" x14ac:dyDescent="0.3">
      <c r="A3485" t="s">
        <v>3523</v>
      </c>
      <c r="B3485" t="s">
        <v>2733</v>
      </c>
      <c r="C3485" t="s">
        <v>308</v>
      </c>
      <c r="D3485" t="s">
        <v>3527</v>
      </c>
      <c r="E3485" t="s">
        <v>2077</v>
      </c>
      <c r="H3485" t="s">
        <v>25</v>
      </c>
      <c r="I3485" t="s">
        <v>2078</v>
      </c>
      <c r="L3485" t="s">
        <v>312</v>
      </c>
      <c r="M3485" t="s">
        <v>1687</v>
      </c>
    </row>
    <row r="3486" spans="1:13" x14ac:dyDescent="0.3">
      <c r="A3486" t="s">
        <v>3523</v>
      </c>
      <c r="B3486" t="s">
        <v>2733</v>
      </c>
      <c r="C3486" t="s">
        <v>308</v>
      </c>
      <c r="D3486" t="s">
        <v>3528</v>
      </c>
      <c r="E3486" t="s">
        <v>1138</v>
      </c>
      <c r="H3486" t="s">
        <v>25</v>
      </c>
      <c r="I3486" t="s">
        <v>2065</v>
      </c>
      <c r="L3486" t="s">
        <v>312</v>
      </c>
      <c r="M3486" t="s">
        <v>317</v>
      </c>
    </row>
    <row r="3487" spans="1:13" x14ac:dyDescent="0.3">
      <c r="A3487" t="s">
        <v>3523</v>
      </c>
      <c r="B3487" t="s">
        <v>2733</v>
      </c>
      <c r="C3487" t="s">
        <v>308</v>
      </c>
      <c r="D3487" t="s">
        <v>3529</v>
      </c>
      <c r="E3487" t="s">
        <v>1134</v>
      </c>
      <c r="H3487" t="s">
        <v>25</v>
      </c>
      <c r="I3487" t="s">
        <v>2069</v>
      </c>
      <c r="L3487" t="s">
        <v>312</v>
      </c>
      <c r="M3487" t="s">
        <v>317</v>
      </c>
    </row>
    <row r="3488" spans="1:13" x14ac:dyDescent="0.3">
      <c r="A3488" t="s">
        <v>3523</v>
      </c>
      <c r="B3488" t="s">
        <v>2733</v>
      </c>
      <c r="C3488" t="s">
        <v>308</v>
      </c>
      <c r="D3488" t="s">
        <v>3530</v>
      </c>
      <c r="E3488" t="s">
        <v>1138</v>
      </c>
      <c r="H3488" t="s">
        <v>25</v>
      </c>
      <c r="I3488" t="s">
        <v>2746</v>
      </c>
      <c r="L3488" t="s">
        <v>312</v>
      </c>
      <c r="M3488" t="s">
        <v>317</v>
      </c>
    </row>
    <row r="3489" spans="1:27" x14ac:dyDescent="0.3">
      <c r="A3489" t="s">
        <v>3523</v>
      </c>
      <c r="B3489" t="s">
        <v>2733</v>
      </c>
      <c r="C3489" t="s">
        <v>308</v>
      </c>
      <c r="D3489" t="s">
        <v>3531</v>
      </c>
      <c r="E3489" t="s">
        <v>341</v>
      </c>
      <c r="H3489" t="s">
        <v>25</v>
      </c>
      <c r="I3489" t="s">
        <v>342</v>
      </c>
      <c r="L3489" t="s">
        <v>312</v>
      </c>
      <c r="M3489" t="s">
        <v>343</v>
      </c>
    </row>
    <row r="3490" spans="1:27" x14ac:dyDescent="0.3">
      <c r="A3490" t="s">
        <v>3523</v>
      </c>
      <c r="B3490" t="s">
        <v>2733</v>
      </c>
      <c r="C3490" t="s">
        <v>22</v>
      </c>
      <c r="D3490" t="s">
        <v>23</v>
      </c>
      <c r="E3490" t="s">
        <v>28</v>
      </c>
    </row>
    <row r="3491" spans="1:27" x14ac:dyDescent="0.3">
      <c r="A3491" t="s">
        <v>3523</v>
      </c>
      <c r="B3491" t="s">
        <v>2733</v>
      </c>
      <c r="C3491" t="s">
        <v>2748</v>
      </c>
      <c r="D3491">
        <v>3</v>
      </c>
      <c r="H3491" t="s">
        <v>312</v>
      </c>
      <c r="I3491" t="s">
        <v>385</v>
      </c>
    </row>
    <row r="3492" spans="1:27" x14ac:dyDescent="0.3">
      <c r="A3492" t="s">
        <v>3523</v>
      </c>
      <c r="B3492" t="s">
        <v>2733</v>
      </c>
      <c r="C3492" t="s">
        <v>378</v>
      </c>
      <c r="D3492">
        <v>505</v>
      </c>
      <c r="H3492" t="s">
        <v>312</v>
      </c>
      <c r="I3492" t="s">
        <v>327</v>
      </c>
    </row>
    <row r="3493" spans="1:27" x14ac:dyDescent="0.3">
      <c r="A3493" t="s">
        <v>3523</v>
      </c>
      <c r="B3493" t="s">
        <v>2733</v>
      </c>
      <c r="C3493" t="s">
        <v>380</v>
      </c>
      <c r="D3493" t="s">
        <v>554</v>
      </c>
      <c r="E3493" t="s">
        <v>279</v>
      </c>
      <c r="F3493" t="s">
        <v>25</v>
      </c>
      <c r="G3493" t="s">
        <v>3532</v>
      </c>
      <c r="J3493" t="s">
        <v>2089</v>
      </c>
      <c r="K3493" t="s">
        <v>2750</v>
      </c>
      <c r="N3493" t="s">
        <v>2751</v>
      </c>
      <c r="O3493">
        <v>5</v>
      </c>
      <c r="R3493" t="s">
        <v>2752</v>
      </c>
      <c r="S3493">
        <v>313</v>
      </c>
      <c r="V3493" t="s">
        <v>2753</v>
      </c>
      <c r="W3493" t="s">
        <v>2754</v>
      </c>
      <c r="Z3493" t="s">
        <v>2755</v>
      </c>
      <c r="AA3493" t="s">
        <v>2756</v>
      </c>
    </row>
    <row r="3494" spans="1:27" x14ac:dyDescent="0.3">
      <c r="A3494" t="s">
        <v>3523</v>
      </c>
      <c r="B3494" t="s">
        <v>2733</v>
      </c>
      <c r="C3494" t="s">
        <v>16</v>
      </c>
      <c r="D3494" t="s">
        <v>140</v>
      </c>
      <c r="E3494" t="s">
        <v>37</v>
      </c>
    </row>
    <row r="3495" spans="1:27" x14ac:dyDescent="0.3">
      <c r="A3495" t="s">
        <v>3523</v>
      </c>
      <c r="B3495" t="s">
        <v>2733</v>
      </c>
      <c r="C3495" t="s">
        <v>11</v>
      </c>
      <c r="D3495" t="s">
        <v>12</v>
      </c>
      <c r="E3495" t="s">
        <v>13</v>
      </c>
      <c r="H3495" t="s">
        <v>382</v>
      </c>
      <c r="I3495" t="s">
        <v>3533</v>
      </c>
      <c r="L3495" t="s">
        <v>14</v>
      </c>
      <c r="M3495" t="s">
        <v>3533</v>
      </c>
    </row>
    <row r="3496" spans="1:27" x14ac:dyDescent="0.3">
      <c r="A3496" t="s">
        <v>3526</v>
      </c>
      <c r="B3496" t="s">
        <v>527</v>
      </c>
      <c r="C3496" t="s">
        <v>11</v>
      </c>
      <c r="D3496" t="s">
        <v>12</v>
      </c>
      <c r="E3496" t="s">
        <v>391</v>
      </c>
      <c r="H3496" t="s">
        <v>392</v>
      </c>
      <c r="I3496" t="s">
        <v>2758</v>
      </c>
      <c r="L3496" t="s">
        <v>394</v>
      </c>
      <c r="M3496" t="s">
        <v>3533</v>
      </c>
    </row>
    <row r="3497" spans="1:27" x14ac:dyDescent="0.3">
      <c r="A3497" t="s">
        <v>3525</v>
      </c>
      <c r="B3497" t="s">
        <v>2738</v>
      </c>
      <c r="C3497" t="s">
        <v>11</v>
      </c>
      <c r="D3497" t="s">
        <v>12</v>
      </c>
      <c r="E3497" t="s">
        <v>391</v>
      </c>
      <c r="H3497" t="s">
        <v>392</v>
      </c>
      <c r="I3497" t="s">
        <v>3534</v>
      </c>
      <c r="L3497" t="s">
        <v>394</v>
      </c>
      <c r="M3497" t="s">
        <v>3533</v>
      </c>
    </row>
    <row r="3498" spans="1:27" x14ac:dyDescent="0.3">
      <c r="A3498" t="s">
        <v>3524</v>
      </c>
      <c r="B3498" t="s">
        <v>2735</v>
      </c>
      <c r="C3498" t="s">
        <v>308</v>
      </c>
      <c r="D3498" t="s">
        <v>3535</v>
      </c>
      <c r="E3498" t="s">
        <v>406</v>
      </c>
      <c r="H3498" t="s">
        <v>25</v>
      </c>
      <c r="I3498" t="s">
        <v>2761</v>
      </c>
      <c r="L3498" t="s">
        <v>312</v>
      </c>
      <c r="M3498" t="s">
        <v>404</v>
      </c>
    </row>
    <row r="3499" spans="1:27" x14ac:dyDescent="0.3">
      <c r="A3499" t="s">
        <v>3535</v>
      </c>
      <c r="B3499" t="s">
        <v>406</v>
      </c>
      <c r="C3499" t="s">
        <v>11</v>
      </c>
      <c r="D3499" t="s">
        <v>12</v>
      </c>
      <c r="E3499" t="s">
        <v>391</v>
      </c>
      <c r="H3499" t="s">
        <v>392</v>
      </c>
      <c r="I3499" t="s">
        <v>3536</v>
      </c>
      <c r="L3499" t="s">
        <v>394</v>
      </c>
      <c r="M3499" t="s">
        <v>3533</v>
      </c>
    </row>
    <row r="3500" spans="1:27" x14ac:dyDescent="0.3">
      <c r="A3500" t="s">
        <v>3528</v>
      </c>
      <c r="B3500" t="s">
        <v>1138</v>
      </c>
      <c r="C3500" t="s">
        <v>11</v>
      </c>
      <c r="D3500" t="s">
        <v>12</v>
      </c>
      <c r="E3500" t="s">
        <v>391</v>
      </c>
      <c r="H3500" t="s">
        <v>392</v>
      </c>
      <c r="I3500" t="s">
        <v>3537</v>
      </c>
      <c r="L3500" t="s">
        <v>394</v>
      </c>
      <c r="M3500" t="s">
        <v>3533</v>
      </c>
    </row>
    <row r="3501" spans="1:27" x14ac:dyDescent="0.3">
      <c r="A3501" t="s">
        <v>3531</v>
      </c>
      <c r="B3501" t="s">
        <v>341</v>
      </c>
      <c r="C3501" t="s">
        <v>11</v>
      </c>
      <c r="D3501" t="s">
        <v>12</v>
      </c>
      <c r="E3501" t="s">
        <v>391</v>
      </c>
      <c r="H3501" t="s">
        <v>392</v>
      </c>
      <c r="I3501" t="s">
        <v>3538</v>
      </c>
      <c r="L3501" t="s">
        <v>394</v>
      </c>
      <c r="M3501" t="s">
        <v>3533</v>
      </c>
    </row>
    <row r="3502" spans="1:27" x14ac:dyDescent="0.3">
      <c r="A3502" t="s">
        <v>3529</v>
      </c>
      <c r="B3502" t="s">
        <v>1134</v>
      </c>
      <c r="C3502" t="s">
        <v>11</v>
      </c>
      <c r="D3502" t="s">
        <v>12</v>
      </c>
      <c r="E3502" t="s">
        <v>391</v>
      </c>
      <c r="H3502" t="s">
        <v>392</v>
      </c>
      <c r="I3502" t="s">
        <v>3539</v>
      </c>
      <c r="L3502" t="s">
        <v>394</v>
      </c>
      <c r="M3502" t="s">
        <v>3533</v>
      </c>
    </row>
    <row r="3503" spans="1:27" x14ac:dyDescent="0.3">
      <c r="A3503" t="s">
        <v>3530</v>
      </c>
      <c r="B3503" t="s">
        <v>1138</v>
      </c>
      <c r="C3503" t="s">
        <v>11</v>
      </c>
      <c r="D3503" t="s">
        <v>12</v>
      </c>
      <c r="E3503" t="s">
        <v>391</v>
      </c>
      <c r="H3503" t="s">
        <v>392</v>
      </c>
      <c r="I3503" t="s">
        <v>3540</v>
      </c>
      <c r="L3503" t="s">
        <v>394</v>
      </c>
      <c r="M3503" t="s">
        <v>3533</v>
      </c>
    </row>
    <row r="3504" spans="1:27" x14ac:dyDescent="0.3">
      <c r="A3504" t="s">
        <v>3527</v>
      </c>
      <c r="B3504" t="s">
        <v>2077</v>
      </c>
      <c r="C3504" t="s">
        <v>11</v>
      </c>
      <c r="D3504" t="s">
        <v>12</v>
      </c>
      <c r="E3504" t="s">
        <v>391</v>
      </c>
      <c r="H3504" t="s">
        <v>392</v>
      </c>
      <c r="I3504" t="s">
        <v>2128</v>
      </c>
      <c r="L3504" t="s">
        <v>394</v>
      </c>
      <c r="M3504" t="s">
        <v>3533</v>
      </c>
    </row>
    <row r="3505" spans="1:27" x14ac:dyDescent="0.3">
      <c r="A3505" t="s">
        <v>3541</v>
      </c>
      <c r="B3505" t="s">
        <v>2733</v>
      </c>
      <c r="C3505" t="s">
        <v>280</v>
      </c>
      <c r="D3505" t="s">
        <v>3542</v>
      </c>
      <c r="E3505" t="s">
        <v>2735</v>
      </c>
      <c r="H3505" t="s">
        <v>25</v>
      </c>
      <c r="I3505" t="s">
        <v>2736</v>
      </c>
    </row>
    <row r="3506" spans="1:27" x14ac:dyDescent="0.3">
      <c r="A3506" t="s">
        <v>3541</v>
      </c>
      <c r="B3506" t="s">
        <v>2733</v>
      </c>
      <c r="C3506" t="s">
        <v>308</v>
      </c>
      <c r="D3506" t="s">
        <v>3543</v>
      </c>
      <c r="E3506" t="s">
        <v>2738</v>
      </c>
      <c r="H3506" t="s">
        <v>25</v>
      </c>
      <c r="I3506" t="s">
        <v>2739</v>
      </c>
      <c r="L3506" t="s">
        <v>312</v>
      </c>
      <c r="M3506" t="s">
        <v>327</v>
      </c>
    </row>
    <row r="3507" spans="1:27" x14ac:dyDescent="0.3">
      <c r="A3507" t="s">
        <v>3541</v>
      </c>
      <c r="B3507" t="s">
        <v>2733</v>
      </c>
      <c r="C3507" t="s">
        <v>308</v>
      </c>
      <c r="D3507" t="s">
        <v>3544</v>
      </c>
      <c r="E3507" t="s">
        <v>527</v>
      </c>
      <c r="H3507" t="s">
        <v>25</v>
      </c>
      <c r="I3507" t="s">
        <v>2741</v>
      </c>
      <c r="L3507" t="s">
        <v>312</v>
      </c>
      <c r="M3507" t="s">
        <v>343</v>
      </c>
    </row>
    <row r="3508" spans="1:27" x14ac:dyDescent="0.3">
      <c r="A3508" t="s">
        <v>3541</v>
      </c>
      <c r="B3508" t="s">
        <v>2733</v>
      </c>
      <c r="C3508" t="s">
        <v>308</v>
      </c>
      <c r="D3508" t="s">
        <v>3545</v>
      </c>
      <c r="E3508" t="s">
        <v>2077</v>
      </c>
      <c r="H3508" t="s">
        <v>25</v>
      </c>
      <c r="I3508" t="s">
        <v>2078</v>
      </c>
      <c r="L3508" t="s">
        <v>312</v>
      </c>
      <c r="M3508" t="s">
        <v>1687</v>
      </c>
    </row>
    <row r="3509" spans="1:27" x14ac:dyDescent="0.3">
      <c r="A3509" t="s">
        <v>3541</v>
      </c>
      <c r="B3509" t="s">
        <v>2733</v>
      </c>
      <c r="C3509" t="s">
        <v>308</v>
      </c>
      <c r="D3509" t="s">
        <v>3546</v>
      </c>
      <c r="E3509" t="s">
        <v>1138</v>
      </c>
      <c r="H3509" t="s">
        <v>25</v>
      </c>
      <c r="I3509" t="s">
        <v>2065</v>
      </c>
      <c r="L3509" t="s">
        <v>312</v>
      </c>
      <c r="M3509" t="s">
        <v>317</v>
      </c>
    </row>
    <row r="3510" spans="1:27" x14ac:dyDescent="0.3">
      <c r="A3510" t="s">
        <v>3541</v>
      </c>
      <c r="B3510" t="s">
        <v>2733</v>
      </c>
      <c r="C3510" t="s">
        <v>308</v>
      </c>
      <c r="D3510" t="s">
        <v>3547</v>
      </c>
      <c r="E3510" t="s">
        <v>1134</v>
      </c>
      <c r="H3510" t="s">
        <v>25</v>
      </c>
      <c r="I3510" t="s">
        <v>2069</v>
      </c>
      <c r="L3510" t="s">
        <v>312</v>
      </c>
      <c r="M3510" t="s">
        <v>317</v>
      </c>
    </row>
    <row r="3511" spans="1:27" x14ac:dyDescent="0.3">
      <c r="A3511" t="s">
        <v>3541</v>
      </c>
      <c r="B3511" t="s">
        <v>2733</v>
      </c>
      <c r="C3511" t="s">
        <v>308</v>
      </c>
      <c r="D3511" t="s">
        <v>3548</v>
      </c>
      <c r="E3511" t="s">
        <v>1138</v>
      </c>
      <c r="H3511" t="s">
        <v>25</v>
      </c>
      <c r="I3511" t="s">
        <v>2746</v>
      </c>
      <c r="L3511" t="s">
        <v>312</v>
      </c>
      <c r="M3511" t="s">
        <v>317</v>
      </c>
    </row>
    <row r="3512" spans="1:27" x14ac:dyDescent="0.3">
      <c r="A3512" t="s">
        <v>3541</v>
      </c>
      <c r="B3512" t="s">
        <v>2733</v>
      </c>
      <c r="C3512" t="s">
        <v>308</v>
      </c>
      <c r="D3512" t="s">
        <v>3549</v>
      </c>
      <c r="E3512" t="s">
        <v>341</v>
      </c>
      <c r="H3512" t="s">
        <v>25</v>
      </c>
      <c r="I3512" t="s">
        <v>342</v>
      </c>
      <c r="L3512" t="s">
        <v>312</v>
      </c>
      <c r="M3512" t="s">
        <v>343</v>
      </c>
    </row>
    <row r="3513" spans="1:27" x14ac:dyDescent="0.3">
      <c r="A3513" t="s">
        <v>3541</v>
      </c>
      <c r="B3513" t="s">
        <v>2733</v>
      </c>
      <c r="C3513" t="s">
        <v>22</v>
      </c>
      <c r="D3513" t="s">
        <v>23</v>
      </c>
      <c r="E3513" t="s">
        <v>28</v>
      </c>
    </row>
    <row r="3514" spans="1:27" x14ac:dyDescent="0.3">
      <c r="A3514" t="s">
        <v>3541</v>
      </c>
      <c r="B3514" t="s">
        <v>2733</v>
      </c>
      <c r="C3514" t="s">
        <v>2748</v>
      </c>
      <c r="D3514">
        <v>2</v>
      </c>
      <c r="H3514" t="s">
        <v>312</v>
      </c>
      <c r="I3514" t="s">
        <v>385</v>
      </c>
    </row>
    <row r="3515" spans="1:27" x14ac:dyDescent="0.3">
      <c r="A3515" t="s">
        <v>3541</v>
      </c>
      <c r="B3515" t="s">
        <v>2733</v>
      </c>
      <c r="C3515" t="s">
        <v>378</v>
      </c>
      <c r="D3515">
        <v>505</v>
      </c>
      <c r="H3515" t="s">
        <v>312</v>
      </c>
      <c r="I3515" t="s">
        <v>327</v>
      </c>
    </row>
    <row r="3516" spans="1:27" x14ac:dyDescent="0.3">
      <c r="A3516" t="s">
        <v>3541</v>
      </c>
      <c r="B3516" t="s">
        <v>2733</v>
      </c>
      <c r="C3516" t="s">
        <v>380</v>
      </c>
      <c r="D3516" t="s">
        <v>798</v>
      </c>
      <c r="E3516" t="s">
        <v>279</v>
      </c>
      <c r="F3516" t="s">
        <v>25</v>
      </c>
      <c r="G3516" t="s">
        <v>3550</v>
      </c>
      <c r="J3516" t="s">
        <v>2089</v>
      </c>
      <c r="K3516" t="s">
        <v>2750</v>
      </c>
      <c r="N3516" t="s">
        <v>2751</v>
      </c>
      <c r="O3516">
        <v>4</v>
      </c>
      <c r="R3516" t="s">
        <v>2752</v>
      </c>
      <c r="S3516">
        <v>248</v>
      </c>
      <c r="V3516" t="s">
        <v>2753</v>
      </c>
      <c r="W3516" t="s">
        <v>2754</v>
      </c>
      <c r="Z3516" t="s">
        <v>2755</v>
      </c>
      <c r="AA3516" t="s">
        <v>2756</v>
      </c>
    </row>
    <row r="3517" spans="1:27" x14ac:dyDescent="0.3">
      <c r="A3517" t="s">
        <v>3541</v>
      </c>
      <c r="B3517" t="s">
        <v>2733</v>
      </c>
      <c r="C3517" t="s">
        <v>16</v>
      </c>
      <c r="D3517" t="s">
        <v>140</v>
      </c>
      <c r="E3517" t="s">
        <v>37</v>
      </c>
    </row>
    <row r="3518" spans="1:27" x14ac:dyDescent="0.3">
      <c r="A3518" t="s">
        <v>3541</v>
      </c>
      <c r="B3518" t="s">
        <v>2733</v>
      </c>
      <c r="C3518" t="s">
        <v>11</v>
      </c>
      <c r="D3518" t="s">
        <v>12</v>
      </c>
      <c r="E3518" t="s">
        <v>13</v>
      </c>
      <c r="H3518" t="s">
        <v>382</v>
      </c>
      <c r="I3518" t="s">
        <v>3551</v>
      </c>
      <c r="L3518" t="s">
        <v>14</v>
      </c>
      <c r="M3518" t="s">
        <v>3551</v>
      </c>
    </row>
    <row r="3519" spans="1:27" x14ac:dyDescent="0.3">
      <c r="A3519" t="s">
        <v>3544</v>
      </c>
      <c r="B3519" t="s">
        <v>527</v>
      </c>
      <c r="C3519" t="s">
        <v>11</v>
      </c>
      <c r="D3519" t="s">
        <v>12</v>
      </c>
      <c r="E3519" t="s">
        <v>391</v>
      </c>
      <c r="H3519" t="s">
        <v>392</v>
      </c>
      <c r="I3519" t="s">
        <v>2758</v>
      </c>
      <c r="L3519" t="s">
        <v>394</v>
      </c>
      <c r="M3519" t="s">
        <v>3551</v>
      </c>
    </row>
    <row r="3520" spans="1:27" x14ac:dyDescent="0.3">
      <c r="A3520" t="s">
        <v>3543</v>
      </c>
      <c r="B3520" t="s">
        <v>2738</v>
      </c>
      <c r="C3520" t="s">
        <v>11</v>
      </c>
      <c r="D3520" t="s">
        <v>12</v>
      </c>
      <c r="E3520" t="s">
        <v>391</v>
      </c>
      <c r="H3520" t="s">
        <v>392</v>
      </c>
      <c r="I3520" t="s">
        <v>3552</v>
      </c>
      <c r="L3520" t="s">
        <v>394</v>
      </c>
      <c r="M3520" t="s">
        <v>3551</v>
      </c>
    </row>
    <row r="3521" spans="1:13" x14ac:dyDescent="0.3">
      <c r="A3521" t="s">
        <v>3542</v>
      </c>
      <c r="B3521" t="s">
        <v>2735</v>
      </c>
      <c r="C3521" t="s">
        <v>308</v>
      </c>
      <c r="D3521" t="s">
        <v>3553</v>
      </c>
      <c r="E3521" t="s">
        <v>406</v>
      </c>
      <c r="H3521" t="s">
        <v>25</v>
      </c>
      <c r="I3521" t="s">
        <v>2761</v>
      </c>
      <c r="L3521" t="s">
        <v>312</v>
      </c>
      <c r="M3521" t="s">
        <v>404</v>
      </c>
    </row>
    <row r="3522" spans="1:13" x14ac:dyDescent="0.3">
      <c r="A3522" t="s">
        <v>3553</v>
      </c>
      <c r="B3522" t="s">
        <v>406</v>
      </c>
      <c r="C3522" t="s">
        <v>11</v>
      </c>
      <c r="D3522" t="s">
        <v>12</v>
      </c>
      <c r="E3522" t="s">
        <v>391</v>
      </c>
      <c r="H3522" t="s">
        <v>392</v>
      </c>
      <c r="I3522" t="s">
        <v>3554</v>
      </c>
      <c r="L3522" t="s">
        <v>394</v>
      </c>
      <c r="M3522" t="s">
        <v>3551</v>
      </c>
    </row>
    <row r="3523" spans="1:13" x14ac:dyDescent="0.3">
      <c r="A3523" t="s">
        <v>3546</v>
      </c>
      <c r="B3523" t="s">
        <v>1138</v>
      </c>
      <c r="C3523" t="s">
        <v>11</v>
      </c>
      <c r="D3523" t="s">
        <v>12</v>
      </c>
      <c r="E3523" t="s">
        <v>391</v>
      </c>
      <c r="H3523" t="s">
        <v>392</v>
      </c>
      <c r="I3523" t="s">
        <v>3555</v>
      </c>
      <c r="L3523" t="s">
        <v>394</v>
      </c>
      <c r="M3523" t="s">
        <v>3551</v>
      </c>
    </row>
    <row r="3524" spans="1:13" x14ac:dyDescent="0.3">
      <c r="A3524" t="s">
        <v>3549</v>
      </c>
      <c r="B3524" t="s">
        <v>341</v>
      </c>
      <c r="C3524" t="s">
        <v>11</v>
      </c>
      <c r="D3524" t="s">
        <v>12</v>
      </c>
      <c r="E3524" t="s">
        <v>391</v>
      </c>
      <c r="H3524" t="s">
        <v>392</v>
      </c>
      <c r="I3524" t="s">
        <v>3556</v>
      </c>
      <c r="L3524" t="s">
        <v>394</v>
      </c>
      <c r="M3524" t="s">
        <v>3551</v>
      </c>
    </row>
    <row r="3525" spans="1:13" x14ac:dyDescent="0.3">
      <c r="A3525" t="s">
        <v>3547</v>
      </c>
      <c r="B3525" t="s">
        <v>1134</v>
      </c>
      <c r="C3525" t="s">
        <v>11</v>
      </c>
      <c r="D3525" t="s">
        <v>12</v>
      </c>
      <c r="E3525" t="s">
        <v>391</v>
      </c>
      <c r="H3525" t="s">
        <v>392</v>
      </c>
      <c r="I3525" t="s">
        <v>3557</v>
      </c>
      <c r="L3525" t="s">
        <v>394</v>
      </c>
      <c r="M3525" t="s">
        <v>3551</v>
      </c>
    </row>
    <row r="3526" spans="1:13" x14ac:dyDescent="0.3">
      <c r="A3526" t="s">
        <v>3548</v>
      </c>
      <c r="B3526" t="s">
        <v>1138</v>
      </c>
      <c r="C3526" t="s">
        <v>11</v>
      </c>
      <c r="D3526" t="s">
        <v>12</v>
      </c>
      <c r="E3526" t="s">
        <v>391</v>
      </c>
      <c r="H3526" t="s">
        <v>392</v>
      </c>
      <c r="I3526" t="s">
        <v>3558</v>
      </c>
      <c r="L3526" t="s">
        <v>394</v>
      </c>
      <c r="M3526" t="s">
        <v>3551</v>
      </c>
    </row>
    <row r="3527" spans="1:13" x14ac:dyDescent="0.3">
      <c r="A3527" t="s">
        <v>3545</v>
      </c>
      <c r="B3527" t="s">
        <v>2077</v>
      </c>
      <c r="C3527" t="s">
        <v>11</v>
      </c>
      <c r="D3527" t="s">
        <v>12</v>
      </c>
      <c r="E3527" t="s">
        <v>391</v>
      </c>
      <c r="H3527" t="s">
        <v>392</v>
      </c>
      <c r="I3527" t="s">
        <v>2128</v>
      </c>
      <c r="L3527" t="s">
        <v>394</v>
      </c>
      <c r="M3527" t="s">
        <v>3551</v>
      </c>
    </row>
    <row r="3528" spans="1:13" x14ac:dyDescent="0.3">
      <c r="A3528" t="s">
        <v>3559</v>
      </c>
      <c r="B3528" t="s">
        <v>2733</v>
      </c>
      <c r="C3528" t="s">
        <v>280</v>
      </c>
      <c r="D3528" t="s">
        <v>3560</v>
      </c>
      <c r="E3528" t="s">
        <v>2735</v>
      </c>
      <c r="H3528" t="s">
        <v>25</v>
      </c>
      <c r="I3528" t="s">
        <v>2736</v>
      </c>
    </row>
    <row r="3529" spans="1:13" x14ac:dyDescent="0.3">
      <c r="A3529" t="s">
        <v>3559</v>
      </c>
      <c r="B3529" t="s">
        <v>2733</v>
      </c>
      <c r="C3529" t="s">
        <v>308</v>
      </c>
      <c r="D3529" t="s">
        <v>3561</v>
      </c>
      <c r="E3529" t="s">
        <v>2738</v>
      </c>
      <c r="H3529" t="s">
        <v>25</v>
      </c>
      <c r="I3529" t="s">
        <v>2739</v>
      </c>
      <c r="L3529" t="s">
        <v>312</v>
      </c>
      <c r="M3529" t="s">
        <v>327</v>
      </c>
    </row>
    <row r="3530" spans="1:13" x14ac:dyDescent="0.3">
      <c r="A3530" t="s">
        <v>3559</v>
      </c>
      <c r="B3530" t="s">
        <v>2733</v>
      </c>
      <c r="C3530" t="s">
        <v>308</v>
      </c>
      <c r="D3530" t="s">
        <v>3562</v>
      </c>
      <c r="E3530" t="s">
        <v>527</v>
      </c>
      <c r="H3530" t="s">
        <v>25</v>
      </c>
      <c r="I3530" t="s">
        <v>2741</v>
      </c>
      <c r="L3530" t="s">
        <v>312</v>
      </c>
      <c r="M3530" t="s">
        <v>343</v>
      </c>
    </row>
    <row r="3531" spans="1:13" x14ac:dyDescent="0.3">
      <c r="A3531" t="s">
        <v>3559</v>
      </c>
      <c r="B3531" t="s">
        <v>2733</v>
      </c>
      <c r="C3531" t="s">
        <v>308</v>
      </c>
      <c r="D3531" t="s">
        <v>3563</v>
      </c>
      <c r="E3531" t="s">
        <v>2077</v>
      </c>
      <c r="H3531" t="s">
        <v>25</v>
      </c>
      <c r="I3531" t="s">
        <v>2078</v>
      </c>
      <c r="L3531" t="s">
        <v>312</v>
      </c>
      <c r="M3531" t="s">
        <v>1687</v>
      </c>
    </row>
    <row r="3532" spans="1:13" x14ac:dyDescent="0.3">
      <c r="A3532" t="s">
        <v>3559</v>
      </c>
      <c r="B3532" t="s">
        <v>2733</v>
      </c>
      <c r="C3532" t="s">
        <v>308</v>
      </c>
      <c r="D3532" t="s">
        <v>3564</v>
      </c>
      <c r="E3532" t="s">
        <v>1138</v>
      </c>
      <c r="H3532" t="s">
        <v>25</v>
      </c>
      <c r="I3532" t="s">
        <v>2065</v>
      </c>
      <c r="L3532" t="s">
        <v>312</v>
      </c>
      <c r="M3532" t="s">
        <v>317</v>
      </c>
    </row>
    <row r="3533" spans="1:13" x14ac:dyDescent="0.3">
      <c r="A3533" t="s">
        <v>3559</v>
      </c>
      <c r="B3533" t="s">
        <v>2733</v>
      </c>
      <c r="C3533" t="s">
        <v>308</v>
      </c>
      <c r="D3533" t="s">
        <v>3565</v>
      </c>
      <c r="E3533" t="s">
        <v>1134</v>
      </c>
      <c r="H3533" t="s">
        <v>25</v>
      </c>
      <c r="I3533" t="s">
        <v>2069</v>
      </c>
      <c r="L3533" t="s">
        <v>312</v>
      </c>
      <c r="M3533" t="s">
        <v>317</v>
      </c>
    </row>
    <row r="3534" spans="1:13" x14ac:dyDescent="0.3">
      <c r="A3534" t="s">
        <v>3559</v>
      </c>
      <c r="B3534" t="s">
        <v>2733</v>
      </c>
      <c r="C3534" t="s">
        <v>308</v>
      </c>
      <c r="D3534" t="s">
        <v>3566</v>
      </c>
      <c r="E3534" t="s">
        <v>1138</v>
      </c>
      <c r="H3534" t="s">
        <v>25</v>
      </c>
      <c r="I3534" t="s">
        <v>2746</v>
      </c>
      <c r="L3534" t="s">
        <v>312</v>
      </c>
      <c r="M3534" t="s">
        <v>317</v>
      </c>
    </row>
    <row r="3535" spans="1:13" x14ac:dyDescent="0.3">
      <c r="A3535" t="s">
        <v>3559</v>
      </c>
      <c r="B3535" t="s">
        <v>2733</v>
      </c>
      <c r="C3535" t="s">
        <v>308</v>
      </c>
      <c r="D3535" t="s">
        <v>3567</v>
      </c>
      <c r="E3535" t="s">
        <v>341</v>
      </c>
      <c r="H3535" t="s">
        <v>25</v>
      </c>
      <c r="I3535" t="s">
        <v>342</v>
      </c>
      <c r="L3535" t="s">
        <v>312</v>
      </c>
      <c r="M3535" t="s">
        <v>343</v>
      </c>
    </row>
    <row r="3536" spans="1:13" x14ac:dyDescent="0.3">
      <c r="A3536" t="s">
        <v>3559</v>
      </c>
      <c r="B3536" t="s">
        <v>2733</v>
      </c>
      <c r="C3536" t="s">
        <v>22</v>
      </c>
      <c r="D3536" t="s">
        <v>23</v>
      </c>
      <c r="E3536" t="s">
        <v>28</v>
      </c>
    </row>
    <row r="3537" spans="1:27" x14ac:dyDescent="0.3">
      <c r="A3537" t="s">
        <v>3559</v>
      </c>
      <c r="B3537" t="s">
        <v>2733</v>
      </c>
      <c r="C3537" t="s">
        <v>2748</v>
      </c>
      <c r="D3537">
        <v>2</v>
      </c>
      <c r="H3537" t="s">
        <v>312</v>
      </c>
      <c r="I3537" t="s">
        <v>385</v>
      </c>
    </row>
    <row r="3538" spans="1:27" x14ac:dyDescent="0.3">
      <c r="A3538" t="s">
        <v>3559</v>
      </c>
      <c r="B3538" t="s">
        <v>2733</v>
      </c>
      <c r="C3538" t="s">
        <v>378</v>
      </c>
      <c r="D3538">
        <v>320</v>
      </c>
      <c r="H3538" t="s">
        <v>312</v>
      </c>
      <c r="I3538" t="s">
        <v>327</v>
      </c>
    </row>
    <row r="3539" spans="1:27" x14ac:dyDescent="0.3">
      <c r="A3539" t="s">
        <v>3559</v>
      </c>
      <c r="B3539" t="s">
        <v>2733</v>
      </c>
      <c r="C3539" t="s">
        <v>380</v>
      </c>
      <c r="D3539" t="s">
        <v>798</v>
      </c>
      <c r="E3539" t="s">
        <v>279</v>
      </c>
      <c r="F3539" t="s">
        <v>25</v>
      </c>
      <c r="G3539" t="s">
        <v>3568</v>
      </c>
      <c r="J3539" t="s">
        <v>2089</v>
      </c>
      <c r="K3539" t="s">
        <v>2750</v>
      </c>
      <c r="N3539" t="s">
        <v>2751</v>
      </c>
      <c r="O3539">
        <v>4</v>
      </c>
      <c r="R3539" t="s">
        <v>2752</v>
      </c>
      <c r="S3539">
        <v>248</v>
      </c>
      <c r="V3539" t="s">
        <v>2753</v>
      </c>
      <c r="W3539" t="s">
        <v>2754</v>
      </c>
      <c r="Z3539" t="s">
        <v>2755</v>
      </c>
      <c r="AA3539" t="s">
        <v>2756</v>
      </c>
    </row>
    <row r="3540" spans="1:27" x14ac:dyDescent="0.3">
      <c r="A3540" t="s">
        <v>3559</v>
      </c>
      <c r="B3540" t="s">
        <v>2733</v>
      </c>
      <c r="C3540" t="s">
        <v>16</v>
      </c>
      <c r="D3540" t="s">
        <v>143</v>
      </c>
      <c r="E3540" t="s">
        <v>37</v>
      </c>
    </row>
    <row r="3541" spans="1:27" x14ac:dyDescent="0.3">
      <c r="A3541" t="s">
        <v>3559</v>
      </c>
      <c r="B3541" t="s">
        <v>2733</v>
      </c>
      <c r="C3541" t="s">
        <v>11</v>
      </c>
      <c r="D3541" t="s">
        <v>12</v>
      </c>
      <c r="E3541" t="s">
        <v>13</v>
      </c>
      <c r="H3541" t="s">
        <v>382</v>
      </c>
      <c r="I3541" t="s">
        <v>3569</v>
      </c>
      <c r="L3541" t="s">
        <v>14</v>
      </c>
      <c r="M3541" t="s">
        <v>3569</v>
      </c>
    </row>
    <row r="3542" spans="1:27" x14ac:dyDescent="0.3">
      <c r="A3542" t="s">
        <v>3562</v>
      </c>
      <c r="B3542" t="s">
        <v>527</v>
      </c>
      <c r="C3542" t="s">
        <v>11</v>
      </c>
      <c r="D3542" t="s">
        <v>12</v>
      </c>
      <c r="E3542" t="s">
        <v>391</v>
      </c>
      <c r="H3542" t="s">
        <v>392</v>
      </c>
      <c r="I3542" t="s">
        <v>2758</v>
      </c>
      <c r="L3542" t="s">
        <v>394</v>
      </c>
      <c r="M3542" t="s">
        <v>3569</v>
      </c>
    </row>
    <row r="3543" spans="1:27" x14ac:dyDescent="0.3">
      <c r="A3543" t="s">
        <v>3561</v>
      </c>
      <c r="B3543" t="s">
        <v>2738</v>
      </c>
      <c r="C3543" t="s">
        <v>11</v>
      </c>
      <c r="D3543" t="s">
        <v>12</v>
      </c>
      <c r="E3543" t="s">
        <v>391</v>
      </c>
      <c r="H3543" t="s">
        <v>392</v>
      </c>
      <c r="I3543" t="s">
        <v>3570</v>
      </c>
      <c r="L3543" t="s">
        <v>394</v>
      </c>
      <c r="M3543" t="s">
        <v>3569</v>
      </c>
    </row>
    <row r="3544" spans="1:27" x14ac:dyDescent="0.3">
      <c r="A3544" t="s">
        <v>3560</v>
      </c>
      <c r="B3544" t="s">
        <v>2735</v>
      </c>
      <c r="C3544" t="s">
        <v>308</v>
      </c>
      <c r="D3544" t="s">
        <v>3571</v>
      </c>
      <c r="E3544" t="s">
        <v>406</v>
      </c>
      <c r="H3544" t="s">
        <v>25</v>
      </c>
      <c r="I3544" t="s">
        <v>2761</v>
      </c>
      <c r="L3544" t="s">
        <v>312</v>
      </c>
      <c r="M3544" t="s">
        <v>404</v>
      </c>
    </row>
    <row r="3545" spans="1:27" x14ac:dyDescent="0.3">
      <c r="A3545" t="s">
        <v>3571</v>
      </c>
      <c r="B3545" t="s">
        <v>406</v>
      </c>
      <c r="C3545" t="s">
        <v>11</v>
      </c>
      <c r="D3545" t="s">
        <v>12</v>
      </c>
      <c r="E3545" t="s">
        <v>391</v>
      </c>
      <c r="H3545" t="s">
        <v>392</v>
      </c>
      <c r="I3545" t="s">
        <v>3572</v>
      </c>
      <c r="L3545" t="s">
        <v>394</v>
      </c>
      <c r="M3545" t="s">
        <v>3569</v>
      </c>
    </row>
    <row r="3546" spans="1:27" x14ac:dyDescent="0.3">
      <c r="A3546" t="s">
        <v>3564</v>
      </c>
      <c r="B3546" t="s">
        <v>1138</v>
      </c>
      <c r="C3546" t="s">
        <v>11</v>
      </c>
      <c r="D3546" t="s">
        <v>12</v>
      </c>
      <c r="E3546" t="s">
        <v>391</v>
      </c>
      <c r="H3546" t="s">
        <v>392</v>
      </c>
      <c r="I3546" t="s">
        <v>3573</v>
      </c>
      <c r="L3546" t="s">
        <v>394</v>
      </c>
      <c r="M3546" t="s">
        <v>3569</v>
      </c>
    </row>
    <row r="3547" spans="1:27" x14ac:dyDescent="0.3">
      <c r="A3547" t="s">
        <v>3567</v>
      </c>
      <c r="B3547" t="s">
        <v>341</v>
      </c>
      <c r="C3547" t="s">
        <v>11</v>
      </c>
      <c r="D3547" t="s">
        <v>12</v>
      </c>
      <c r="E3547" t="s">
        <v>391</v>
      </c>
      <c r="H3547" t="s">
        <v>392</v>
      </c>
      <c r="I3547" t="s">
        <v>3574</v>
      </c>
      <c r="L3547" t="s">
        <v>394</v>
      </c>
      <c r="M3547" t="s">
        <v>3569</v>
      </c>
    </row>
    <row r="3548" spans="1:27" x14ac:dyDescent="0.3">
      <c r="A3548" t="s">
        <v>3565</v>
      </c>
      <c r="B3548" t="s">
        <v>1134</v>
      </c>
      <c r="C3548" t="s">
        <v>11</v>
      </c>
      <c r="D3548" t="s">
        <v>12</v>
      </c>
      <c r="E3548" t="s">
        <v>391</v>
      </c>
      <c r="H3548" t="s">
        <v>392</v>
      </c>
      <c r="I3548" t="s">
        <v>3575</v>
      </c>
      <c r="L3548" t="s">
        <v>394</v>
      </c>
      <c r="M3548" t="s">
        <v>3569</v>
      </c>
    </row>
    <row r="3549" spans="1:27" x14ac:dyDescent="0.3">
      <c r="A3549" t="s">
        <v>3566</v>
      </c>
      <c r="B3549" t="s">
        <v>1138</v>
      </c>
      <c r="C3549" t="s">
        <v>11</v>
      </c>
      <c r="D3549" t="s">
        <v>12</v>
      </c>
      <c r="E3549" t="s">
        <v>391</v>
      </c>
      <c r="H3549" t="s">
        <v>392</v>
      </c>
      <c r="I3549" t="s">
        <v>3576</v>
      </c>
      <c r="L3549" t="s">
        <v>394</v>
      </c>
      <c r="M3549" t="s">
        <v>3569</v>
      </c>
    </row>
    <row r="3550" spans="1:27" x14ac:dyDescent="0.3">
      <c r="A3550" t="s">
        <v>3563</v>
      </c>
      <c r="B3550" t="s">
        <v>2077</v>
      </c>
      <c r="C3550" t="s">
        <v>11</v>
      </c>
      <c r="D3550" t="s">
        <v>12</v>
      </c>
      <c r="E3550" t="s">
        <v>391</v>
      </c>
      <c r="H3550" t="s">
        <v>392</v>
      </c>
      <c r="I3550" t="s">
        <v>2128</v>
      </c>
      <c r="L3550" t="s">
        <v>394</v>
      </c>
      <c r="M3550" t="s">
        <v>3569</v>
      </c>
    </row>
    <row r="3551" spans="1:27" x14ac:dyDescent="0.3">
      <c r="A3551" t="s">
        <v>3577</v>
      </c>
      <c r="B3551" t="s">
        <v>2733</v>
      </c>
      <c r="C3551" t="s">
        <v>280</v>
      </c>
      <c r="D3551" t="s">
        <v>3578</v>
      </c>
      <c r="E3551" t="s">
        <v>2735</v>
      </c>
      <c r="H3551" t="s">
        <v>25</v>
      </c>
      <c r="I3551" t="s">
        <v>2736</v>
      </c>
    </row>
    <row r="3552" spans="1:27" x14ac:dyDescent="0.3">
      <c r="A3552" t="s">
        <v>3577</v>
      </c>
      <c r="B3552" t="s">
        <v>2733</v>
      </c>
      <c r="C3552" t="s">
        <v>308</v>
      </c>
      <c r="D3552" t="s">
        <v>3579</v>
      </c>
      <c r="E3552" t="s">
        <v>2738</v>
      </c>
      <c r="H3552" t="s">
        <v>25</v>
      </c>
      <c r="I3552" t="s">
        <v>2739</v>
      </c>
      <c r="L3552" t="s">
        <v>312</v>
      </c>
      <c r="M3552" t="s">
        <v>327</v>
      </c>
    </row>
    <row r="3553" spans="1:27" x14ac:dyDescent="0.3">
      <c r="A3553" t="s">
        <v>3577</v>
      </c>
      <c r="B3553" t="s">
        <v>2733</v>
      </c>
      <c r="C3553" t="s">
        <v>308</v>
      </c>
      <c r="D3553" t="s">
        <v>3580</v>
      </c>
      <c r="E3553" t="s">
        <v>527</v>
      </c>
      <c r="H3553" t="s">
        <v>25</v>
      </c>
      <c r="I3553" t="s">
        <v>2741</v>
      </c>
      <c r="L3553" t="s">
        <v>312</v>
      </c>
      <c r="M3553" t="s">
        <v>343</v>
      </c>
    </row>
    <row r="3554" spans="1:27" x14ac:dyDescent="0.3">
      <c r="A3554" t="s">
        <v>3577</v>
      </c>
      <c r="B3554" t="s">
        <v>2733</v>
      </c>
      <c r="C3554" t="s">
        <v>308</v>
      </c>
      <c r="D3554" t="s">
        <v>3581</v>
      </c>
      <c r="E3554" t="s">
        <v>2077</v>
      </c>
      <c r="H3554" t="s">
        <v>25</v>
      </c>
      <c r="I3554" t="s">
        <v>2078</v>
      </c>
      <c r="L3554" t="s">
        <v>312</v>
      </c>
      <c r="M3554" t="s">
        <v>1687</v>
      </c>
    </row>
    <row r="3555" spans="1:27" x14ac:dyDescent="0.3">
      <c r="A3555" t="s">
        <v>3577</v>
      </c>
      <c r="B3555" t="s">
        <v>2733</v>
      </c>
      <c r="C3555" t="s">
        <v>308</v>
      </c>
      <c r="D3555" t="s">
        <v>3582</v>
      </c>
      <c r="E3555" t="s">
        <v>1138</v>
      </c>
      <c r="H3555" t="s">
        <v>25</v>
      </c>
      <c r="I3555" t="s">
        <v>2065</v>
      </c>
      <c r="L3555" t="s">
        <v>312</v>
      </c>
      <c r="M3555" t="s">
        <v>317</v>
      </c>
    </row>
    <row r="3556" spans="1:27" x14ac:dyDescent="0.3">
      <c r="A3556" t="s">
        <v>3577</v>
      </c>
      <c r="B3556" t="s">
        <v>2733</v>
      </c>
      <c r="C3556" t="s">
        <v>308</v>
      </c>
      <c r="D3556" t="s">
        <v>3583</v>
      </c>
      <c r="E3556" t="s">
        <v>1134</v>
      </c>
      <c r="H3556" t="s">
        <v>25</v>
      </c>
      <c r="I3556" t="s">
        <v>2069</v>
      </c>
      <c r="L3556" t="s">
        <v>312</v>
      </c>
      <c r="M3556" t="s">
        <v>317</v>
      </c>
    </row>
    <row r="3557" spans="1:27" x14ac:dyDescent="0.3">
      <c r="A3557" t="s">
        <v>3577</v>
      </c>
      <c r="B3557" t="s">
        <v>2733</v>
      </c>
      <c r="C3557" t="s">
        <v>308</v>
      </c>
      <c r="D3557" t="s">
        <v>3584</v>
      </c>
      <c r="E3557" t="s">
        <v>1138</v>
      </c>
      <c r="H3557" t="s">
        <v>25</v>
      </c>
      <c r="I3557" t="s">
        <v>2746</v>
      </c>
      <c r="L3557" t="s">
        <v>312</v>
      </c>
      <c r="M3557" t="s">
        <v>317</v>
      </c>
    </row>
    <row r="3558" spans="1:27" x14ac:dyDescent="0.3">
      <c r="A3558" t="s">
        <v>3577</v>
      </c>
      <c r="B3558" t="s">
        <v>2733</v>
      </c>
      <c r="C3558" t="s">
        <v>308</v>
      </c>
      <c r="D3558" t="s">
        <v>3585</v>
      </c>
      <c r="E3558" t="s">
        <v>341</v>
      </c>
      <c r="H3558" t="s">
        <v>25</v>
      </c>
      <c r="I3558" t="s">
        <v>342</v>
      </c>
      <c r="L3558" t="s">
        <v>312</v>
      </c>
      <c r="M3558" t="s">
        <v>343</v>
      </c>
    </row>
    <row r="3559" spans="1:27" x14ac:dyDescent="0.3">
      <c r="A3559" t="s">
        <v>3577</v>
      </c>
      <c r="B3559" t="s">
        <v>2733</v>
      </c>
      <c r="C3559" t="s">
        <v>22</v>
      </c>
      <c r="D3559" t="s">
        <v>23</v>
      </c>
      <c r="E3559" t="s">
        <v>28</v>
      </c>
    </row>
    <row r="3560" spans="1:27" x14ac:dyDescent="0.3">
      <c r="A3560" t="s">
        <v>3577</v>
      </c>
      <c r="B3560" t="s">
        <v>2733</v>
      </c>
      <c r="C3560" t="s">
        <v>2748</v>
      </c>
      <c r="D3560">
        <v>2</v>
      </c>
      <c r="H3560" t="s">
        <v>312</v>
      </c>
      <c r="I3560" t="s">
        <v>385</v>
      </c>
    </row>
    <row r="3561" spans="1:27" x14ac:dyDescent="0.3">
      <c r="A3561" t="s">
        <v>3577</v>
      </c>
      <c r="B3561" t="s">
        <v>2733</v>
      </c>
      <c r="C3561" t="s">
        <v>378</v>
      </c>
      <c r="D3561">
        <v>320</v>
      </c>
      <c r="H3561" t="s">
        <v>312</v>
      </c>
      <c r="I3561" t="s">
        <v>327</v>
      </c>
    </row>
    <row r="3562" spans="1:27" x14ac:dyDescent="0.3">
      <c r="A3562" t="s">
        <v>3577</v>
      </c>
      <c r="B3562" t="s">
        <v>2733</v>
      </c>
      <c r="C3562" t="s">
        <v>380</v>
      </c>
      <c r="D3562" t="s">
        <v>798</v>
      </c>
      <c r="E3562" t="s">
        <v>279</v>
      </c>
      <c r="F3562" t="s">
        <v>25</v>
      </c>
      <c r="G3562" t="s">
        <v>3586</v>
      </c>
      <c r="J3562" t="s">
        <v>2089</v>
      </c>
      <c r="K3562" t="s">
        <v>2750</v>
      </c>
      <c r="N3562" t="s">
        <v>2751</v>
      </c>
      <c r="O3562">
        <v>4</v>
      </c>
      <c r="R3562" t="s">
        <v>2752</v>
      </c>
      <c r="S3562">
        <v>248</v>
      </c>
      <c r="V3562" t="s">
        <v>2753</v>
      </c>
      <c r="W3562" t="s">
        <v>2754</v>
      </c>
      <c r="Z3562" t="s">
        <v>2755</v>
      </c>
      <c r="AA3562" t="s">
        <v>2756</v>
      </c>
    </row>
    <row r="3563" spans="1:27" x14ac:dyDescent="0.3">
      <c r="A3563" t="s">
        <v>3577</v>
      </c>
      <c r="B3563" t="s">
        <v>2733</v>
      </c>
      <c r="C3563" t="s">
        <v>16</v>
      </c>
      <c r="D3563" t="s">
        <v>143</v>
      </c>
      <c r="E3563" t="s">
        <v>37</v>
      </c>
    </row>
    <row r="3564" spans="1:27" x14ac:dyDescent="0.3">
      <c r="A3564" t="s">
        <v>3577</v>
      </c>
      <c r="B3564" t="s">
        <v>2733</v>
      </c>
      <c r="C3564" t="s">
        <v>11</v>
      </c>
      <c r="D3564" t="s">
        <v>12</v>
      </c>
      <c r="E3564" t="s">
        <v>13</v>
      </c>
      <c r="H3564" t="s">
        <v>382</v>
      </c>
      <c r="I3564" t="s">
        <v>3587</v>
      </c>
      <c r="L3564" t="s">
        <v>14</v>
      </c>
      <c r="M3564" t="s">
        <v>3587</v>
      </c>
    </row>
    <row r="3565" spans="1:27" x14ac:dyDescent="0.3">
      <c r="A3565" t="s">
        <v>3580</v>
      </c>
      <c r="B3565" t="s">
        <v>527</v>
      </c>
      <c r="C3565" t="s">
        <v>11</v>
      </c>
      <c r="D3565" t="s">
        <v>12</v>
      </c>
      <c r="E3565" t="s">
        <v>391</v>
      </c>
      <c r="H3565" t="s">
        <v>392</v>
      </c>
      <c r="I3565" t="s">
        <v>2758</v>
      </c>
      <c r="L3565" t="s">
        <v>394</v>
      </c>
      <c r="M3565" t="s">
        <v>3587</v>
      </c>
    </row>
    <row r="3566" spans="1:27" x14ac:dyDescent="0.3">
      <c r="A3566" t="s">
        <v>3579</v>
      </c>
      <c r="B3566" t="s">
        <v>2738</v>
      </c>
      <c r="C3566" t="s">
        <v>11</v>
      </c>
      <c r="D3566" t="s">
        <v>12</v>
      </c>
      <c r="E3566" t="s">
        <v>391</v>
      </c>
      <c r="H3566" t="s">
        <v>392</v>
      </c>
      <c r="I3566" t="s">
        <v>3588</v>
      </c>
      <c r="L3566" t="s">
        <v>394</v>
      </c>
      <c r="M3566" t="s">
        <v>3587</v>
      </c>
    </row>
    <row r="3567" spans="1:27" x14ac:dyDescent="0.3">
      <c r="A3567" t="s">
        <v>3578</v>
      </c>
      <c r="B3567" t="s">
        <v>2735</v>
      </c>
      <c r="C3567" t="s">
        <v>308</v>
      </c>
      <c r="D3567" t="s">
        <v>3589</v>
      </c>
      <c r="E3567" t="s">
        <v>406</v>
      </c>
      <c r="H3567" t="s">
        <v>25</v>
      </c>
      <c r="I3567" t="s">
        <v>2761</v>
      </c>
      <c r="L3567" t="s">
        <v>312</v>
      </c>
      <c r="M3567" t="s">
        <v>404</v>
      </c>
    </row>
    <row r="3568" spans="1:27" x14ac:dyDescent="0.3">
      <c r="A3568" t="s">
        <v>3589</v>
      </c>
      <c r="B3568" t="s">
        <v>406</v>
      </c>
      <c r="C3568" t="s">
        <v>11</v>
      </c>
      <c r="D3568" t="s">
        <v>12</v>
      </c>
      <c r="E3568" t="s">
        <v>391</v>
      </c>
      <c r="H3568" t="s">
        <v>392</v>
      </c>
      <c r="I3568" t="s">
        <v>3590</v>
      </c>
      <c r="L3568" t="s">
        <v>394</v>
      </c>
      <c r="M3568" t="s">
        <v>3587</v>
      </c>
    </row>
    <row r="3569" spans="1:13" x14ac:dyDescent="0.3">
      <c r="A3569" t="s">
        <v>3582</v>
      </c>
      <c r="B3569" t="s">
        <v>1138</v>
      </c>
      <c r="C3569" t="s">
        <v>11</v>
      </c>
      <c r="D3569" t="s">
        <v>12</v>
      </c>
      <c r="E3569" t="s">
        <v>391</v>
      </c>
      <c r="H3569" t="s">
        <v>392</v>
      </c>
      <c r="I3569" t="s">
        <v>3591</v>
      </c>
      <c r="L3569" t="s">
        <v>394</v>
      </c>
      <c r="M3569" t="s">
        <v>3587</v>
      </c>
    </row>
    <row r="3570" spans="1:13" x14ac:dyDescent="0.3">
      <c r="A3570" t="s">
        <v>3585</v>
      </c>
      <c r="B3570" t="s">
        <v>341</v>
      </c>
      <c r="C3570" t="s">
        <v>11</v>
      </c>
      <c r="D3570" t="s">
        <v>12</v>
      </c>
      <c r="E3570" t="s">
        <v>391</v>
      </c>
      <c r="H3570" t="s">
        <v>392</v>
      </c>
      <c r="I3570" t="s">
        <v>3592</v>
      </c>
      <c r="L3570" t="s">
        <v>394</v>
      </c>
      <c r="M3570" t="s">
        <v>3587</v>
      </c>
    </row>
    <row r="3571" spans="1:13" x14ac:dyDescent="0.3">
      <c r="A3571" t="s">
        <v>3583</v>
      </c>
      <c r="B3571" t="s">
        <v>1134</v>
      </c>
      <c r="C3571" t="s">
        <v>11</v>
      </c>
      <c r="D3571" t="s">
        <v>12</v>
      </c>
      <c r="E3571" t="s">
        <v>391</v>
      </c>
      <c r="H3571" t="s">
        <v>392</v>
      </c>
      <c r="I3571" t="s">
        <v>3593</v>
      </c>
      <c r="L3571" t="s">
        <v>394</v>
      </c>
      <c r="M3571" t="s">
        <v>3587</v>
      </c>
    </row>
    <row r="3572" spans="1:13" x14ac:dyDescent="0.3">
      <c r="A3572" t="s">
        <v>3584</v>
      </c>
      <c r="B3572" t="s">
        <v>1138</v>
      </c>
      <c r="C3572" t="s">
        <v>11</v>
      </c>
      <c r="D3572" t="s">
        <v>12</v>
      </c>
      <c r="E3572" t="s">
        <v>391</v>
      </c>
      <c r="H3572" t="s">
        <v>392</v>
      </c>
      <c r="I3572" t="s">
        <v>3594</v>
      </c>
      <c r="L3572" t="s">
        <v>394</v>
      </c>
      <c r="M3572" t="s">
        <v>3587</v>
      </c>
    </row>
    <row r="3573" spans="1:13" x14ac:dyDescent="0.3">
      <c r="A3573" t="s">
        <v>3581</v>
      </c>
      <c r="B3573" t="s">
        <v>2077</v>
      </c>
      <c r="C3573" t="s">
        <v>11</v>
      </c>
      <c r="D3573" t="s">
        <v>12</v>
      </c>
      <c r="E3573" t="s">
        <v>391</v>
      </c>
      <c r="H3573" t="s">
        <v>392</v>
      </c>
      <c r="I3573" t="s">
        <v>2128</v>
      </c>
      <c r="L3573" t="s">
        <v>394</v>
      </c>
      <c r="M3573" t="s">
        <v>3587</v>
      </c>
    </row>
    <row r="3574" spans="1:13" x14ac:dyDescent="0.3">
      <c r="A3574" t="s">
        <v>3595</v>
      </c>
      <c r="B3574" t="s">
        <v>2733</v>
      </c>
      <c r="C3574" t="s">
        <v>280</v>
      </c>
      <c r="D3574" t="s">
        <v>3596</v>
      </c>
      <c r="E3574" t="s">
        <v>2735</v>
      </c>
      <c r="H3574" t="s">
        <v>25</v>
      </c>
      <c r="I3574" t="s">
        <v>2736</v>
      </c>
    </row>
    <row r="3575" spans="1:13" x14ac:dyDescent="0.3">
      <c r="A3575" t="s">
        <v>3595</v>
      </c>
      <c r="B3575" t="s">
        <v>2733</v>
      </c>
      <c r="C3575" t="s">
        <v>308</v>
      </c>
      <c r="D3575" t="s">
        <v>3597</v>
      </c>
      <c r="E3575" t="s">
        <v>2738</v>
      </c>
      <c r="H3575" t="s">
        <v>25</v>
      </c>
      <c r="I3575" t="s">
        <v>2739</v>
      </c>
      <c r="L3575" t="s">
        <v>312</v>
      </c>
      <c r="M3575" t="s">
        <v>327</v>
      </c>
    </row>
    <row r="3576" spans="1:13" x14ac:dyDescent="0.3">
      <c r="A3576" t="s">
        <v>3595</v>
      </c>
      <c r="B3576" t="s">
        <v>2733</v>
      </c>
      <c r="C3576" t="s">
        <v>308</v>
      </c>
      <c r="D3576" t="s">
        <v>3598</v>
      </c>
      <c r="E3576" t="s">
        <v>527</v>
      </c>
      <c r="H3576" t="s">
        <v>25</v>
      </c>
      <c r="I3576" t="s">
        <v>2741</v>
      </c>
      <c r="L3576" t="s">
        <v>312</v>
      </c>
      <c r="M3576" t="s">
        <v>343</v>
      </c>
    </row>
    <row r="3577" spans="1:13" x14ac:dyDescent="0.3">
      <c r="A3577" t="s">
        <v>3595</v>
      </c>
      <c r="B3577" t="s">
        <v>2733</v>
      </c>
      <c r="C3577" t="s">
        <v>308</v>
      </c>
      <c r="D3577" t="s">
        <v>3599</v>
      </c>
      <c r="E3577" t="s">
        <v>2077</v>
      </c>
      <c r="H3577" t="s">
        <v>25</v>
      </c>
      <c r="I3577" t="s">
        <v>2078</v>
      </c>
      <c r="L3577" t="s">
        <v>312</v>
      </c>
      <c r="M3577" t="s">
        <v>1687</v>
      </c>
    </row>
    <row r="3578" spans="1:13" x14ac:dyDescent="0.3">
      <c r="A3578" t="s">
        <v>3595</v>
      </c>
      <c r="B3578" t="s">
        <v>2733</v>
      </c>
      <c r="C3578" t="s">
        <v>308</v>
      </c>
      <c r="D3578" t="s">
        <v>3600</v>
      </c>
      <c r="E3578" t="s">
        <v>1138</v>
      </c>
      <c r="H3578" t="s">
        <v>25</v>
      </c>
      <c r="I3578" t="s">
        <v>2065</v>
      </c>
      <c r="L3578" t="s">
        <v>312</v>
      </c>
      <c r="M3578" t="s">
        <v>317</v>
      </c>
    </row>
    <row r="3579" spans="1:13" x14ac:dyDescent="0.3">
      <c r="A3579" t="s">
        <v>3595</v>
      </c>
      <c r="B3579" t="s">
        <v>2733</v>
      </c>
      <c r="C3579" t="s">
        <v>308</v>
      </c>
      <c r="D3579" t="s">
        <v>3601</v>
      </c>
      <c r="E3579" t="s">
        <v>1134</v>
      </c>
      <c r="H3579" t="s">
        <v>25</v>
      </c>
      <c r="I3579" t="s">
        <v>2069</v>
      </c>
      <c r="L3579" t="s">
        <v>312</v>
      </c>
      <c r="M3579" t="s">
        <v>317</v>
      </c>
    </row>
    <row r="3580" spans="1:13" x14ac:dyDescent="0.3">
      <c r="A3580" t="s">
        <v>3595</v>
      </c>
      <c r="B3580" t="s">
        <v>2733</v>
      </c>
      <c r="C3580" t="s">
        <v>308</v>
      </c>
      <c r="D3580" t="s">
        <v>3602</v>
      </c>
      <c r="E3580" t="s">
        <v>1138</v>
      </c>
      <c r="H3580" t="s">
        <v>25</v>
      </c>
      <c r="I3580" t="s">
        <v>2746</v>
      </c>
      <c r="L3580" t="s">
        <v>312</v>
      </c>
      <c r="M3580" t="s">
        <v>317</v>
      </c>
    </row>
    <row r="3581" spans="1:13" x14ac:dyDescent="0.3">
      <c r="A3581" t="s">
        <v>3595</v>
      </c>
      <c r="B3581" t="s">
        <v>2733</v>
      </c>
      <c r="C3581" t="s">
        <v>308</v>
      </c>
      <c r="D3581" t="s">
        <v>3603</v>
      </c>
      <c r="E3581" t="s">
        <v>341</v>
      </c>
      <c r="H3581" t="s">
        <v>25</v>
      </c>
      <c r="I3581" t="s">
        <v>342</v>
      </c>
      <c r="L3581" t="s">
        <v>312</v>
      </c>
      <c r="M3581" t="s">
        <v>343</v>
      </c>
    </row>
    <row r="3582" spans="1:13" x14ac:dyDescent="0.3">
      <c r="A3582" t="s">
        <v>3595</v>
      </c>
      <c r="B3582" t="s">
        <v>2733</v>
      </c>
      <c r="C3582" t="s">
        <v>22</v>
      </c>
      <c r="D3582" t="s">
        <v>23</v>
      </c>
      <c r="E3582" t="s">
        <v>28</v>
      </c>
    </row>
    <row r="3583" spans="1:13" x14ac:dyDescent="0.3">
      <c r="A3583" t="s">
        <v>3595</v>
      </c>
      <c r="B3583" t="s">
        <v>2733</v>
      </c>
      <c r="C3583" t="s">
        <v>2748</v>
      </c>
      <c r="D3583">
        <v>2</v>
      </c>
      <c r="H3583" t="s">
        <v>312</v>
      </c>
      <c r="I3583" t="s">
        <v>385</v>
      </c>
    </row>
    <row r="3584" spans="1:13" x14ac:dyDescent="0.3">
      <c r="A3584" t="s">
        <v>3595</v>
      </c>
      <c r="B3584" t="s">
        <v>2733</v>
      </c>
      <c r="C3584" t="s">
        <v>378</v>
      </c>
      <c r="D3584">
        <v>320</v>
      </c>
      <c r="H3584" t="s">
        <v>312</v>
      </c>
      <c r="I3584" t="s">
        <v>327</v>
      </c>
    </row>
    <row r="3585" spans="1:27" x14ac:dyDescent="0.3">
      <c r="A3585" t="s">
        <v>3595</v>
      </c>
      <c r="B3585" t="s">
        <v>2733</v>
      </c>
      <c r="C3585" t="s">
        <v>380</v>
      </c>
      <c r="D3585" t="s">
        <v>798</v>
      </c>
      <c r="E3585" t="s">
        <v>279</v>
      </c>
      <c r="F3585" t="s">
        <v>25</v>
      </c>
      <c r="G3585" t="s">
        <v>3604</v>
      </c>
      <c r="J3585" t="s">
        <v>2089</v>
      </c>
      <c r="K3585" t="s">
        <v>2750</v>
      </c>
      <c r="N3585" t="s">
        <v>2751</v>
      </c>
      <c r="O3585">
        <v>4</v>
      </c>
      <c r="R3585" t="s">
        <v>2752</v>
      </c>
      <c r="S3585">
        <v>248</v>
      </c>
      <c r="V3585" t="s">
        <v>2753</v>
      </c>
      <c r="W3585" t="s">
        <v>2754</v>
      </c>
      <c r="Z3585" t="s">
        <v>2755</v>
      </c>
      <c r="AA3585" t="s">
        <v>2756</v>
      </c>
    </row>
    <row r="3586" spans="1:27" x14ac:dyDescent="0.3">
      <c r="A3586" t="s">
        <v>3595</v>
      </c>
      <c r="B3586" t="s">
        <v>2733</v>
      </c>
      <c r="C3586" t="s">
        <v>16</v>
      </c>
      <c r="D3586" t="s">
        <v>143</v>
      </c>
      <c r="E3586" t="s">
        <v>37</v>
      </c>
    </row>
    <row r="3587" spans="1:27" x14ac:dyDescent="0.3">
      <c r="A3587" t="s">
        <v>3595</v>
      </c>
      <c r="B3587" t="s">
        <v>2733</v>
      </c>
      <c r="C3587" t="s">
        <v>11</v>
      </c>
      <c r="D3587" t="s">
        <v>12</v>
      </c>
      <c r="E3587" t="s">
        <v>13</v>
      </c>
      <c r="H3587" t="s">
        <v>382</v>
      </c>
      <c r="I3587" t="s">
        <v>3605</v>
      </c>
      <c r="L3587" t="s">
        <v>14</v>
      </c>
      <c r="M3587" t="s">
        <v>3605</v>
      </c>
    </row>
    <row r="3588" spans="1:27" x14ac:dyDescent="0.3">
      <c r="A3588" t="s">
        <v>3598</v>
      </c>
      <c r="B3588" t="s">
        <v>527</v>
      </c>
      <c r="C3588" t="s">
        <v>11</v>
      </c>
      <c r="D3588" t="s">
        <v>12</v>
      </c>
      <c r="E3588" t="s">
        <v>391</v>
      </c>
      <c r="H3588" t="s">
        <v>392</v>
      </c>
      <c r="I3588" t="s">
        <v>2758</v>
      </c>
      <c r="L3588" t="s">
        <v>394</v>
      </c>
      <c r="M3588" t="s">
        <v>3605</v>
      </c>
    </row>
    <row r="3589" spans="1:27" x14ac:dyDescent="0.3">
      <c r="A3589" t="s">
        <v>3597</v>
      </c>
      <c r="B3589" t="s">
        <v>2738</v>
      </c>
      <c r="C3589" t="s">
        <v>11</v>
      </c>
      <c r="D3589" t="s">
        <v>12</v>
      </c>
      <c r="E3589" t="s">
        <v>391</v>
      </c>
      <c r="H3589" t="s">
        <v>392</v>
      </c>
      <c r="I3589" t="s">
        <v>3606</v>
      </c>
      <c r="L3589" t="s">
        <v>394</v>
      </c>
      <c r="M3589" t="s">
        <v>3605</v>
      </c>
    </row>
    <row r="3590" spans="1:27" x14ac:dyDescent="0.3">
      <c r="A3590" t="s">
        <v>3596</v>
      </c>
      <c r="B3590" t="s">
        <v>2735</v>
      </c>
      <c r="C3590" t="s">
        <v>308</v>
      </c>
      <c r="D3590" t="s">
        <v>3607</v>
      </c>
      <c r="E3590" t="s">
        <v>406</v>
      </c>
      <c r="H3590" t="s">
        <v>25</v>
      </c>
      <c r="I3590" t="s">
        <v>2761</v>
      </c>
      <c r="L3590" t="s">
        <v>312</v>
      </c>
      <c r="M3590" t="s">
        <v>404</v>
      </c>
    </row>
    <row r="3591" spans="1:27" x14ac:dyDescent="0.3">
      <c r="A3591" t="s">
        <v>3607</v>
      </c>
      <c r="B3591" t="s">
        <v>406</v>
      </c>
      <c r="C3591" t="s">
        <v>11</v>
      </c>
      <c r="D3591" t="s">
        <v>12</v>
      </c>
      <c r="E3591" t="s">
        <v>391</v>
      </c>
      <c r="H3591" t="s">
        <v>392</v>
      </c>
      <c r="I3591" t="s">
        <v>3608</v>
      </c>
      <c r="L3591" t="s">
        <v>394</v>
      </c>
      <c r="M3591" t="s">
        <v>3605</v>
      </c>
    </row>
    <row r="3592" spans="1:27" x14ac:dyDescent="0.3">
      <c r="A3592" t="s">
        <v>3600</v>
      </c>
      <c r="B3592" t="s">
        <v>1138</v>
      </c>
      <c r="C3592" t="s">
        <v>11</v>
      </c>
      <c r="D3592" t="s">
        <v>12</v>
      </c>
      <c r="E3592" t="s">
        <v>391</v>
      </c>
      <c r="H3592" t="s">
        <v>392</v>
      </c>
      <c r="I3592" t="s">
        <v>3609</v>
      </c>
      <c r="L3592" t="s">
        <v>394</v>
      </c>
      <c r="M3592" t="s">
        <v>3605</v>
      </c>
    </row>
    <row r="3593" spans="1:27" x14ac:dyDescent="0.3">
      <c r="A3593" t="s">
        <v>3603</v>
      </c>
      <c r="B3593" t="s">
        <v>341</v>
      </c>
      <c r="C3593" t="s">
        <v>11</v>
      </c>
      <c r="D3593" t="s">
        <v>12</v>
      </c>
      <c r="E3593" t="s">
        <v>391</v>
      </c>
      <c r="H3593" t="s">
        <v>392</v>
      </c>
      <c r="I3593" t="s">
        <v>3610</v>
      </c>
      <c r="L3593" t="s">
        <v>394</v>
      </c>
      <c r="M3593" t="s">
        <v>3605</v>
      </c>
    </row>
    <row r="3594" spans="1:27" x14ac:dyDescent="0.3">
      <c r="A3594" t="s">
        <v>3601</v>
      </c>
      <c r="B3594" t="s">
        <v>1134</v>
      </c>
      <c r="C3594" t="s">
        <v>11</v>
      </c>
      <c r="D3594" t="s">
        <v>12</v>
      </c>
      <c r="E3594" t="s">
        <v>391</v>
      </c>
      <c r="H3594" t="s">
        <v>392</v>
      </c>
      <c r="I3594" t="s">
        <v>3611</v>
      </c>
      <c r="L3594" t="s">
        <v>394</v>
      </c>
      <c r="M3594" t="s">
        <v>3605</v>
      </c>
    </row>
    <row r="3595" spans="1:27" x14ac:dyDescent="0.3">
      <c r="A3595" t="s">
        <v>3602</v>
      </c>
      <c r="B3595" t="s">
        <v>1138</v>
      </c>
      <c r="C3595" t="s">
        <v>11</v>
      </c>
      <c r="D3595" t="s">
        <v>12</v>
      </c>
      <c r="E3595" t="s">
        <v>391</v>
      </c>
      <c r="H3595" t="s">
        <v>392</v>
      </c>
      <c r="I3595" t="s">
        <v>3612</v>
      </c>
      <c r="L3595" t="s">
        <v>394</v>
      </c>
      <c r="M3595" t="s">
        <v>3605</v>
      </c>
    </row>
    <row r="3596" spans="1:27" x14ac:dyDescent="0.3">
      <c r="A3596" t="s">
        <v>3599</v>
      </c>
      <c r="B3596" t="s">
        <v>2077</v>
      </c>
      <c r="C3596" t="s">
        <v>11</v>
      </c>
      <c r="D3596" t="s">
        <v>12</v>
      </c>
      <c r="E3596" t="s">
        <v>391</v>
      </c>
      <c r="H3596" t="s">
        <v>392</v>
      </c>
      <c r="I3596" t="s">
        <v>2128</v>
      </c>
      <c r="L3596" t="s">
        <v>394</v>
      </c>
      <c r="M3596" t="s">
        <v>3605</v>
      </c>
    </row>
    <row r="3597" spans="1:27" x14ac:dyDescent="0.3">
      <c r="A3597" t="s">
        <v>3613</v>
      </c>
      <c r="B3597" t="s">
        <v>2733</v>
      </c>
      <c r="C3597" t="s">
        <v>280</v>
      </c>
      <c r="D3597" t="s">
        <v>3614</v>
      </c>
      <c r="E3597" t="s">
        <v>2735</v>
      </c>
      <c r="H3597" t="s">
        <v>25</v>
      </c>
      <c r="I3597" t="s">
        <v>2736</v>
      </c>
    </row>
    <row r="3598" spans="1:27" x14ac:dyDescent="0.3">
      <c r="A3598" t="s">
        <v>3613</v>
      </c>
      <c r="B3598" t="s">
        <v>2733</v>
      </c>
      <c r="C3598" t="s">
        <v>308</v>
      </c>
      <c r="D3598" t="s">
        <v>3615</v>
      </c>
      <c r="E3598" t="s">
        <v>2738</v>
      </c>
      <c r="H3598" t="s">
        <v>25</v>
      </c>
      <c r="I3598" t="s">
        <v>2739</v>
      </c>
      <c r="L3598" t="s">
        <v>312</v>
      </c>
      <c r="M3598" t="s">
        <v>327</v>
      </c>
    </row>
    <row r="3599" spans="1:27" x14ac:dyDescent="0.3">
      <c r="A3599" t="s">
        <v>3613</v>
      </c>
      <c r="B3599" t="s">
        <v>2733</v>
      </c>
      <c r="C3599" t="s">
        <v>308</v>
      </c>
      <c r="D3599" t="s">
        <v>3616</v>
      </c>
      <c r="E3599" t="s">
        <v>527</v>
      </c>
      <c r="H3599" t="s">
        <v>25</v>
      </c>
      <c r="I3599" t="s">
        <v>2741</v>
      </c>
      <c r="L3599" t="s">
        <v>312</v>
      </c>
      <c r="M3599" t="s">
        <v>343</v>
      </c>
    </row>
    <row r="3600" spans="1:27" x14ac:dyDescent="0.3">
      <c r="A3600" t="s">
        <v>3613</v>
      </c>
      <c r="B3600" t="s">
        <v>2733</v>
      </c>
      <c r="C3600" t="s">
        <v>308</v>
      </c>
      <c r="D3600" t="s">
        <v>3617</v>
      </c>
      <c r="E3600" t="s">
        <v>2077</v>
      </c>
      <c r="H3600" t="s">
        <v>25</v>
      </c>
      <c r="I3600" t="s">
        <v>2078</v>
      </c>
      <c r="L3600" t="s">
        <v>312</v>
      </c>
      <c r="M3600" t="s">
        <v>1687</v>
      </c>
    </row>
    <row r="3601" spans="1:27" x14ac:dyDescent="0.3">
      <c r="A3601" t="s">
        <v>3613</v>
      </c>
      <c r="B3601" t="s">
        <v>2733</v>
      </c>
      <c r="C3601" t="s">
        <v>308</v>
      </c>
      <c r="D3601" t="s">
        <v>3618</v>
      </c>
      <c r="E3601" t="s">
        <v>1138</v>
      </c>
      <c r="H3601" t="s">
        <v>25</v>
      </c>
      <c r="I3601" t="s">
        <v>2065</v>
      </c>
      <c r="L3601" t="s">
        <v>312</v>
      </c>
      <c r="M3601" t="s">
        <v>317</v>
      </c>
    </row>
    <row r="3602" spans="1:27" x14ac:dyDescent="0.3">
      <c r="A3602" t="s">
        <v>3613</v>
      </c>
      <c r="B3602" t="s">
        <v>2733</v>
      </c>
      <c r="C3602" t="s">
        <v>308</v>
      </c>
      <c r="D3602" t="s">
        <v>3619</v>
      </c>
      <c r="E3602" t="s">
        <v>1134</v>
      </c>
      <c r="H3602" t="s">
        <v>25</v>
      </c>
      <c r="I3602" t="s">
        <v>2069</v>
      </c>
      <c r="L3602" t="s">
        <v>312</v>
      </c>
      <c r="M3602" t="s">
        <v>317</v>
      </c>
    </row>
    <row r="3603" spans="1:27" x14ac:dyDescent="0.3">
      <c r="A3603" t="s">
        <v>3613</v>
      </c>
      <c r="B3603" t="s">
        <v>2733</v>
      </c>
      <c r="C3603" t="s">
        <v>308</v>
      </c>
      <c r="D3603" t="s">
        <v>3620</v>
      </c>
      <c r="E3603" t="s">
        <v>1138</v>
      </c>
      <c r="H3603" t="s">
        <v>25</v>
      </c>
      <c r="I3603" t="s">
        <v>2746</v>
      </c>
      <c r="L3603" t="s">
        <v>312</v>
      </c>
      <c r="M3603" t="s">
        <v>317</v>
      </c>
    </row>
    <row r="3604" spans="1:27" x14ac:dyDescent="0.3">
      <c r="A3604" t="s">
        <v>3613</v>
      </c>
      <c r="B3604" t="s">
        <v>2733</v>
      </c>
      <c r="C3604" t="s">
        <v>308</v>
      </c>
      <c r="D3604" t="s">
        <v>3621</v>
      </c>
      <c r="E3604" t="s">
        <v>341</v>
      </c>
      <c r="H3604" t="s">
        <v>25</v>
      </c>
      <c r="I3604" t="s">
        <v>342</v>
      </c>
      <c r="L3604" t="s">
        <v>312</v>
      </c>
      <c r="M3604" t="s">
        <v>343</v>
      </c>
    </row>
    <row r="3605" spans="1:27" x14ac:dyDescent="0.3">
      <c r="A3605" t="s">
        <v>3613</v>
      </c>
      <c r="B3605" t="s">
        <v>2733</v>
      </c>
      <c r="C3605" t="s">
        <v>22</v>
      </c>
      <c r="D3605" t="s">
        <v>23</v>
      </c>
      <c r="E3605" t="s">
        <v>28</v>
      </c>
    </row>
    <row r="3606" spans="1:27" x14ac:dyDescent="0.3">
      <c r="A3606" t="s">
        <v>3613</v>
      </c>
      <c r="B3606" t="s">
        <v>2733</v>
      </c>
      <c r="C3606" t="s">
        <v>2748</v>
      </c>
      <c r="D3606">
        <v>2</v>
      </c>
      <c r="H3606" t="s">
        <v>312</v>
      </c>
      <c r="I3606" t="s">
        <v>385</v>
      </c>
    </row>
    <row r="3607" spans="1:27" x14ac:dyDescent="0.3">
      <c r="A3607" t="s">
        <v>3613</v>
      </c>
      <c r="B3607" t="s">
        <v>2733</v>
      </c>
      <c r="C3607" t="s">
        <v>378</v>
      </c>
      <c r="D3607">
        <v>320</v>
      </c>
      <c r="H3607" t="s">
        <v>312</v>
      </c>
      <c r="I3607" t="s">
        <v>327</v>
      </c>
    </row>
    <row r="3608" spans="1:27" x14ac:dyDescent="0.3">
      <c r="A3608" t="s">
        <v>3613</v>
      </c>
      <c r="B3608" t="s">
        <v>2733</v>
      </c>
      <c r="C3608" t="s">
        <v>380</v>
      </c>
      <c r="D3608" t="s">
        <v>798</v>
      </c>
      <c r="E3608" t="s">
        <v>279</v>
      </c>
      <c r="F3608" t="s">
        <v>25</v>
      </c>
      <c r="G3608" t="s">
        <v>3622</v>
      </c>
      <c r="J3608" t="s">
        <v>2089</v>
      </c>
      <c r="K3608" t="s">
        <v>2750</v>
      </c>
      <c r="N3608" t="s">
        <v>2751</v>
      </c>
      <c r="O3608">
        <v>4</v>
      </c>
      <c r="R3608" t="s">
        <v>2752</v>
      </c>
      <c r="S3608">
        <v>248</v>
      </c>
      <c r="V3608" t="s">
        <v>2753</v>
      </c>
      <c r="W3608" t="s">
        <v>2754</v>
      </c>
      <c r="Z3608" t="s">
        <v>2755</v>
      </c>
      <c r="AA3608" t="s">
        <v>2756</v>
      </c>
    </row>
    <row r="3609" spans="1:27" x14ac:dyDescent="0.3">
      <c r="A3609" t="s">
        <v>3613</v>
      </c>
      <c r="B3609" t="s">
        <v>2733</v>
      </c>
      <c r="C3609" t="s">
        <v>16</v>
      </c>
      <c r="D3609" t="s">
        <v>143</v>
      </c>
      <c r="E3609" t="s">
        <v>37</v>
      </c>
    </row>
    <row r="3610" spans="1:27" x14ac:dyDescent="0.3">
      <c r="A3610" t="s">
        <v>3613</v>
      </c>
      <c r="B3610" t="s">
        <v>2733</v>
      </c>
      <c r="C3610" t="s">
        <v>11</v>
      </c>
      <c r="D3610" t="s">
        <v>12</v>
      </c>
      <c r="E3610" t="s">
        <v>13</v>
      </c>
      <c r="H3610" t="s">
        <v>382</v>
      </c>
      <c r="I3610" t="s">
        <v>3623</v>
      </c>
      <c r="L3610" t="s">
        <v>14</v>
      </c>
      <c r="M3610" t="s">
        <v>3623</v>
      </c>
    </row>
    <row r="3611" spans="1:27" x14ac:dyDescent="0.3">
      <c r="A3611" t="s">
        <v>3616</v>
      </c>
      <c r="B3611" t="s">
        <v>527</v>
      </c>
      <c r="C3611" t="s">
        <v>11</v>
      </c>
      <c r="D3611" t="s">
        <v>12</v>
      </c>
      <c r="E3611" t="s">
        <v>391</v>
      </c>
      <c r="H3611" t="s">
        <v>392</v>
      </c>
      <c r="I3611" t="s">
        <v>2758</v>
      </c>
      <c r="L3611" t="s">
        <v>394</v>
      </c>
      <c r="M3611" t="s">
        <v>3623</v>
      </c>
    </row>
    <row r="3612" spans="1:27" x14ac:dyDescent="0.3">
      <c r="A3612" t="s">
        <v>3615</v>
      </c>
      <c r="B3612" t="s">
        <v>2738</v>
      </c>
      <c r="C3612" t="s">
        <v>11</v>
      </c>
      <c r="D3612" t="s">
        <v>12</v>
      </c>
      <c r="E3612" t="s">
        <v>391</v>
      </c>
      <c r="H3612" t="s">
        <v>392</v>
      </c>
      <c r="I3612" t="s">
        <v>3624</v>
      </c>
      <c r="L3612" t="s">
        <v>394</v>
      </c>
      <c r="M3612" t="s">
        <v>3623</v>
      </c>
    </row>
    <row r="3613" spans="1:27" x14ac:dyDescent="0.3">
      <c r="A3613" t="s">
        <v>3614</v>
      </c>
      <c r="B3613" t="s">
        <v>2735</v>
      </c>
      <c r="C3613" t="s">
        <v>308</v>
      </c>
      <c r="D3613" t="s">
        <v>3625</v>
      </c>
      <c r="E3613" t="s">
        <v>406</v>
      </c>
      <c r="H3613" t="s">
        <v>25</v>
      </c>
      <c r="I3613" t="s">
        <v>2761</v>
      </c>
      <c r="L3613" t="s">
        <v>312</v>
      </c>
      <c r="M3613" t="s">
        <v>404</v>
      </c>
    </row>
    <row r="3614" spans="1:27" x14ac:dyDescent="0.3">
      <c r="A3614" t="s">
        <v>3625</v>
      </c>
      <c r="B3614" t="s">
        <v>406</v>
      </c>
      <c r="C3614" t="s">
        <v>11</v>
      </c>
      <c r="D3614" t="s">
        <v>12</v>
      </c>
      <c r="E3614" t="s">
        <v>391</v>
      </c>
      <c r="H3614" t="s">
        <v>392</v>
      </c>
      <c r="I3614" t="s">
        <v>3626</v>
      </c>
      <c r="L3614" t="s">
        <v>394</v>
      </c>
      <c r="M3614" t="s">
        <v>3623</v>
      </c>
    </row>
    <row r="3615" spans="1:27" x14ac:dyDescent="0.3">
      <c r="A3615" t="s">
        <v>3618</v>
      </c>
      <c r="B3615" t="s">
        <v>1138</v>
      </c>
      <c r="C3615" t="s">
        <v>11</v>
      </c>
      <c r="D3615" t="s">
        <v>12</v>
      </c>
      <c r="E3615" t="s">
        <v>391</v>
      </c>
      <c r="H3615" t="s">
        <v>392</v>
      </c>
      <c r="I3615" t="s">
        <v>3627</v>
      </c>
      <c r="L3615" t="s">
        <v>394</v>
      </c>
      <c r="M3615" t="s">
        <v>3623</v>
      </c>
    </row>
    <row r="3616" spans="1:27" x14ac:dyDescent="0.3">
      <c r="A3616" t="s">
        <v>3621</v>
      </c>
      <c r="B3616" t="s">
        <v>341</v>
      </c>
      <c r="C3616" t="s">
        <v>11</v>
      </c>
      <c r="D3616" t="s">
        <v>12</v>
      </c>
      <c r="E3616" t="s">
        <v>391</v>
      </c>
      <c r="H3616" t="s">
        <v>392</v>
      </c>
      <c r="I3616" t="s">
        <v>3628</v>
      </c>
      <c r="L3616" t="s">
        <v>394</v>
      </c>
      <c r="M3616" t="s">
        <v>3623</v>
      </c>
    </row>
    <row r="3617" spans="1:27" x14ac:dyDescent="0.3">
      <c r="A3617" t="s">
        <v>3619</v>
      </c>
      <c r="B3617" t="s">
        <v>1134</v>
      </c>
      <c r="C3617" t="s">
        <v>11</v>
      </c>
      <c r="D3617" t="s">
        <v>12</v>
      </c>
      <c r="E3617" t="s">
        <v>391</v>
      </c>
      <c r="H3617" t="s">
        <v>392</v>
      </c>
      <c r="I3617" t="s">
        <v>3629</v>
      </c>
      <c r="L3617" t="s">
        <v>394</v>
      </c>
      <c r="M3617" t="s">
        <v>3623</v>
      </c>
    </row>
    <row r="3618" spans="1:27" x14ac:dyDescent="0.3">
      <c r="A3618" t="s">
        <v>3620</v>
      </c>
      <c r="B3618" t="s">
        <v>1138</v>
      </c>
      <c r="C3618" t="s">
        <v>11</v>
      </c>
      <c r="D3618" t="s">
        <v>12</v>
      </c>
      <c r="E3618" t="s">
        <v>391</v>
      </c>
      <c r="H3618" t="s">
        <v>392</v>
      </c>
      <c r="I3618" t="s">
        <v>3630</v>
      </c>
      <c r="L3618" t="s">
        <v>394</v>
      </c>
      <c r="M3618" t="s">
        <v>3623</v>
      </c>
    </row>
    <row r="3619" spans="1:27" x14ac:dyDescent="0.3">
      <c r="A3619" t="s">
        <v>3617</v>
      </c>
      <c r="B3619" t="s">
        <v>2077</v>
      </c>
      <c r="C3619" t="s">
        <v>11</v>
      </c>
      <c r="D3619" t="s">
        <v>12</v>
      </c>
      <c r="E3619" t="s">
        <v>391</v>
      </c>
      <c r="H3619" t="s">
        <v>392</v>
      </c>
      <c r="I3619" t="s">
        <v>2128</v>
      </c>
      <c r="L3619" t="s">
        <v>394</v>
      </c>
      <c r="M3619" t="s">
        <v>3623</v>
      </c>
    </row>
    <row r="3620" spans="1:27" x14ac:dyDescent="0.3">
      <c r="A3620" t="s">
        <v>3631</v>
      </c>
      <c r="B3620" t="s">
        <v>2733</v>
      </c>
      <c r="C3620" t="s">
        <v>280</v>
      </c>
      <c r="D3620" t="s">
        <v>3632</v>
      </c>
      <c r="E3620" t="s">
        <v>2735</v>
      </c>
      <c r="H3620" t="s">
        <v>25</v>
      </c>
      <c r="I3620" t="s">
        <v>2736</v>
      </c>
    </row>
    <row r="3621" spans="1:27" x14ac:dyDescent="0.3">
      <c r="A3621" t="s">
        <v>3631</v>
      </c>
      <c r="B3621" t="s">
        <v>2733</v>
      </c>
      <c r="C3621" t="s">
        <v>308</v>
      </c>
      <c r="D3621" t="s">
        <v>3633</v>
      </c>
      <c r="E3621" t="s">
        <v>2738</v>
      </c>
      <c r="H3621" t="s">
        <v>25</v>
      </c>
      <c r="I3621" t="s">
        <v>2739</v>
      </c>
      <c r="L3621" t="s">
        <v>312</v>
      </c>
      <c r="M3621" t="s">
        <v>327</v>
      </c>
    </row>
    <row r="3622" spans="1:27" x14ac:dyDescent="0.3">
      <c r="A3622" t="s">
        <v>3631</v>
      </c>
      <c r="B3622" t="s">
        <v>2733</v>
      </c>
      <c r="C3622" t="s">
        <v>308</v>
      </c>
      <c r="D3622" t="s">
        <v>3634</v>
      </c>
      <c r="E3622" t="s">
        <v>527</v>
      </c>
      <c r="H3622" t="s">
        <v>25</v>
      </c>
      <c r="I3622" t="s">
        <v>2741</v>
      </c>
      <c r="L3622" t="s">
        <v>312</v>
      </c>
      <c r="M3622" t="s">
        <v>343</v>
      </c>
    </row>
    <row r="3623" spans="1:27" x14ac:dyDescent="0.3">
      <c r="A3623" t="s">
        <v>3631</v>
      </c>
      <c r="B3623" t="s">
        <v>2733</v>
      </c>
      <c r="C3623" t="s">
        <v>308</v>
      </c>
      <c r="D3623" t="s">
        <v>3635</v>
      </c>
      <c r="E3623" t="s">
        <v>2077</v>
      </c>
      <c r="H3623" t="s">
        <v>25</v>
      </c>
      <c r="I3623" t="s">
        <v>2078</v>
      </c>
      <c r="L3623" t="s">
        <v>312</v>
      </c>
      <c r="M3623" t="s">
        <v>1687</v>
      </c>
    </row>
    <row r="3624" spans="1:27" x14ac:dyDescent="0.3">
      <c r="A3624" t="s">
        <v>3631</v>
      </c>
      <c r="B3624" t="s">
        <v>2733</v>
      </c>
      <c r="C3624" t="s">
        <v>308</v>
      </c>
      <c r="D3624" t="s">
        <v>3636</v>
      </c>
      <c r="E3624" t="s">
        <v>1138</v>
      </c>
      <c r="H3624" t="s">
        <v>25</v>
      </c>
      <c r="I3624" t="s">
        <v>2065</v>
      </c>
      <c r="L3624" t="s">
        <v>312</v>
      </c>
      <c r="M3624" t="s">
        <v>317</v>
      </c>
    </row>
    <row r="3625" spans="1:27" x14ac:dyDescent="0.3">
      <c r="A3625" t="s">
        <v>3631</v>
      </c>
      <c r="B3625" t="s">
        <v>2733</v>
      </c>
      <c r="C3625" t="s">
        <v>308</v>
      </c>
      <c r="D3625" t="s">
        <v>3637</v>
      </c>
      <c r="E3625" t="s">
        <v>1134</v>
      </c>
      <c r="H3625" t="s">
        <v>25</v>
      </c>
      <c r="I3625" t="s">
        <v>2069</v>
      </c>
      <c r="L3625" t="s">
        <v>312</v>
      </c>
      <c r="M3625" t="s">
        <v>317</v>
      </c>
    </row>
    <row r="3626" spans="1:27" x14ac:dyDescent="0.3">
      <c r="A3626" t="s">
        <v>3631</v>
      </c>
      <c r="B3626" t="s">
        <v>2733</v>
      </c>
      <c r="C3626" t="s">
        <v>308</v>
      </c>
      <c r="D3626" t="s">
        <v>3638</v>
      </c>
      <c r="E3626" t="s">
        <v>1138</v>
      </c>
      <c r="H3626" t="s">
        <v>25</v>
      </c>
      <c r="I3626" t="s">
        <v>2746</v>
      </c>
      <c r="L3626" t="s">
        <v>312</v>
      </c>
      <c r="M3626" t="s">
        <v>317</v>
      </c>
    </row>
    <row r="3627" spans="1:27" x14ac:dyDescent="0.3">
      <c r="A3627" t="s">
        <v>3631</v>
      </c>
      <c r="B3627" t="s">
        <v>2733</v>
      </c>
      <c r="C3627" t="s">
        <v>308</v>
      </c>
      <c r="D3627" t="s">
        <v>3639</v>
      </c>
      <c r="E3627" t="s">
        <v>341</v>
      </c>
      <c r="H3627" t="s">
        <v>25</v>
      </c>
      <c r="I3627" t="s">
        <v>342</v>
      </c>
      <c r="L3627" t="s">
        <v>312</v>
      </c>
      <c r="M3627" t="s">
        <v>343</v>
      </c>
    </row>
    <row r="3628" spans="1:27" x14ac:dyDescent="0.3">
      <c r="A3628" t="s">
        <v>3631</v>
      </c>
      <c r="B3628" t="s">
        <v>2733</v>
      </c>
      <c r="C3628" t="s">
        <v>22</v>
      </c>
      <c r="D3628" t="s">
        <v>23</v>
      </c>
      <c r="E3628" t="s">
        <v>28</v>
      </c>
    </row>
    <row r="3629" spans="1:27" x14ac:dyDescent="0.3">
      <c r="A3629" t="s">
        <v>3631</v>
      </c>
      <c r="B3629" t="s">
        <v>2733</v>
      </c>
      <c r="C3629" t="s">
        <v>2748</v>
      </c>
      <c r="D3629">
        <v>2</v>
      </c>
      <c r="H3629" t="s">
        <v>312</v>
      </c>
      <c r="I3629" t="s">
        <v>385</v>
      </c>
    </row>
    <row r="3630" spans="1:27" x14ac:dyDescent="0.3">
      <c r="A3630" t="s">
        <v>3631</v>
      </c>
      <c r="B3630" t="s">
        <v>2733</v>
      </c>
      <c r="C3630" t="s">
        <v>378</v>
      </c>
      <c r="D3630">
        <v>320</v>
      </c>
      <c r="H3630" t="s">
        <v>312</v>
      </c>
      <c r="I3630" t="s">
        <v>327</v>
      </c>
    </row>
    <row r="3631" spans="1:27" x14ac:dyDescent="0.3">
      <c r="A3631" t="s">
        <v>3631</v>
      </c>
      <c r="B3631" t="s">
        <v>2733</v>
      </c>
      <c r="C3631" t="s">
        <v>380</v>
      </c>
      <c r="D3631" t="s">
        <v>798</v>
      </c>
      <c r="E3631" t="s">
        <v>279</v>
      </c>
      <c r="F3631" t="s">
        <v>25</v>
      </c>
      <c r="G3631" t="s">
        <v>3640</v>
      </c>
      <c r="J3631" t="s">
        <v>2089</v>
      </c>
      <c r="K3631" t="s">
        <v>2750</v>
      </c>
      <c r="N3631" t="s">
        <v>2751</v>
      </c>
      <c r="O3631">
        <v>4</v>
      </c>
      <c r="R3631" t="s">
        <v>2752</v>
      </c>
      <c r="S3631">
        <v>248</v>
      </c>
      <c r="V3631" t="s">
        <v>2753</v>
      </c>
      <c r="W3631" t="s">
        <v>2754</v>
      </c>
      <c r="Z3631" t="s">
        <v>2755</v>
      </c>
      <c r="AA3631" t="s">
        <v>2756</v>
      </c>
    </row>
    <row r="3632" spans="1:27" x14ac:dyDescent="0.3">
      <c r="A3632" t="s">
        <v>3631</v>
      </c>
      <c r="B3632" t="s">
        <v>2733</v>
      </c>
      <c r="C3632" t="s">
        <v>16</v>
      </c>
      <c r="D3632" t="s">
        <v>145</v>
      </c>
      <c r="E3632" t="s">
        <v>37</v>
      </c>
    </row>
    <row r="3633" spans="1:13" x14ac:dyDescent="0.3">
      <c r="A3633" t="s">
        <v>3631</v>
      </c>
      <c r="B3633" t="s">
        <v>2733</v>
      </c>
      <c r="C3633" t="s">
        <v>11</v>
      </c>
      <c r="D3633" t="s">
        <v>12</v>
      </c>
      <c r="E3633" t="s">
        <v>13</v>
      </c>
      <c r="H3633" t="s">
        <v>382</v>
      </c>
      <c r="I3633" t="s">
        <v>3641</v>
      </c>
      <c r="L3633" t="s">
        <v>14</v>
      </c>
      <c r="M3633" t="s">
        <v>3641</v>
      </c>
    </row>
    <row r="3634" spans="1:13" x14ac:dyDescent="0.3">
      <c r="A3634" t="s">
        <v>3634</v>
      </c>
      <c r="B3634" t="s">
        <v>527</v>
      </c>
      <c r="C3634" t="s">
        <v>11</v>
      </c>
      <c r="D3634" t="s">
        <v>12</v>
      </c>
      <c r="E3634" t="s">
        <v>391</v>
      </c>
      <c r="H3634" t="s">
        <v>392</v>
      </c>
      <c r="I3634" t="s">
        <v>2758</v>
      </c>
      <c r="L3634" t="s">
        <v>394</v>
      </c>
      <c r="M3634" t="s">
        <v>3641</v>
      </c>
    </row>
    <row r="3635" spans="1:13" x14ac:dyDescent="0.3">
      <c r="A3635" t="s">
        <v>3633</v>
      </c>
      <c r="B3635" t="s">
        <v>2738</v>
      </c>
      <c r="C3635" t="s">
        <v>11</v>
      </c>
      <c r="D3635" t="s">
        <v>12</v>
      </c>
      <c r="E3635" t="s">
        <v>391</v>
      </c>
      <c r="H3635" t="s">
        <v>392</v>
      </c>
      <c r="I3635" t="s">
        <v>3642</v>
      </c>
      <c r="L3635" t="s">
        <v>394</v>
      </c>
      <c r="M3635" t="s">
        <v>3641</v>
      </c>
    </row>
    <row r="3636" spans="1:13" x14ac:dyDescent="0.3">
      <c r="A3636" t="s">
        <v>3632</v>
      </c>
      <c r="B3636" t="s">
        <v>2735</v>
      </c>
      <c r="C3636" t="s">
        <v>308</v>
      </c>
      <c r="D3636" t="s">
        <v>3643</v>
      </c>
      <c r="E3636" t="s">
        <v>406</v>
      </c>
      <c r="H3636" t="s">
        <v>25</v>
      </c>
      <c r="I3636" t="s">
        <v>2761</v>
      </c>
      <c r="L3636" t="s">
        <v>312</v>
      </c>
      <c r="M3636" t="s">
        <v>404</v>
      </c>
    </row>
    <row r="3637" spans="1:13" x14ac:dyDescent="0.3">
      <c r="A3637" t="s">
        <v>3643</v>
      </c>
      <c r="B3637" t="s">
        <v>406</v>
      </c>
      <c r="C3637" t="s">
        <v>11</v>
      </c>
      <c r="D3637" t="s">
        <v>12</v>
      </c>
      <c r="E3637" t="s">
        <v>391</v>
      </c>
      <c r="H3637" t="s">
        <v>392</v>
      </c>
      <c r="I3637" t="s">
        <v>3644</v>
      </c>
      <c r="L3637" t="s">
        <v>394</v>
      </c>
      <c r="M3637" t="s">
        <v>3641</v>
      </c>
    </row>
    <row r="3638" spans="1:13" x14ac:dyDescent="0.3">
      <c r="A3638" t="s">
        <v>3636</v>
      </c>
      <c r="B3638" t="s">
        <v>1138</v>
      </c>
      <c r="C3638" t="s">
        <v>11</v>
      </c>
      <c r="D3638" t="s">
        <v>12</v>
      </c>
      <c r="E3638" t="s">
        <v>391</v>
      </c>
      <c r="H3638" t="s">
        <v>392</v>
      </c>
      <c r="I3638" t="s">
        <v>3645</v>
      </c>
      <c r="L3638" t="s">
        <v>394</v>
      </c>
      <c r="M3638" t="s">
        <v>3641</v>
      </c>
    </row>
    <row r="3639" spans="1:13" x14ac:dyDescent="0.3">
      <c r="A3639" t="s">
        <v>3639</v>
      </c>
      <c r="B3639" t="s">
        <v>341</v>
      </c>
      <c r="C3639" t="s">
        <v>11</v>
      </c>
      <c r="D3639" t="s">
        <v>12</v>
      </c>
      <c r="E3639" t="s">
        <v>391</v>
      </c>
      <c r="H3639" t="s">
        <v>392</v>
      </c>
      <c r="I3639" t="s">
        <v>3646</v>
      </c>
      <c r="L3639" t="s">
        <v>394</v>
      </c>
      <c r="M3639" t="s">
        <v>3641</v>
      </c>
    </row>
    <row r="3640" spans="1:13" x14ac:dyDescent="0.3">
      <c r="A3640" t="s">
        <v>3637</v>
      </c>
      <c r="B3640" t="s">
        <v>1134</v>
      </c>
      <c r="C3640" t="s">
        <v>11</v>
      </c>
      <c r="D3640" t="s">
        <v>12</v>
      </c>
      <c r="E3640" t="s">
        <v>391</v>
      </c>
      <c r="H3640" t="s">
        <v>392</v>
      </c>
      <c r="I3640" t="s">
        <v>3647</v>
      </c>
      <c r="L3640" t="s">
        <v>394</v>
      </c>
      <c r="M3640" t="s">
        <v>3641</v>
      </c>
    </row>
    <row r="3641" spans="1:13" x14ac:dyDescent="0.3">
      <c r="A3641" t="s">
        <v>3638</v>
      </c>
      <c r="B3641" t="s">
        <v>1138</v>
      </c>
      <c r="C3641" t="s">
        <v>11</v>
      </c>
      <c r="D3641" t="s">
        <v>12</v>
      </c>
      <c r="E3641" t="s">
        <v>391</v>
      </c>
      <c r="H3641" t="s">
        <v>392</v>
      </c>
      <c r="I3641" t="s">
        <v>3648</v>
      </c>
      <c r="L3641" t="s">
        <v>394</v>
      </c>
      <c r="M3641" t="s">
        <v>3641</v>
      </c>
    </row>
    <row r="3642" spans="1:13" x14ac:dyDescent="0.3">
      <c r="A3642" t="s">
        <v>3635</v>
      </c>
      <c r="B3642" t="s">
        <v>2077</v>
      </c>
      <c r="C3642" t="s">
        <v>11</v>
      </c>
      <c r="D3642" t="s">
        <v>12</v>
      </c>
      <c r="E3642" t="s">
        <v>391</v>
      </c>
      <c r="H3642" t="s">
        <v>392</v>
      </c>
      <c r="I3642" t="s">
        <v>2128</v>
      </c>
      <c r="L3642" t="s">
        <v>394</v>
      </c>
      <c r="M3642" t="s">
        <v>3641</v>
      </c>
    </row>
    <row r="3643" spans="1:13" x14ac:dyDescent="0.3">
      <c r="A3643" t="s">
        <v>3649</v>
      </c>
      <c r="B3643" t="s">
        <v>2733</v>
      </c>
      <c r="C3643" t="s">
        <v>280</v>
      </c>
      <c r="D3643" t="s">
        <v>3650</v>
      </c>
      <c r="E3643" t="s">
        <v>2735</v>
      </c>
      <c r="H3643" t="s">
        <v>25</v>
      </c>
      <c r="I3643" t="s">
        <v>2736</v>
      </c>
    </row>
    <row r="3644" spans="1:13" x14ac:dyDescent="0.3">
      <c r="A3644" t="s">
        <v>3649</v>
      </c>
      <c r="B3644" t="s">
        <v>2733</v>
      </c>
      <c r="C3644" t="s">
        <v>308</v>
      </c>
      <c r="D3644" t="s">
        <v>3651</v>
      </c>
      <c r="E3644" t="s">
        <v>2738</v>
      </c>
      <c r="H3644" t="s">
        <v>25</v>
      </c>
      <c r="I3644" t="s">
        <v>2739</v>
      </c>
      <c r="L3644" t="s">
        <v>312</v>
      </c>
      <c r="M3644" t="s">
        <v>327</v>
      </c>
    </row>
    <row r="3645" spans="1:13" x14ac:dyDescent="0.3">
      <c r="A3645" t="s">
        <v>3649</v>
      </c>
      <c r="B3645" t="s">
        <v>2733</v>
      </c>
      <c r="C3645" t="s">
        <v>308</v>
      </c>
      <c r="D3645" t="s">
        <v>3652</v>
      </c>
      <c r="E3645" t="s">
        <v>527</v>
      </c>
      <c r="H3645" t="s">
        <v>25</v>
      </c>
      <c r="I3645" t="s">
        <v>2741</v>
      </c>
      <c r="L3645" t="s">
        <v>312</v>
      </c>
      <c r="M3645" t="s">
        <v>343</v>
      </c>
    </row>
    <row r="3646" spans="1:13" x14ac:dyDescent="0.3">
      <c r="A3646" t="s">
        <v>3649</v>
      </c>
      <c r="B3646" t="s">
        <v>2733</v>
      </c>
      <c r="C3646" t="s">
        <v>308</v>
      </c>
      <c r="D3646" t="s">
        <v>3653</v>
      </c>
      <c r="E3646" t="s">
        <v>2077</v>
      </c>
      <c r="H3646" t="s">
        <v>25</v>
      </c>
      <c r="I3646" t="s">
        <v>2078</v>
      </c>
      <c r="L3646" t="s">
        <v>312</v>
      </c>
      <c r="M3646" t="s">
        <v>1687</v>
      </c>
    </row>
    <row r="3647" spans="1:13" x14ac:dyDescent="0.3">
      <c r="A3647" t="s">
        <v>3649</v>
      </c>
      <c r="B3647" t="s">
        <v>2733</v>
      </c>
      <c r="C3647" t="s">
        <v>308</v>
      </c>
      <c r="D3647" t="s">
        <v>3654</v>
      </c>
      <c r="E3647" t="s">
        <v>1138</v>
      </c>
      <c r="H3647" t="s">
        <v>25</v>
      </c>
      <c r="I3647" t="s">
        <v>2065</v>
      </c>
      <c r="L3647" t="s">
        <v>312</v>
      </c>
      <c r="M3647" t="s">
        <v>317</v>
      </c>
    </row>
    <row r="3648" spans="1:13" x14ac:dyDescent="0.3">
      <c r="A3648" t="s">
        <v>3649</v>
      </c>
      <c r="B3648" t="s">
        <v>2733</v>
      </c>
      <c r="C3648" t="s">
        <v>308</v>
      </c>
      <c r="D3648" t="s">
        <v>3655</v>
      </c>
      <c r="E3648" t="s">
        <v>1134</v>
      </c>
      <c r="H3648" t="s">
        <v>25</v>
      </c>
      <c r="I3648" t="s">
        <v>2069</v>
      </c>
      <c r="L3648" t="s">
        <v>312</v>
      </c>
      <c r="M3648" t="s">
        <v>317</v>
      </c>
    </row>
    <row r="3649" spans="1:27" x14ac:dyDescent="0.3">
      <c r="A3649" t="s">
        <v>3649</v>
      </c>
      <c r="B3649" t="s">
        <v>2733</v>
      </c>
      <c r="C3649" t="s">
        <v>308</v>
      </c>
      <c r="D3649" t="s">
        <v>3656</v>
      </c>
      <c r="E3649" t="s">
        <v>1138</v>
      </c>
      <c r="H3649" t="s">
        <v>25</v>
      </c>
      <c r="I3649" t="s">
        <v>2746</v>
      </c>
      <c r="L3649" t="s">
        <v>312</v>
      </c>
      <c r="M3649" t="s">
        <v>317</v>
      </c>
    </row>
    <row r="3650" spans="1:27" x14ac:dyDescent="0.3">
      <c r="A3650" t="s">
        <v>3649</v>
      </c>
      <c r="B3650" t="s">
        <v>2733</v>
      </c>
      <c r="C3650" t="s">
        <v>308</v>
      </c>
      <c r="D3650" t="s">
        <v>3657</v>
      </c>
      <c r="E3650" t="s">
        <v>341</v>
      </c>
      <c r="H3650" t="s">
        <v>25</v>
      </c>
      <c r="I3650" t="s">
        <v>342</v>
      </c>
      <c r="L3650" t="s">
        <v>312</v>
      </c>
      <c r="M3650" t="s">
        <v>343</v>
      </c>
    </row>
    <row r="3651" spans="1:27" x14ac:dyDescent="0.3">
      <c r="A3651" t="s">
        <v>3649</v>
      </c>
      <c r="B3651" t="s">
        <v>2733</v>
      </c>
      <c r="C3651" t="s">
        <v>22</v>
      </c>
      <c r="D3651" t="s">
        <v>23</v>
      </c>
      <c r="E3651" t="s">
        <v>28</v>
      </c>
    </row>
    <row r="3652" spans="1:27" x14ac:dyDescent="0.3">
      <c r="A3652" t="s">
        <v>3649</v>
      </c>
      <c r="B3652" t="s">
        <v>2733</v>
      </c>
      <c r="C3652" t="s">
        <v>2748</v>
      </c>
      <c r="D3652">
        <v>3</v>
      </c>
      <c r="H3652" t="s">
        <v>312</v>
      </c>
      <c r="I3652" t="s">
        <v>385</v>
      </c>
    </row>
    <row r="3653" spans="1:27" x14ac:dyDescent="0.3">
      <c r="A3653" t="s">
        <v>3649</v>
      </c>
      <c r="B3653" t="s">
        <v>2733</v>
      </c>
      <c r="C3653" t="s">
        <v>378</v>
      </c>
      <c r="D3653">
        <v>300</v>
      </c>
      <c r="H3653" t="s">
        <v>312</v>
      </c>
      <c r="I3653" t="s">
        <v>327</v>
      </c>
    </row>
    <row r="3654" spans="1:27" x14ac:dyDescent="0.3">
      <c r="A3654" t="s">
        <v>3649</v>
      </c>
      <c r="B3654" t="s">
        <v>2733</v>
      </c>
      <c r="C3654" t="s">
        <v>380</v>
      </c>
      <c r="D3654" t="s">
        <v>278</v>
      </c>
      <c r="E3654" t="s">
        <v>279</v>
      </c>
      <c r="F3654" t="s">
        <v>25</v>
      </c>
      <c r="G3654" t="s">
        <v>3658</v>
      </c>
      <c r="J3654" t="s">
        <v>2089</v>
      </c>
      <c r="K3654" t="s">
        <v>2750</v>
      </c>
      <c r="N3654" t="s">
        <v>2751</v>
      </c>
      <c r="O3654">
        <v>5</v>
      </c>
      <c r="R3654" t="s">
        <v>2752</v>
      </c>
      <c r="S3654">
        <v>313</v>
      </c>
      <c r="V3654" t="s">
        <v>2753</v>
      </c>
      <c r="W3654" t="s">
        <v>2754</v>
      </c>
      <c r="Z3654" t="s">
        <v>2755</v>
      </c>
      <c r="AA3654" t="s">
        <v>2756</v>
      </c>
    </row>
    <row r="3655" spans="1:27" x14ac:dyDescent="0.3">
      <c r="A3655" t="s">
        <v>3649</v>
      </c>
      <c r="B3655" t="s">
        <v>2733</v>
      </c>
      <c r="C3655" t="s">
        <v>16</v>
      </c>
      <c r="D3655" t="s">
        <v>149</v>
      </c>
      <c r="E3655" t="s">
        <v>37</v>
      </c>
    </row>
    <row r="3656" spans="1:27" x14ac:dyDescent="0.3">
      <c r="A3656" t="s">
        <v>3649</v>
      </c>
      <c r="B3656" t="s">
        <v>2733</v>
      </c>
      <c r="C3656" t="s">
        <v>11</v>
      </c>
      <c r="D3656" t="s">
        <v>12</v>
      </c>
      <c r="E3656" t="s">
        <v>13</v>
      </c>
      <c r="H3656" t="s">
        <v>382</v>
      </c>
      <c r="I3656" t="s">
        <v>3659</v>
      </c>
      <c r="L3656" t="s">
        <v>14</v>
      </c>
      <c r="M3656" t="s">
        <v>3659</v>
      </c>
    </row>
    <row r="3657" spans="1:27" x14ac:dyDescent="0.3">
      <c r="A3657" t="s">
        <v>3652</v>
      </c>
      <c r="B3657" t="s">
        <v>527</v>
      </c>
      <c r="C3657" t="s">
        <v>11</v>
      </c>
      <c r="D3657" t="s">
        <v>12</v>
      </c>
      <c r="E3657" t="s">
        <v>391</v>
      </c>
      <c r="H3657" t="s">
        <v>392</v>
      </c>
      <c r="I3657" t="s">
        <v>2758</v>
      </c>
      <c r="L3657" t="s">
        <v>394</v>
      </c>
      <c r="M3657" t="s">
        <v>3659</v>
      </c>
    </row>
    <row r="3658" spans="1:27" x14ac:dyDescent="0.3">
      <c r="A3658" t="s">
        <v>3651</v>
      </c>
      <c r="B3658" t="s">
        <v>2738</v>
      </c>
      <c r="C3658" t="s">
        <v>11</v>
      </c>
      <c r="D3658" t="s">
        <v>12</v>
      </c>
      <c r="E3658" t="s">
        <v>391</v>
      </c>
      <c r="H3658" t="s">
        <v>392</v>
      </c>
      <c r="I3658" t="s">
        <v>3660</v>
      </c>
      <c r="L3658" t="s">
        <v>394</v>
      </c>
      <c r="M3658" t="s">
        <v>3659</v>
      </c>
    </row>
    <row r="3659" spans="1:27" x14ac:dyDescent="0.3">
      <c r="A3659" t="s">
        <v>3650</v>
      </c>
      <c r="B3659" t="s">
        <v>2735</v>
      </c>
      <c r="C3659" t="s">
        <v>308</v>
      </c>
      <c r="D3659" t="s">
        <v>3661</v>
      </c>
      <c r="E3659" t="s">
        <v>406</v>
      </c>
      <c r="H3659" t="s">
        <v>25</v>
      </c>
      <c r="I3659" t="s">
        <v>2761</v>
      </c>
      <c r="L3659" t="s">
        <v>312</v>
      </c>
      <c r="M3659" t="s">
        <v>404</v>
      </c>
    </row>
    <row r="3660" spans="1:27" x14ac:dyDescent="0.3">
      <c r="A3660" t="s">
        <v>3661</v>
      </c>
      <c r="B3660" t="s">
        <v>406</v>
      </c>
      <c r="C3660" t="s">
        <v>11</v>
      </c>
      <c r="D3660" t="s">
        <v>12</v>
      </c>
      <c r="E3660" t="s">
        <v>391</v>
      </c>
      <c r="H3660" t="s">
        <v>392</v>
      </c>
      <c r="I3660" t="s">
        <v>3662</v>
      </c>
      <c r="L3660" t="s">
        <v>394</v>
      </c>
      <c r="M3660" t="s">
        <v>3659</v>
      </c>
    </row>
    <row r="3661" spans="1:27" x14ac:dyDescent="0.3">
      <c r="A3661" t="s">
        <v>3654</v>
      </c>
      <c r="B3661" t="s">
        <v>1138</v>
      </c>
      <c r="C3661" t="s">
        <v>11</v>
      </c>
      <c r="D3661" t="s">
        <v>12</v>
      </c>
      <c r="E3661" t="s">
        <v>391</v>
      </c>
      <c r="H3661" t="s">
        <v>392</v>
      </c>
      <c r="I3661" t="s">
        <v>3663</v>
      </c>
      <c r="L3661" t="s">
        <v>394</v>
      </c>
      <c r="M3661" t="s">
        <v>3659</v>
      </c>
    </row>
    <row r="3662" spans="1:27" x14ac:dyDescent="0.3">
      <c r="A3662" t="s">
        <v>3657</v>
      </c>
      <c r="B3662" t="s">
        <v>341</v>
      </c>
      <c r="C3662" t="s">
        <v>11</v>
      </c>
      <c r="D3662" t="s">
        <v>12</v>
      </c>
      <c r="E3662" t="s">
        <v>391</v>
      </c>
      <c r="H3662" t="s">
        <v>392</v>
      </c>
      <c r="I3662" t="s">
        <v>3664</v>
      </c>
      <c r="L3662" t="s">
        <v>394</v>
      </c>
      <c r="M3662" t="s">
        <v>3659</v>
      </c>
    </row>
    <row r="3663" spans="1:27" x14ac:dyDescent="0.3">
      <c r="A3663" t="s">
        <v>3655</v>
      </c>
      <c r="B3663" t="s">
        <v>1134</v>
      </c>
      <c r="C3663" t="s">
        <v>11</v>
      </c>
      <c r="D3663" t="s">
        <v>12</v>
      </c>
      <c r="E3663" t="s">
        <v>391</v>
      </c>
      <c r="H3663" t="s">
        <v>392</v>
      </c>
      <c r="I3663" t="s">
        <v>3665</v>
      </c>
      <c r="L3663" t="s">
        <v>394</v>
      </c>
      <c r="M3663" t="s">
        <v>3659</v>
      </c>
    </row>
    <row r="3664" spans="1:27" x14ac:dyDescent="0.3">
      <c r="A3664" t="s">
        <v>3656</v>
      </c>
      <c r="B3664" t="s">
        <v>1138</v>
      </c>
      <c r="C3664" t="s">
        <v>11</v>
      </c>
      <c r="D3664" t="s">
        <v>12</v>
      </c>
      <c r="E3664" t="s">
        <v>391</v>
      </c>
      <c r="H3664" t="s">
        <v>392</v>
      </c>
      <c r="I3664" t="s">
        <v>3666</v>
      </c>
      <c r="L3664" t="s">
        <v>394</v>
      </c>
      <c r="M3664" t="s">
        <v>3659</v>
      </c>
    </row>
    <row r="3665" spans="1:27" x14ac:dyDescent="0.3">
      <c r="A3665" t="s">
        <v>3653</v>
      </c>
      <c r="B3665" t="s">
        <v>2077</v>
      </c>
      <c r="C3665" t="s">
        <v>11</v>
      </c>
      <c r="D3665" t="s">
        <v>12</v>
      </c>
      <c r="E3665" t="s">
        <v>391</v>
      </c>
      <c r="H3665" t="s">
        <v>392</v>
      </c>
      <c r="I3665" t="s">
        <v>2128</v>
      </c>
      <c r="L3665" t="s">
        <v>394</v>
      </c>
      <c r="M3665" t="s">
        <v>3659</v>
      </c>
    </row>
    <row r="3666" spans="1:27" x14ac:dyDescent="0.3">
      <c r="A3666" t="s">
        <v>3667</v>
      </c>
      <c r="B3666" t="s">
        <v>2733</v>
      </c>
      <c r="C3666" t="s">
        <v>280</v>
      </c>
      <c r="D3666" t="s">
        <v>3668</v>
      </c>
      <c r="E3666" t="s">
        <v>2735</v>
      </c>
      <c r="H3666" t="s">
        <v>25</v>
      </c>
      <c r="I3666" t="s">
        <v>2736</v>
      </c>
    </row>
    <row r="3667" spans="1:27" x14ac:dyDescent="0.3">
      <c r="A3667" t="s">
        <v>3667</v>
      </c>
      <c r="B3667" t="s">
        <v>2733</v>
      </c>
      <c r="C3667" t="s">
        <v>308</v>
      </c>
      <c r="D3667" t="s">
        <v>3669</v>
      </c>
      <c r="E3667" t="s">
        <v>2738</v>
      </c>
      <c r="H3667" t="s">
        <v>25</v>
      </c>
      <c r="I3667" t="s">
        <v>2739</v>
      </c>
      <c r="L3667" t="s">
        <v>312</v>
      </c>
      <c r="M3667" t="s">
        <v>327</v>
      </c>
    </row>
    <row r="3668" spans="1:27" x14ac:dyDescent="0.3">
      <c r="A3668" t="s">
        <v>3667</v>
      </c>
      <c r="B3668" t="s">
        <v>2733</v>
      </c>
      <c r="C3668" t="s">
        <v>308</v>
      </c>
      <c r="D3668" t="s">
        <v>3670</v>
      </c>
      <c r="E3668" t="s">
        <v>527</v>
      </c>
      <c r="H3668" t="s">
        <v>25</v>
      </c>
      <c r="I3668" t="s">
        <v>2741</v>
      </c>
      <c r="L3668" t="s">
        <v>312</v>
      </c>
      <c r="M3668" t="s">
        <v>343</v>
      </c>
    </row>
    <row r="3669" spans="1:27" x14ac:dyDescent="0.3">
      <c r="A3669" t="s">
        <v>3667</v>
      </c>
      <c r="B3669" t="s">
        <v>2733</v>
      </c>
      <c r="C3669" t="s">
        <v>308</v>
      </c>
      <c r="D3669" t="s">
        <v>3671</v>
      </c>
      <c r="E3669" t="s">
        <v>2077</v>
      </c>
      <c r="H3669" t="s">
        <v>25</v>
      </c>
      <c r="I3669" t="s">
        <v>2078</v>
      </c>
      <c r="L3669" t="s">
        <v>312</v>
      </c>
      <c r="M3669" t="s">
        <v>1687</v>
      </c>
    </row>
    <row r="3670" spans="1:27" x14ac:dyDescent="0.3">
      <c r="A3670" t="s">
        <v>3667</v>
      </c>
      <c r="B3670" t="s">
        <v>2733</v>
      </c>
      <c r="C3670" t="s">
        <v>308</v>
      </c>
      <c r="D3670" t="s">
        <v>3672</v>
      </c>
      <c r="E3670" t="s">
        <v>1138</v>
      </c>
      <c r="H3670" t="s">
        <v>25</v>
      </c>
      <c r="I3670" t="s">
        <v>2065</v>
      </c>
      <c r="L3670" t="s">
        <v>312</v>
      </c>
      <c r="M3670" t="s">
        <v>317</v>
      </c>
    </row>
    <row r="3671" spans="1:27" x14ac:dyDescent="0.3">
      <c r="A3671" t="s">
        <v>3667</v>
      </c>
      <c r="B3671" t="s">
        <v>2733</v>
      </c>
      <c r="C3671" t="s">
        <v>308</v>
      </c>
      <c r="D3671" t="s">
        <v>3673</v>
      </c>
      <c r="E3671" t="s">
        <v>1134</v>
      </c>
      <c r="H3671" t="s">
        <v>25</v>
      </c>
      <c r="I3671" t="s">
        <v>2069</v>
      </c>
      <c r="L3671" t="s">
        <v>312</v>
      </c>
      <c r="M3671" t="s">
        <v>317</v>
      </c>
    </row>
    <row r="3672" spans="1:27" x14ac:dyDescent="0.3">
      <c r="A3672" t="s">
        <v>3667</v>
      </c>
      <c r="B3672" t="s">
        <v>2733</v>
      </c>
      <c r="C3672" t="s">
        <v>308</v>
      </c>
      <c r="D3672" t="s">
        <v>3674</v>
      </c>
      <c r="E3672" t="s">
        <v>1138</v>
      </c>
      <c r="H3672" t="s">
        <v>25</v>
      </c>
      <c r="I3672" t="s">
        <v>2746</v>
      </c>
      <c r="L3672" t="s">
        <v>312</v>
      </c>
      <c r="M3672" t="s">
        <v>317</v>
      </c>
    </row>
    <row r="3673" spans="1:27" x14ac:dyDescent="0.3">
      <c r="A3673" t="s">
        <v>3667</v>
      </c>
      <c r="B3673" t="s">
        <v>2733</v>
      </c>
      <c r="C3673" t="s">
        <v>308</v>
      </c>
      <c r="D3673" t="s">
        <v>3675</v>
      </c>
      <c r="E3673" t="s">
        <v>341</v>
      </c>
      <c r="H3673" t="s">
        <v>25</v>
      </c>
      <c r="I3673" t="s">
        <v>342</v>
      </c>
      <c r="L3673" t="s">
        <v>312</v>
      </c>
      <c r="M3673" t="s">
        <v>343</v>
      </c>
    </row>
    <row r="3674" spans="1:27" x14ac:dyDescent="0.3">
      <c r="A3674" t="s">
        <v>3667</v>
      </c>
      <c r="B3674" t="s">
        <v>2733</v>
      </c>
      <c r="C3674" t="s">
        <v>22</v>
      </c>
      <c r="D3674" t="s">
        <v>23</v>
      </c>
      <c r="E3674" t="s">
        <v>28</v>
      </c>
    </row>
    <row r="3675" spans="1:27" x14ac:dyDescent="0.3">
      <c r="A3675" t="s">
        <v>3667</v>
      </c>
      <c r="B3675" t="s">
        <v>2733</v>
      </c>
      <c r="C3675" t="s">
        <v>2748</v>
      </c>
      <c r="D3675">
        <v>1.5</v>
      </c>
      <c r="H3675" t="s">
        <v>312</v>
      </c>
      <c r="I3675" t="s">
        <v>385</v>
      </c>
    </row>
    <row r="3676" spans="1:27" x14ac:dyDescent="0.3">
      <c r="A3676" t="s">
        <v>3667</v>
      </c>
      <c r="B3676" t="s">
        <v>2733</v>
      </c>
      <c r="C3676" t="s">
        <v>378</v>
      </c>
      <c r="D3676">
        <v>325</v>
      </c>
      <c r="H3676" t="s">
        <v>312</v>
      </c>
      <c r="I3676" t="s">
        <v>327</v>
      </c>
    </row>
    <row r="3677" spans="1:27" x14ac:dyDescent="0.3">
      <c r="A3677" t="s">
        <v>3667</v>
      </c>
      <c r="B3677" t="s">
        <v>2733</v>
      </c>
      <c r="C3677" t="s">
        <v>380</v>
      </c>
      <c r="D3677" t="s">
        <v>554</v>
      </c>
      <c r="E3677" t="s">
        <v>279</v>
      </c>
      <c r="F3677" t="s">
        <v>25</v>
      </c>
      <c r="G3677" t="s">
        <v>3676</v>
      </c>
      <c r="J3677" t="s">
        <v>2089</v>
      </c>
      <c r="K3677" t="s">
        <v>2750</v>
      </c>
      <c r="N3677" t="s">
        <v>2751</v>
      </c>
      <c r="O3677">
        <v>2</v>
      </c>
      <c r="R3677" t="s">
        <v>2752</v>
      </c>
      <c r="S3677">
        <v>158</v>
      </c>
      <c r="V3677" t="s">
        <v>2753</v>
      </c>
      <c r="W3677" t="s">
        <v>2754</v>
      </c>
      <c r="Z3677" t="s">
        <v>2755</v>
      </c>
      <c r="AA3677" t="s">
        <v>2756</v>
      </c>
    </row>
    <row r="3678" spans="1:27" x14ac:dyDescent="0.3">
      <c r="A3678" t="s">
        <v>3667</v>
      </c>
      <c r="B3678" t="s">
        <v>2733</v>
      </c>
      <c r="C3678" t="s">
        <v>16</v>
      </c>
      <c r="D3678" t="s">
        <v>151</v>
      </c>
      <c r="E3678" t="s">
        <v>37</v>
      </c>
    </row>
    <row r="3679" spans="1:27" x14ac:dyDescent="0.3">
      <c r="A3679" t="s">
        <v>3667</v>
      </c>
      <c r="B3679" t="s">
        <v>2733</v>
      </c>
      <c r="C3679" t="s">
        <v>11</v>
      </c>
      <c r="D3679" t="s">
        <v>12</v>
      </c>
      <c r="E3679" t="s">
        <v>13</v>
      </c>
      <c r="H3679" t="s">
        <v>382</v>
      </c>
      <c r="I3679" t="s">
        <v>3677</v>
      </c>
      <c r="L3679" t="s">
        <v>14</v>
      </c>
      <c r="M3679" t="s">
        <v>3677</v>
      </c>
    </row>
    <row r="3680" spans="1:27" x14ac:dyDescent="0.3">
      <c r="A3680" t="s">
        <v>3670</v>
      </c>
      <c r="B3680" t="s">
        <v>527</v>
      </c>
      <c r="C3680" t="s">
        <v>11</v>
      </c>
      <c r="D3680" t="s">
        <v>12</v>
      </c>
      <c r="E3680" t="s">
        <v>391</v>
      </c>
      <c r="H3680" t="s">
        <v>392</v>
      </c>
      <c r="I3680" t="s">
        <v>2758</v>
      </c>
      <c r="L3680" t="s">
        <v>394</v>
      </c>
      <c r="M3680" t="s">
        <v>3677</v>
      </c>
    </row>
    <row r="3681" spans="1:13" x14ac:dyDescent="0.3">
      <c r="A3681" t="s">
        <v>3669</v>
      </c>
      <c r="B3681" t="s">
        <v>2738</v>
      </c>
      <c r="C3681" t="s">
        <v>11</v>
      </c>
      <c r="D3681" t="s">
        <v>12</v>
      </c>
      <c r="E3681" t="s">
        <v>391</v>
      </c>
      <c r="H3681" t="s">
        <v>392</v>
      </c>
      <c r="I3681" t="s">
        <v>3678</v>
      </c>
      <c r="L3681" t="s">
        <v>394</v>
      </c>
      <c r="M3681" t="s">
        <v>3677</v>
      </c>
    </row>
    <row r="3682" spans="1:13" x14ac:dyDescent="0.3">
      <c r="A3682" t="s">
        <v>3668</v>
      </c>
      <c r="B3682" t="s">
        <v>2735</v>
      </c>
      <c r="C3682" t="s">
        <v>308</v>
      </c>
      <c r="D3682" t="s">
        <v>3679</v>
      </c>
      <c r="E3682" t="s">
        <v>406</v>
      </c>
      <c r="H3682" t="s">
        <v>25</v>
      </c>
      <c r="I3682" t="s">
        <v>2761</v>
      </c>
      <c r="L3682" t="s">
        <v>312</v>
      </c>
      <c r="M3682" t="s">
        <v>404</v>
      </c>
    </row>
    <row r="3683" spans="1:13" x14ac:dyDescent="0.3">
      <c r="A3683" t="s">
        <v>3679</v>
      </c>
      <c r="B3683" t="s">
        <v>406</v>
      </c>
      <c r="C3683" t="s">
        <v>11</v>
      </c>
      <c r="D3683" t="s">
        <v>12</v>
      </c>
      <c r="E3683" t="s">
        <v>391</v>
      </c>
      <c r="H3683" t="s">
        <v>392</v>
      </c>
      <c r="I3683" t="s">
        <v>3680</v>
      </c>
      <c r="L3683" t="s">
        <v>394</v>
      </c>
      <c r="M3683" t="s">
        <v>3677</v>
      </c>
    </row>
    <row r="3684" spans="1:13" x14ac:dyDescent="0.3">
      <c r="A3684" t="s">
        <v>3672</v>
      </c>
      <c r="B3684" t="s">
        <v>1138</v>
      </c>
      <c r="C3684" t="s">
        <v>11</v>
      </c>
      <c r="D3684" t="s">
        <v>12</v>
      </c>
      <c r="E3684" t="s">
        <v>391</v>
      </c>
      <c r="H3684" t="s">
        <v>392</v>
      </c>
      <c r="I3684" t="s">
        <v>3681</v>
      </c>
      <c r="L3684" t="s">
        <v>394</v>
      </c>
      <c r="M3684" t="s">
        <v>3677</v>
      </c>
    </row>
    <row r="3685" spans="1:13" x14ac:dyDescent="0.3">
      <c r="A3685" t="s">
        <v>3675</v>
      </c>
      <c r="B3685" t="s">
        <v>341</v>
      </c>
      <c r="C3685" t="s">
        <v>11</v>
      </c>
      <c r="D3685" t="s">
        <v>12</v>
      </c>
      <c r="E3685" t="s">
        <v>391</v>
      </c>
      <c r="H3685" t="s">
        <v>392</v>
      </c>
      <c r="I3685" t="s">
        <v>3682</v>
      </c>
      <c r="L3685" t="s">
        <v>394</v>
      </c>
      <c r="M3685" t="s">
        <v>3677</v>
      </c>
    </row>
    <row r="3686" spans="1:13" x14ac:dyDescent="0.3">
      <c r="A3686" t="s">
        <v>3673</v>
      </c>
      <c r="B3686" t="s">
        <v>1134</v>
      </c>
      <c r="C3686" t="s">
        <v>11</v>
      </c>
      <c r="D3686" t="s">
        <v>12</v>
      </c>
      <c r="E3686" t="s">
        <v>391</v>
      </c>
      <c r="H3686" t="s">
        <v>392</v>
      </c>
      <c r="I3686" t="s">
        <v>3683</v>
      </c>
      <c r="L3686" t="s">
        <v>394</v>
      </c>
      <c r="M3686" t="s">
        <v>3677</v>
      </c>
    </row>
    <row r="3687" spans="1:13" x14ac:dyDescent="0.3">
      <c r="A3687" t="s">
        <v>3674</v>
      </c>
      <c r="B3687" t="s">
        <v>1138</v>
      </c>
      <c r="C3687" t="s">
        <v>11</v>
      </c>
      <c r="D3687" t="s">
        <v>12</v>
      </c>
      <c r="E3687" t="s">
        <v>391</v>
      </c>
      <c r="H3687" t="s">
        <v>392</v>
      </c>
      <c r="I3687" t="s">
        <v>3684</v>
      </c>
      <c r="L3687" t="s">
        <v>394</v>
      </c>
      <c r="M3687" t="s">
        <v>3677</v>
      </c>
    </row>
    <row r="3688" spans="1:13" x14ac:dyDescent="0.3">
      <c r="A3688" t="s">
        <v>3671</v>
      </c>
      <c r="B3688" t="s">
        <v>2077</v>
      </c>
      <c r="C3688" t="s">
        <v>11</v>
      </c>
      <c r="D3688" t="s">
        <v>12</v>
      </c>
      <c r="E3688" t="s">
        <v>391</v>
      </c>
      <c r="H3688" t="s">
        <v>392</v>
      </c>
      <c r="I3688" t="s">
        <v>2128</v>
      </c>
      <c r="L3688" t="s">
        <v>394</v>
      </c>
      <c r="M3688" t="s">
        <v>3677</v>
      </c>
    </row>
    <row r="3689" spans="1:13" x14ac:dyDescent="0.3">
      <c r="A3689" t="s">
        <v>3685</v>
      </c>
      <c r="B3689" t="s">
        <v>2733</v>
      </c>
      <c r="C3689" t="s">
        <v>280</v>
      </c>
      <c r="D3689" t="s">
        <v>3686</v>
      </c>
      <c r="E3689" t="s">
        <v>2735</v>
      </c>
      <c r="H3689" t="s">
        <v>25</v>
      </c>
      <c r="I3689" t="s">
        <v>2736</v>
      </c>
    </row>
    <row r="3690" spans="1:13" x14ac:dyDescent="0.3">
      <c r="A3690" t="s">
        <v>3685</v>
      </c>
      <c r="B3690" t="s">
        <v>2733</v>
      </c>
      <c r="C3690" t="s">
        <v>308</v>
      </c>
      <c r="D3690" t="s">
        <v>3687</v>
      </c>
      <c r="E3690" t="s">
        <v>2738</v>
      </c>
      <c r="H3690" t="s">
        <v>25</v>
      </c>
      <c r="I3690" t="s">
        <v>2739</v>
      </c>
      <c r="L3690" t="s">
        <v>312</v>
      </c>
      <c r="M3690" t="s">
        <v>327</v>
      </c>
    </row>
    <row r="3691" spans="1:13" x14ac:dyDescent="0.3">
      <c r="A3691" t="s">
        <v>3685</v>
      </c>
      <c r="B3691" t="s">
        <v>2733</v>
      </c>
      <c r="C3691" t="s">
        <v>308</v>
      </c>
      <c r="D3691" t="s">
        <v>3688</v>
      </c>
      <c r="E3691" t="s">
        <v>527</v>
      </c>
      <c r="H3691" t="s">
        <v>25</v>
      </c>
      <c r="I3691" t="s">
        <v>2741</v>
      </c>
      <c r="L3691" t="s">
        <v>312</v>
      </c>
      <c r="M3691" t="s">
        <v>343</v>
      </c>
    </row>
    <row r="3692" spans="1:13" x14ac:dyDescent="0.3">
      <c r="A3692" t="s">
        <v>3685</v>
      </c>
      <c r="B3692" t="s">
        <v>2733</v>
      </c>
      <c r="C3692" t="s">
        <v>308</v>
      </c>
      <c r="D3692" t="s">
        <v>3689</v>
      </c>
      <c r="E3692" t="s">
        <v>2077</v>
      </c>
      <c r="H3692" t="s">
        <v>25</v>
      </c>
      <c r="I3692" t="s">
        <v>2078</v>
      </c>
      <c r="L3692" t="s">
        <v>312</v>
      </c>
      <c r="M3692" t="s">
        <v>1687</v>
      </c>
    </row>
    <row r="3693" spans="1:13" x14ac:dyDescent="0.3">
      <c r="A3693" t="s">
        <v>3685</v>
      </c>
      <c r="B3693" t="s">
        <v>2733</v>
      </c>
      <c r="C3693" t="s">
        <v>308</v>
      </c>
      <c r="D3693" t="s">
        <v>3690</v>
      </c>
      <c r="E3693" t="s">
        <v>1138</v>
      </c>
      <c r="H3693" t="s">
        <v>25</v>
      </c>
      <c r="I3693" t="s">
        <v>2065</v>
      </c>
      <c r="L3693" t="s">
        <v>312</v>
      </c>
      <c r="M3693" t="s">
        <v>317</v>
      </c>
    </row>
    <row r="3694" spans="1:13" x14ac:dyDescent="0.3">
      <c r="A3694" t="s">
        <v>3685</v>
      </c>
      <c r="B3694" t="s">
        <v>2733</v>
      </c>
      <c r="C3694" t="s">
        <v>308</v>
      </c>
      <c r="D3694" t="s">
        <v>3691</v>
      </c>
      <c r="E3694" t="s">
        <v>1134</v>
      </c>
      <c r="H3694" t="s">
        <v>25</v>
      </c>
      <c r="I3694" t="s">
        <v>2069</v>
      </c>
      <c r="L3694" t="s">
        <v>312</v>
      </c>
      <c r="M3694" t="s">
        <v>317</v>
      </c>
    </row>
    <row r="3695" spans="1:13" x14ac:dyDescent="0.3">
      <c r="A3695" t="s">
        <v>3685</v>
      </c>
      <c r="B3695" t="s">
        <v>2733</v>
      </c>
      <c r="C3695" t="s">
        <v>308</v>
      </c>
      <c r="D3695" t="s">
        <v>3692</v>
      </c>
      <c r="E3695" t="s">
        <v>1138</v>
      </c>
      <c r="H3695" t="s">
        <v>25</v>
      </c>
      <c r="I3695" t="s">
        <v>2746</v>
      </c>
      <c r="L3695" t="s">
        <v>312</v>
      </c>
      <c r="M3695" t="s">
        <v>317</v>
      </c>
    </row>
    <row r="3696" spans="1:13" x14ac:dyDescent="0.3">
      <c r="A3696" t="s">
        <v>3685</v>
      </c>
      <c r="B3696" t="s">
        <v>2733</v>
      </c>
      <c r="C3696" t="s">
        <v>308</v>
      </c>
      <c r="D3696" t="s">
        <v>3693</v>
      </c>
      <c r="E3696" t="s">
        <v>341</v>
      </c>
      <c r="H3696" t="s">
        <v>25</v>
      </c>
      <c r="I3696" t="s">
        <v>342</v>
      </c>
      <c r="L3696" t="s">
        <v>312</v>
      </c>
      <c r="M3696" t="s">
        <v>343</v>
      </c>
    </row>
    <row r="3697" spans="1:27" x14ac:dyDescent="0.3">
      <c r="A3697" t="s">
        <v>3685</v>
      </c>
      <c r="B3697" t="s">
        <v>2733</v>
      </c>
      <c r="C3697" t="s">
        <v>22</v>
      </c>
      <c r="D3697" t="s">
        <v>23</v>
      </c>
      <c r="E3697" t="s">
        <v>28</v>
      </c>
    </row>
    <row r="3698" spans="1:27" x14ac:dyDescent="0.3">
      <c r="A3698" t="s">
        <v>3685</v>
      </c>
      <c r="B3698" t="s">
        <v>2733</v>
      </c>
      <c r="C3698" t="s">
        <v>2748</v>
      </c>
      <c r="D3698">
        <v>1.5</v>
      </c>
      <c r="H3698" t="s">
        <v>312</v>
      </c>
      <c r="I3698" t="s">
        <v>385</v>
      </c>
    </row>
    <row r="3699" spans="1:27" x14ac:dyDescent="0.3">
      <c r="A3699" t="s">
        <v>3685</v>
      </c>
      <c r="B3699" t="s">
        <v>2733</v>
      </c>
      <c r="C3699" t="s">
        <v>378</v>
      </c>
      <c r="D3699">
        <v>225</v>
      </c>
      <c r="H3699" t="s">
        <v>312</v>
      </c>
      <c r="I3699" t="s">
        <v>327</v>
      </c>
    </row>
    <row r="3700" spans="1:27" x14ac:dyDescent="0.3">
      <c r="A3700" t="s">
        <v>3685</v>
      </c>
      <c r="B3700" t="s">
        <v>2733</v>
      </c>
      <c r="C3700" t="s">
        <v>380</v>
      </c>
      <c r="D3700" t="s">
        <v>798</v>
      </c>
      <c r="E3700" t="s">
        <v>279</v>
      </c>
      <c r="F3700" t="s">
        <v>25</v>
      </c>
      <c r="G3700" t="s">
        <v>3694</v>
      </c>
      <c r="J3700" t="s">
        <v>2089</v>
      </c>
      <c r="K3700" t="s">
        <v>2750</v>
      </c>
      <c r="N3700" t="s">
        <v>2751</v>
      </c>
      <c r="O3700">
        <v>1</v>
      </c>
      <c r="R3700" t="s">
        <v>2752</v>
      </c>
      <c r="S3700">
        <v>158</v>
      </c>
      <c r="V3700" t="s">
        <v>2753</v>
      </c>
      <c r="W3700" t="s">
        <v>2754</v>
      </c>
      <c r="Z3700" t="s">
        <v>2755</v>
      </c>
      <c r="AA3700" t="s">
        <v>2756</v>
      </c>
    </row>
    <row r="3701" spans="1:27" x14ac:dyDescent="0.3">
      <c r="A3701" t="s">
        <v>3685</v>
      </c>
      <c r="B3701" t="s">
        <v>2733</v>
      </c>
      <c r="C3701" t="s">
        <v>16</v>
      </c>
      <c r="D3701" t="s">
        <v>198</v>
      </c>
      <c r="E3701" t="s">
        <v>37</v>
      </c>
    </row>
    <row r="3702" spans="1:27" x14ac:dyDescent="0.3">
      <c r="A3702" t="s">
        <v>3685</v>
      </c>
      <c r="B3702" t="s">
        <v>2733</v>
      </c>
      <c r="C3702" t="s">
        <v>11</v>
      </c>
      <c r="D3702" t="s">
        <v>12</v>
      </c>
      <c r="E3702" t="s">
        <v>13</v>
      </c>
      <c r="H3702" t="s">
        <v>382</v>
      </c>
      <c r="I3702" t="s">
        <v>3695</v>
      </c>
      <c r="L3702" t="s">
        <v>14</v>
      </c>
      <c r="M3702" t="s">
        <v>3695</v>
      </c>
    </row>
    <row r="3703" spans="1:27" x14ac:dyDescent="0.3">
      <c r="A3703" t="s">
        <v>3688</v>
      </c>
      <c r="B3703" t="s">
        <v>527</v>
      </c>
      <c r="C3703" t="s">
        <v>11</v>
      </c>
      <c r="D3703" t="s">
        <v>12</v>
      </c>
      <c r="E3703" t="s">
        <v>391</v>
      </c>
      <c r="H3703" t="s">
        <v>392</v>
      </c>
      <c r="I3703" t="s">
        <v>2758</v>
      </c>
      <c r="L3703" t="s">
        <v>394</v>
      </c>
      <c r="M3703" t="s">
        <v>3695</v>
      </c>
    </row>
    <row r="3704" spans="1:27" x14ac:dyDescent="0.3">
      <c r="A3704" t="s">
        <v>3687</v>
      </c>
      <c r="B3704" t="s">
        <v>2738</v>
      </c>
      <c r="C3704" t="s">
        <v>11</v>
      </c>
      <c r="D3704" t="s">
        <v>12</v>
      </c>
      <c r="E3704" t="s">
        <v>391</v>
      </c>
      <c r="H3704" t="s">
        <v>392</v>
      </c>
      <c r="I3704" t="s">
        <v>3696</v>
      </c>
      <c r="L3704" t="s">
        <v>394</v>
      </c>
      <c r="M3704" t="s">
        <v>3695</v>
      </c>
    </row>
    <row r="3705" spans="1:27" x14ac:dyDescent="0.3">
      <c r="A3705" t="s">
        <v>3686</v>
      </c>
      <c r="B3705" t="s">
        <v>2735</v>
      </c>
      <c r="C3705" t="s">
        <v>308</v>
      </c>
      <c r="D3705" t="s">
        <v>3697</v>
      </c>
      <c r="E3705" t="s">
        <v>406</v>
      </c>
      <c r="H3705" t="s">
        <v>25</v>
      </c>
      <c r="I3705" t="s">
        <v>2761</v>
      </c>
      <c r="L3705" t="s">
        <v>312</v>
      </c>
      <c r="M3705" t="s">
        <v>404</v>
      </c>
    </row>
    <row r="3706" spans="1:27" x14ac:dyDescent="0.3">
      <c r="A3706" t="s">
        <v>3697</v>
      </c>
      <c r="B3706" t="s">
        <v>406</v>
      </c>
      <c r="C3706" t="s">
        <v>11</v>
      </c>
      <c r="D3706" t="s">
        <v>12</v>
      </c>
      <c r="E3706" t="s">
        <v>391</v>
      </c>
      <c r="H3706" t="s">
        <v>392</v>
      </c>
      <c r="I3706" t="s">
        <v>3698</v>
      </c>
      <c r="L3706" t="s">
        <v>394</v>
      </c>
      <c r="M3706" t="s">
        <v>3695</v>
      </c>
    </row>
    <row r="3707" spans="1:27" x14ac:dyDescent="0.3">
      <c r="A3707" t="s">
        <v>3690</v>
      </c>
      <c r="B3707" t="s">
        <v>1138</v>
      </c>
      <c r="C3707" t="s">
        <v>11</v>
      </c>
      <c r="D3707" t="s">
        <v>12</v>
      </c>
      <c r="E3707" t="s">
        <v>391</v>
      </c>
      <c r="H3707" t="s">
        <v>392</v>
      </c>
      <c r="I3707" t="s">
        <v>3699</v>
      </c>
      <c r="L3707" t="s">
        <v>394</v>
      </c>
      <c r="M3707" t="s">
        <v>3695</v>
      </c>
    </row>
    <row r="3708" spans="1:27" x14ac:dyDescent="0.3">
      <c r="A3708" t="s">
        <v>3693</v>
      </c>
      <c r="B3708" t="s">
        <v>341</v>
      </c>
      <c r="C3708" t="s">
        <v>11</v>
      </c>
      <c r="D3708" t="s">
        <v>12</v>
      </c>
      <c r="E3708" t="s">
        <v>391</v>
      </c>
      <c r="H3708" t="s">
        <v>392</v>
      </c>
      <c r="I3708" t="s">
        <v>3700</v>
      </c>
      <c r="L3708" t="s">
        <v>394</v>
      </c>
      <c r="M3708" t="s">
        <v>3695</v>
      </c>
    </row>
    <row r="3709" spans="1:27" x14ac:dyDescent="0.3">
      <c r="A3709" t="s">
        <v>3691</v>
      </c>
      <c r="B3709" t="s">
        <v>1134</v>
      </c>
      <c r="C3709" t="s">
        <v>11</v>
      </c>
      <c r="D3709" t="s">
        <v>12</v>
      </c>
      <c r="E3709" t="s">
        <v>391</v>
      </c>
      <c r="H3709" t="s">
        <v>392</v>
      </c>
      <c r="I3709" t="s">
        <v>3701</v>
      </c>
      <c r="L3709" t="s">
        <v>394</v>
      </c>
      <c r="M3709" t="s">
        <v>3695</v>
      </c>
    </row>
    <row r="3710" spans="1:27" x14ac:dyDescent="0.3">
      <c r="A3710" t="s">
        <v>3692</v>
      </c>
      <c r="B3710" t="s">
        <v>1138</v>
      </c>
      <c r="C3710" t="s">
        <v>11</v>
      </c>
      <c r="D3710" t="s">
        <v>12</v>
      </c>
      <c r="E3710" t="s">
        <v>391</v>
      </c>
      <c r="H3710" t="s">
        <v>392</v>
      </c>
      <c r="I3710" t="s">
        <v>3702</v>
      </c>
      <c r="L3710" t="s">
        <v>394</v>
      </c>
      <c r="M3710" t="s">
        <v>3695</v>
      </c>
    </row>
    <row r="3711" spans="1:27" x14ac:dyDescent="0.3">
      <c r="A3711" t="s">
        <v>3689</v>
      </c>
      <c r="B3711" t="s">
        <v>2077</v>
      </c>
      <c r="C3711" t="s">
        <v>11</v>
      </c>
      <c r="D3711" t="s">
        <v>12</v>
      </c>
      <c r="E3711" t="s">
        <v>391</v>
      </c>
      <c r="H3711" t="s">
        <v>392</v>
      </c>
      <c r="I3711" t="s">
        <v>2128</v>
      </c>
      <c r="L3711" t="s">
        <v>394</v>
      </c>
      <c r="M3711" t="s">
        <v>3695</v>
      </c>
    </row>
    <row r="3712" spans="1:27" x14ac:dyDescent="0.3">
      <c r="A3712" t="s">
        <v>3703</v>
      </c>
      <c r="B3712" t="s">
        <v>2733</v>
      </c>
      <c r="C3712" t="s">
        <v>280</v>
      </c>
      <c r="D3712" t="s">
        <v>3704</v>
      </c>
      <c r="E3712" t="s">
        <v>2735</v>
      </c>
      <c r="H3712" t="s">
        <v>25</v>
      </c>
      <c r="I3712" t="s">
        <v>2736</v>
      </c>
    </row>
    <row r="3713" spans="1:27" x14ac:dyDescent="0.3">
      <c r="A3713" t="s">
        <v>3703</v>
      </c>
      <c r="B3713" t="s">
        <v>2733</v>
      </c>
      <c r="C3713" t="s">
        <v>308</v>
      </c>
      <c r="D3713" t="s">
        <v>3705</v>
      </c>
      <c r="E3713" t="s">
        <v>2738</v>
      </c>
      <c r="H3713" t="s">
        <v>25</v>
      </c>
      <c r="I3713" t="s">
        <v>2739</v>
      </c>
      <c r="L3713" t="s">
        <v>312</v>
      </c>
      <c r="M3713" t="s">
        <v>327</v>
      </c>
    </row>
    <row r="3714" spans="1:27" x14ac:dyDescent="0.3">
      <c r="A3714" t="s">
        <v>3703</v>
      </c>
      <c r="B3714" t="s">
        <v>2733</v>
      </c>
      <c r="C3714" t="s">
        <v>308</v>
      </c>
      <c r="D3714" t="s">
        <v>3706</v>
      </c>
      <c r="E3714" t="s">
        <v>527</v>
      </c>
      <c r="H3714" t="s">
        <v>25</v>
      </c>
      <c r="I3714" t="s">
        <v>2741</v>
      </c>
      <c r="L3714" t="s">
        <v>312</v>
      </c>
      <c r="M3714" t="s">
        <v>343</v>
      </c>
    </row>
    <row r="3715" spans="1:27" x14ac:dyDescent="0.3">
      <c r="A3715" t="s">
        <v>3703</v>
      </c>
      <c r="B3715" t="s">
        <v>2733</v>
      </c>
      <c r="C3715" t="s">
        <v>308</v>
      </c>
      <c r="D3715" t="s">
        <v>3707</v>
      </c>
      <c r="E3715" t="s">
        <v>2077</v>
      </c>
      <c r="H3715" t="s">
        <v>25</v>
      </c>
      <c r="I3715" t="s">
        <v>2078</v>
      </c>
      <c r="L3715" t="s">
        <v>312</v>
      </c>
      <c r="M3715" t="s">
        <v>1687</v>
      </c>
    </row>
    <row r="3716" spans="1:27" x14ac:dyDescent="0.3">
      <c r="A3716" t="s">
        <v>3703</v>
      </c>
      <c r="B3716" t="s">
        <v>2733</v>
      </c>
      <c r="C3716" t="s">
        <v>308</v>
      </c>
      <c r="D3716" t="s">
        <v>3708</v>
      </c>
      <c r="E3716" t="s">
        <v>1138</v>
      </c>
      <c r="H3716" t="s">
        <v>25</v>
      </c>
      <c r="I3716" t="s">
        <v>2065</v>
      </c>
      <c r="L3716" t="s">
        <v>312</v>
      </c>
      <c r="M3716" t="s">
        <v>317</v>
      </c>
    </row>
    <row r="3717" spans="1:27" x14ac:dyDescent="0.3">
      <c r="A3717" t="s">
        <v>3703</v>
      </c>
      <c r="B3717" t="s">
        <v>2733</v>
      </c>
      <c r="C3717" t="s">
        <v>308</v>
      </c>
      <c r="D3717" t="s">
        <v>3709</v>
      </c>
      <c r="E3717" t="s">
        <v>1134</v>
      </c>
      <c r="H3717" t="s">
        <v>25</v>
      </c>
      <c r="I3717" t="s">
        <v>2069</v>
      </c>
      <c r="L3717" t="s">
        <v>312</v>
      </c>
      <c r="M3717" t="s">
        <v>317</v>
      </c>
    </row>
    <row r="3718" spans="1:27" x14ac:dyDescent="0.3">
      <c r="A3718" t="s">
        <v>3703</v>
      </c>
      <c r="B3718" t="s">
        <v>2733</v>
      </c>
      <c r="C3718" t="s">
        <v>308</v>
      </c>
      <c r="D3718" t="s">
        <v>3710</v>
      </c>
      <c r="E3718" t="s">
        <v>1138</v>
      </c>
      <c r="H3718" t="s">
        <v>25</v>
      </c>
      <c r="I3718" t="s">
        <v>2746</v>
      </c>
      <c r="L3718" t="s">
        <v>312</v>
      </c>
      <c r="M3718" t="s">
        <v>317</v>
      </c>
    </row>
    <row r="3719" spans="1:27" x14ac:dyDescent="0.3">
      <c r="A3719" t="s">
        <v>3703</v>
      </c>
      <c r="B3719" t="s">
        <v>2733</v>
      </c>
      <c r="C3719" t="s">
        <v>308</v>
      </c>
      <c r="D3719" t="s">
        <v>3711</v>
      </c>
      <c r="E3719" t="s">
        <v>341</v>
      </c>
      <c r="H3719" t="s">
        <v>25</v>
      </c>
      <c r="I3719" t="s">
        <v>342</v>
      </c>
      <c r="L3719" t="s">
        <v>312</v>
      </c>
      <c r="M3719" t="s">
        <v>343</v>
      </c>
    </row>
    <row r="3720" spans="1:27" x14ac:dyDescent="0.3">
      <c r="A3720" t="s">
        <v>3703</v>
      </c>
      <c r="B3720" t="s">
        <v>2733</v>
      </c>
      <c r="C3720" t="s">
        <v>22</v>
      </c>
      <c r="D3720" t="s">
        <v>23</v>
      </c>
      <c r="E3720" t="s">
        <v>28</v>
      </c>
    </row>
    <row r="3721" spans="1:27" x14ac:dyDescent="0.3">
      <c r="A3721" t="s">
        <v>3703</v>
      </c>
      <c r="B3721" t="s">
        <v>2733</v>
      </c>
      <c r="C3721" t="s">
        <v>2748</v>
      </c>
      <c r="D3721">
        <v>1.5</v>
      </c>
      <c r="H3721" t="s">
        <v>312</v>
      </c>
      <c r="I3721" t="s">
        <v>385</v>
      </c>
    </row>
    <row r="3722" spans="1:27" x14ac:dyDescent="0.3">
      <c r="A3722" t="s">
        <v>3703</v>
      </c>
      <c r="B3722" t="s">
        <v>2733</v>
      </c>
      <c r="C3722" t="s">
        <v>378</v>
      </c>
      <c r="D3722">
        <v>105</v>
      </c>
      <c r="H3722" t="s">
        <v>312</v>
      </c>
      <c r="I3722" t="s">
        <v>327</v>
      </c>
    </row>
    <row r="3723" spans="1:27" x14ac:dyDescent="0.3">
      <c r="A3723" t="s">
        <v>3703</v>
      </c>
      <c r="B3723" t="s">
        <v>2733</v>
      </c>
      <c r="C3723" t="s">
        <v>380</v>
      </c>
      <c r="D3723" t="s">
        <v>798</v>
      </c>
      <c r="E3723" t="s">
        <v>279</v>
      </c>
      <c r="F3723" t="s">
        <v>25</v>
      </c>
      <c r="G3723" t="s">
        <v>3712</v>
      </c>
      <c r="J3723" t="s">
        <v>2089</v>
      </c>
      <c r="K3723" t="s">
        <v>2750</v>
      </c>
      <c r="N3723" t="s">
        <v>2751</v>
      </c>
      <c r="O3723">
        <v>1</v>
      </c>
      <c r="R3723" t="s">
        <v>2752</v>
      </c>
      <c r="S3723">
        <v>158</v>
      </c>
      <c r="V3723" t="s">
        <v>2753</v>
      </c>
      <c r="W3723" t="s">
        <v>2754</v>
      </c>
      <c r="Z3723" t="s">
        <v>2755</v>
      </c>
      <c r="AA3723" t="s">
        <v>2756</v>
      </c>
    </row>
    <row r="3724" spans="1:27" x14ac:dyDescent="0.3">
      <c r="A3724" t="s">
        <v>3703</v>
      </c>
      <c r="B3724" t="s">
        <v>2733</v>
      </c>
      <c r="C3724" t="s">
        <v>16</v>
      </c>
      <c r="D3724" t="s">
        <v>196</v>
      </c>
      <c r="E3724" t="s">
        <v>37</v>
      </c>
    </row>
    <row r="3725" spans="1:27" x14ac:dyDescent="0.3">
      <c r="A3725" t="s">
        <v>3703</v>
      </c>
      <c r="B3725" t="s">
        <v>2733</v>
      </c>
      <c r="C3725" t="s">
        <v>11</v>
      </c>
      <c r="D3725" t="s">
        <v>12</v>
      </c>
      <c r="E3725" t="s">
        <v>13</v>
      </c>
      <c r="H3725" t="s">
        <v>382</v>
      </c>
      <c r="I3725" t="s">
        <v>3713</v>
      </c>
      <c r="L3725" t="s">
        <v>14</v>
      </c>
      <c r="M3725" t="s">
        <v>3713</v>
      </c>
    </row>
    <row r="3726" spans="1:27" x14ac:dyDescent="0.3">
      <c r="A3726" t="s">
        <v>3706</v>
      </c>
      <c r="B3726" t="s">
        <v>527</v>
      </c>
      <c r="C3726" t="s">
        <v>11</v>
      </c>
      <c r="D3726" t="s">
        <v>12</v>
      </c>
      <c r="E3726" t="s">
        <v>391</v>
      </c>
      <c r="H3726" t="s">
        <v>392</v>
      </c>
      <c r="I3726" t="s">
        <v>2758</v>
      </c>
      <c r="L3726" t="s">
        <v>394</v>
      </c>
      <c r="M3726" t="s">
        <v>3713</v>
      </c>
    </row>
    <row r="3727" spans="1:27" x14ac:dyDescent="0.3">
      <c r="A3727" t="s">
        <v>3705</v>
      </c>
      <c r="B3727" t="s">
        <v>2738</v>
      </c>
      <c r="C3727" t="s">
        <v>11</v>
      </c>
      <c r="D3727" t="s">
        <v>12</v>
      </c>
      <c r="E3727" t="s">
        <v>391</v>
      </c>
      <c r="H3727" t="s">
        <v>392</v>
      </c>
      <c r="I3727" t="s">
        <v>3714</v>
      </c>
      <c r="L3727" t="s">
        <v>394</v>
      </c>
      <c r="M3727" t="s">
        <v>3713</v>
      </c>
    </row>
    <row r="3728" spans="1:27" x14ac:dyDescent="0.3">
      <c r="A3728" t="s">
        <v>3704</v>
      </c>
      <c r="B3728" t="s">
        <v>2735</v>
      </c>
      <c r="C3728" t="s">
        <v>308</v>
      </c>
      <c r="D3728" t="s">
        <v>3715</v>
      </c>
      <c r="E3728" t="s">
        <v>406</v>
      </c>
      <c r="H3728" t="s">
        <v>25</v>
      </c>
      <c r="I3728" t="s">
        <v>2761</v>
      </c>
      <c r="L3728" t="s">
        <v>312</v>
      </c>
      <c r="M3728" t="s">
        <v>404</v>
      </c>
    </row>
    <row r="3729" spans="1:13" x14ac:dyDescent="0.3">
      <c r="A3729" t="s">
        <v>3715</v>
      </c>
      <c r="B3729" t="s">
        <v>406</v>
      </c>
      <c r="C3729" t="s">
        <v>11</v>
      </c>
      <c r="D3729" t="s">
        <v>12</v>
      </c>
      <c r="E3729" t="s">
        <v>391</v>
      </c>
      <c r="H3729" t="s">
        <v>392</v>
      </c>
      <c r="I3729" t="s">
        <v>3716</v>
      </c>
      <c r="L3729" t="s">
        <v>394</v>
      </c>
      <c r="M3729" t="s">
        <v>3713</v>
      </c>
    </row>
    <row r="3730" spans="1:13" x14ac:dyDescent="0.3">
      <c r="A3730" t="s">
        <v>3708</v>
      </c>
      <c r="B3730" t="s">
        <v>1138</v>
      </c>
      <c r="C3730" t="s">
        <v>11</v>
      </c>
      <c r="D3730" t="s">
        <v>12</v>
      </c>
      <c r="E3730" t="s">
        <v>391</v>
      </c>
      <c r="H3730" t="s">
        <v>392</v>
      </c>
      <c r="I3730" t="s">
        <v>3717</v>
      </c>
      <c r="L3730" t="s">
        <v>394</v>
      </c>
      <c r="M3730" t="s">
        <v>3713</v>
      </c>
    </row>
    <row r="3731" spans="1:13" x14ac:dyDescent="0.3">
      <c r="A3731" t="s">
        <v>3711</v>
      </c>
      <c r="B3731" t="s">
        <v>341</v>
      </c>
      <c r="C3731" t="s">
        <v>11</v>
      </c>
      <c r="D3731" t="s">
        <v>12</v>
      </c>
      <c r="E3731" t="s">
        <v>391</v>
      </c>
      <c r="H3731" t="s">
        <v>392</v>
      </c>
      <c r="I3731" t="s">
        <v>3718</v>
      </c>
      <c r="L3731" t="s">
        <v>394</v>
      </c>
      <c r="M3731" t="s">
        <v>3713</v>
      </c>
    </row>
    <row r="3732" spans="1:13" x14ac:dyDescent="0.3">
      <c r="A3732" t="s">
        <v>3709</v>
      </c>
      <c r="B3732" t="s">
        <v>1134</v>
      </c>
      <c r="C3732" t="s">
        <v>11</v>
      </c>
      <c r="D3732" t="s">
        <v>12</v>
      </c>
      <c r="E3732" t="s">
        <v>391</v>
      </c>
      <c r="H3732" t="s">
        <v>392</v>
      </c>
      <c r="I3732" t="s">
        <v>3719</v>
      </c>
      <c r="L3732" t="s">
        <v>394</v>
      </c>
      <c r="M3732" t="s">
        <v>3713</v>
      </c>
    </row>
    <row r="3733" spans="1:13" x14ac:dyDescent="0.3">
      <c r="A3733" t="s">
        <v>3710</v>
      </c>
      <c r="B3733" t="s">
        <v>1138</v>
      </c>
      <c r="C3733" t="s">
        <v>11</v>
      </c>
      <c r="D3733" t="s">
        <v>12</v>
      </c>
      <c r="E3733" t="s">
        <v>391</v>
      </c>
      <c r="H3733" t="s">
        <v>392</v>
      </c>
      <c r="I3733" t="s">
        <v>3720</v>
      </c>
      <c r="L3733" t="s">
        <v>394</v>
      </c>
      <c r="M3733" t="s">
        <v>3713</v>
      </c>
    </row>
    <row r="3734" spans="1:13" x14ac:dyDescent="0.3">
      <c r="A3734" t="s">
        <v>3707</v>
      </c>
      <c r="B3734" t="s">
        <v>2077</v>
      </c>
      <c r="C3734" t="s">
        <v>11</v>
      </c>
      <c r="D3734" t="s">
        <v>12</v>
      </c>
      <c r="E3734" t="s">
        <v>391</v>
      </c>
      <c r="H3734" t="s">
        <v>392</v>
      </c>
      <c r="I3734" t="s">
        <v>2128</v>
      </c>
      <c r="L3734" t="s">
        <v>394</v>
      </c>
      <c r="M3734" t="s">
        <v>3713</v>
      </c>
    </row>
    <row r="3735" spans="1:13" x14ac:dyDescent="0.3">
      <c r="A3735" t="s">
        <v>3721</v>
      </c>
      <c r="B3735" t="s">
        <v>2733</v>
      </c>
      <c r="C3735" t="s">
        <v>280</v>
      </c>
      <c r="D3735" t="s">
        <v>3722</v>
      </c>
      <c r="E3735" t="s">
        <v>2735</v>
      </c>
      <c r="H3735" t="s">
        <v>25</v>
      </c>
      <c r="I3735" t="s">
        <v>2736</v>
      </c>
    </row>
    <row r="3736" spans="1:13" x14ac:dyDescent="0.3">
      <c r="A3736" t="s">
        <v>3721</v>
      </c>
      <c r="B3736" t="s">
        <v>2733</v>
      </c>
      <c r="C3736" t="s">
        <v>308</v>
      </c>
      <c r="D3736" t="s">
        <v>3723</v>
      </c>
      <c r="E3736" t="s">
        <v>2738</v>
      </c>
      <c r="H3736" t="s">
        <v>25</v>
      </c>
      <c r="I3736" t="s">
        <v>2739</v>
      </c>
      <c r="L3736" t="s">
        <v>312</v>
      </c>
      <c r="M3736" t="s">
        <v>327</v>
      </c>
    </row>
    <row r="3737" spans="1:13" x14ac:dyDescent="0.3">
      <c r="A3737" t="s">
        <v>3721</v>
      </c>
      <c r="B3737" t="s">
        <v>2733</v>
      </c>
      <c r="C3737" t="s">
        <v>308</v>
      </c>
      <c r="D3737" t="s">
        <v>3724</v>
      </c>
      <c r="E3737" t="s">
        <v>527</v>
      </c>
      <c r="H3737" t="s">
        <v>25</v>
      </c>
      <c r="I3737" t="s">
        <v>2741</v>
      </c>
      <c r="L3737" t="s">
        <v>312</v>
      </c>
      <c r="M3737" t="s">
        <v>343</v>
      </c>
    </row>
    <row r="3738" spans="1:13" x14ac:dyDescent="0.3">
      <c r="A3738" t="s">
        <v>3721</v>
      </c>
      <c r="B3738" t="s">
        <v>2733</v>
      </c>
      <c r="C3738" t="s">
        <v>308</v>
      </c>
      <c r="D3738" t="s">
        <v>3725</v>
      </c>
      <c r="E3738" t="s">
        <v>2077</v>
      </c>
      <c r="H3738" t="s">
        <v>25</v>
      </c>
      <c r="I3738" t="s">
        <v>2078</v>
      </c>
      <c r="L3738" t="s">
        <v>312</v>
      </c>
      <c r="M3738" t="s">
        <v>1687</v>
      </c>
    </row>
    <row r="3739" spans="1:13" x14ac:dyDescent="0.3">
      <c r="A3739" t="s">
        <v>3721</v>
      </c>
      <c r="B3739" t="s">
        <v>2733</v>
      </c>
      <c r="C3739" t="s">
        <v>308</v>
      </c>
      <c r="D3739" t="s">
        <v>3726</v>
      </c>
      <c r="E3739" t="s">
        <v>1138</v>
      </c>
      <c r="H3739" t="s">
        <v>25</v>
      </c>
      <c r="I3739" t="s">
        <v>2065</v>
      </c>
      <c r="L3739" t="s">
        <v>312</v>
      </c>
      <c r="M3739" t="s">
        <v>317</v>
      </c>
    </row>
    <row r="3740" spans="1:13" x14ac:dyDescent="0.3">
      <c r="A3740" t="s">
        <v>3721</v>
      </c>
      <c r="B3740" t="s">
        <v>2733</v>
      </c>
      <c r="C3740" t="s">
        <v>308</v>
      </c>
      <c r="D3740" t="s">
        <v>3727</v>
      </c>
      <c r="E3740" t="s">
        <v>1134</v>
      </c>
      <c r="H3740" t="s">
        <v>25</v>
      </c>
      <c r="I3740" t="s">
        <v>2069</v>
      </c>
      <c r="L3740" t="s">
        <v>312</v>
      </c>
      <c r="M3740" t="s">
        <v>317</v>
      </c>
    </row>
    <row r="3741" spans="1:13" x14ac:dyDescent="0.3">
      <c r="A3741" t="s">
        <v>3721</v>
      </c>
      <c r="B3741" t="s">
        <v>2733</v>
      </c>
      <c r="C3741" t="s">
        <v>308</v>
      </c>
      <c r="D3741" t="s">
        <v>3728</v>
      </c>
      <c r="E3741" t="s">
        <v>1138</v>
      </c>
      <c r="H3741" t="s">
        <v>25</v>
      </c>
      <c r="I3741" t="s">
        <v>2746</v>
      </c>
      <c r="L3741" t="s">
        <v>312</v>
      </c>
      <c r="M3741" t="s">
        <v>317</v>
      </c>
    </row>
    <row r="3742" spans="1:13" x14ac:dyDescent="0.3">
      <c r="A3742" t="s">
        <v>3721</v>
      </c>
      <c r="B3742" t="s">
        <v>2733</v>
      </c>
      <c r="C3742" t="s">
        <v>308</v>
      </c>
      <c r="D3742" t="s">
        <v>3729</v>
      </c>
      <c r="E3742" t="s">
        <v>341</v>
      </c>
      <c r="H3742" t="s">
        <v>25</v>
      </c>
      <c r="I3742" t="s">
        <v>342</v>
      </c>
      <c r="L3742" t="s">
        <v>312</v>
      </c>
      <c r="M3742" t="s">
        <v>343</v>
      </c>
    </row>
    <row r="3743" spans="1:13" x14ac:dyDescent="0.3">
      <c r="A3743" t="s">
        <v>3721</v>
      </c>
      <c r="B3743" t="s">
        <v>2733</v>
      </c>
      <c r="C3743" t="s">
        <v>22</v>
      </c>
      <c r="D3743" t="s">
        <v>23</v>
      </c>
      <c r="E3743" t="s">
        <v>28</v>
      </c>
    </row>
    <row r="3744" spans="1:13" x14ac:dyDescent="0.3">
      <c r="A3744" t="s">
        <v>3721</v>
      </c>
      <c r="B3744" t="s">
        <v>2733</v>
      </c>
      <c r="C3744" t="s">
        <v>2748</v>
      </c>
      <c r="D3744">
        <v>1.5</v>
      </c>
      <c r="H3744" t="s">
        <v>312</v>
      </c>
      <c r="I3744" t="s">
        <v>385</v>
      </c>
    </row>
    <row r="3745" spans="1:27" x14ac:dyDescent="0.3">
      <c r="A3745" t="s">
        <v>3721</v>
      </c>
      <c r="B3745" t="s">
        <v>2733</v>
      </c>
      <c r="C3745" t="s">
        <v>378</v>
      </c>
      <c r="D3745">
        <v>135</v>
      </c>
      <c r="H3745" t="s">
        <v>312</v>
      </c>
      <c r="I3745" t="s">
        <v>327</v>
      </c>
    </row>
    <row r="3746" spans="1:27" x14ac:dyDescent="0.3">
      <c r="A3746" t="s">
        <v>3721</v>
      </c>
      <c r="B3746" t="s">
        <v>2733</v>
      </c>
      <c r="C3746" t="s">
        <v>380</v>
      </c>
      <c r="D3746" t="s">
        <v>798</v>
      </c>
      <c r="E3746" t="s">
        <v>279</v>
      </c>
      <c r="F3746" t="s">
        <v>25</v>
      </c>
      <c r="G3746" t="s">
        <v>3730</v>
      </c>
      <c r="J3746" t="s">
        <v>2089</v>
      </c>
      <c r="K3746" t="s">
        <v>2750</v>
      </c>
      <c r="N3746" t="s">
        <v>2751</v>
      </c>
      <c r="O3746">
        <v>1</v>
      </c>
      <c r="R3746" t="s">
        <v>2752</v>
      </c>
      <c r="S3746">
        <v>158</v>
      </c>
      <c r="V3746" t="s">
        <v>2753</v>
      </c>
      <c r="W3746" t="s">
        <v>2754</v>
      </c>
      <c r="Z3746" t="s">
        <v>2755</v>
      </c>
      <c r="AA3746" t="s">
        <v>2756</v>
      </c>
    </row>
    <row r="3747" spans="1:27" x14ac:dyDescent="0.3">
      <c r="A3747" t="s">
        <v>3721</v>
      </c>
      <c r="B3747" t="s">
        <v>2733</v>
      </c>
      <c r="C3747" t="s">
        <v>16</v>
      </c>
      <c r="D3747" t="s">
        <v>194</v>
      </c>
      <c r="E3747" t="s">
        <v>37</v>
      </c>
    </row>
    <row r="3748" spans="1:27" x14ac:dyDescent="0.3">
      <c r="A3748" t="s">
        <v>3721</v>
      </c>
      <c r="B3748" t="s">
        <v>2733</v>
      </c>
      <c r="C3748" t="s">
        <v>11</v>
      </c>
      <c r="D3748" t="s">
        <v>12</v>
      </c>
      <c r="E3748" t="s">
        <v>13</v>
      </c>
      <c r="H3748" t="s">
        <v>382</v>
      </c>
      <c r="I3748" t="s">
        <v>3731</v>
      </c>
      <c r="L3748" t="s">
        <v>14</v>
      </c>
      <c r="M3748" t="s">
        <v>3731</v>
      </c>
    </row>
    <row r="3749" spans="1:27" x14ac:dyDescent="0.3">
      <c r="A3749" t="s">
        <v>3724</v>
      </c>
      <c r="B3749" t="s">
        <v>527</v>
      </c>
      <c r="C3749" t="s">
        <v>11</v>
      </c>
      <c r="D3749" t="s">
        <v>12</v>
      </c>
      <c r="E3749" t="s">
        <v>391</v>
      </c>
      <c r="H3749" t="s">
        <v>392</v>
      </c>
      <c r="I3749" t="s">
        <v>2758</v>
      </c>
      <c r="L3749" t="s">
        <v>394</v>
      </c>
      <c r="M3749" t="s">
        <v>3731</v>
      </c>
    </row>
    <row r="3750" spans="1:27" x14ac:dyDescent="0.3">
      <c r="A3750" t="s">
        <v>3723</v>
      </c>
      <c r="B3750" t="s">
        <v>2738</v>
      </c>
      <c r="C3750" t="s">
        <v>11</v>
      </c>
      <c r="D3750" t="s">
        <v>12</v>
      </c>
      <c r="E3750" t="s">
        <v>391</v>
      </c>
      <c r="H3750" t="s">
        <v>392</v>
      </c>
      <c r="I3750" t="s">
        <v>3732</v>
      </c>
      <c r="L3750" t="s">
        <v>394</v>
      </c>
      <c r="M3750" t="s">
        <v>3731</v>
      </c>
    </row>
    <row r="3751" spans="1:27" x14ac:dyDescent="0.3">
      <c r="A3751" t="s">
        <v>3722</v>
      </c>
      <c r="B3751" t="s">
        <v>2735</v>
      </c>
      <c r="C3751" t="s">
        <v>308</v>
      </c>
      <c r="D3751" t="s">
        <v>3733</v>
      </c>
      <c r="E3751" t="s">
        <v>406</v>
      </c>
      <c r="H3751" t="s">
        <v>25</v>
      </c>
      <c r="I3751" t="s">
        <v>2761</v>
      </c>
      <c r="L3751" t="s">
        <v>312</v>
      </c>
      <c r="M3751" t="s">
        <v>404</v>
      </c>
    </row>
    <row r="3752" spans="1:27" x14ac:dyDescent="0.3">
      <c r="A3752" t="s">
        <v>3733</v>
      </c>
      <c r="B3752" t="s">
        <v>406</v>
      </c>
      <c r="C3752" t="s">
        <v>11</v>
      </c>
      <c r="D3752" t="s">
        <v>12</v>
      </c>
      <c r="E3752" t="s">
        <v>391</v>
      </c>
      <c r="H3752" t="s">
        <v>392</v>
      </c>
      <c r="I3752" t="s">
        <v>3734</v>
      </c>
      <c r="L3752" t="s">
        <v>394</v>
      </c>
      <c r="M3752" t="s">
        <v>3731</v>
      </c>
    </row>
    <row r="3753" spans="1:27" x14ac:dyDescent="0.3">
      <c r="A3753" t="s">
        <v>3726</v>
      </c>
      <c r="B3753" t="s">
        <v>1138</v>
      </c>
      <c r="C3753" t="s">
        <v>11</v>
      </c>
      <c r="D3753" t="s">
        <v>12</v>
      </c>
      <c r="E3753" t="s">
        <v>391</v>
      </c>
      <c r="H3753" t="s">
        <v>392</v>
      </c>
      <c r="I3753" t="s">
        <v>3735</v>
      </c>
      <c r="L3753" t="s">
        <v>394</v>
      </c>
      <c r="M3753" t="s">
        <v>3731</v>
      </c>
    </row>
    <row r="3754" spans="1:27" x14ac:dyDescent="0.3">
      <c r="A3754" t="s">
        <v>3729</v>
      </c>
      <c r="B3754" t="s">
        <v>341</v>
      </c>
      <c r="C3754" t="s">
        <v>11</v>
      </c>
      <c r="D3754" t="s">
        <v>12</v>
      </c>
      <c r="E3754" t="s">
        <v>391</v>
      </c>
      <c r="H3754" t="s">
        <v>392</v>
      </c>
      <c r="I3754" t="s">
        <v>3736</v>
      </c>
      <c r="L3754" t="s">
        <v>394</v>
      </c>
      <c r="M3754" t="s">
        <v>3731</v>
      </c>
    </row>
    <row r="3755" spans="1:27" x14ac:dyDescent="0.3">
      <c r="A3755" t="s">
        <v>3727</v>
      </c>
      <c r="B3755" t="s">
        <v>1134</v>
      </c>
      <c r="C3755" t="s">
        <v>11</v>
      </c>
      <c r="D3755" t="s">
        <v>12</v>
      </c>
      <c r="E3755" t="s">
        <v>391</v>
      </c>
      <c r="H3755" t="s">
        <v>392</v>
      </c>
      <c r="I3755" t="s">
        <v>3737</v>
      </c>
      <c r="L3755" t="s">
        <v>394</v>
      </c>
      <c r="M3755" t="s">
        <v>3731</v>
      </c>
    </row>
    <row r="3756" spans="1:27" x14ac:dyDescent="0.3">
      <c r="A3756" t="s">
        <v>3728</v>
      </c>
      <c r="B3756" t="s">
        <v>1138</v>
      </c>
      <c r="C3756" t="s">
        <v>11</v>
      </c>
      <c r="D3756" t="s">
        <v>12</v>
      </c>
      <c r="E3756" t="s">
        <v>391</v>
      </c>
      <c r="H3756" t="s">
        <v>392</v>
      </c>
      <c r="I3756" t="s">
        <v>3738</v>
      </c>
      <c r="L3756" t="s">
        <v>394</v>
      </c>
      <c r="M3756" t="s">
        <v>3731</v>
      </c>
    </row>
    <row r="3757" spans="1:27" x14ac:dyDescent="0.3">
      <c r="A3757" t="s">
        <v>3725</v>
      </c>
      <c r="B3757" t="s">
        <v>2077</v>
      </c>
      <c r="C3757" t="s">
        <v>11</v>
      </c>
      <c r="D3757" t="s">
        <v>12</v>
      </c>
      <c r="E3757" t="s">
        <v>391</v>
      </c>
      <c r="H3757" t="s">
        <v>392</v>
      </c>
      <c r="I3757" t="s">
        <v>2128</v>
      </c>
      <c r="L3757" t="s">
        <v>394</v>
      </c>
      <c r="M3757" t="s">
        <v>3731</v>
      </c>
    </row>
    <row r="3758" spans="1:27" x14ac:dyDescent="0.3">
      <c r="A3758" t="s">
        <v>3739</v>
      </c>
      <c r="B3758" t="s">
        <v>2733</v>
      </c>
      <c r="C3758" t="s">
        <v>280</v>
      </c>
      <c r="D3758" t="s">
        <v>3740</v>
      </c>
      <c r="E3758" t="s">
        <v>2735</v>
      </c>
      <c r="H3758" t="s">
        <v>25</v>
      </c>
      <c r="I3758" t="s">
        <v>2736</v>
      </c>
    </row>
    <row r="3759" spans="1:27" x14ac:dyDescent="0.3">
      <c r="A3759" t="s">
        <v>3739</v>
      </c>
      <c r="B3759" t="s">
        <v>2733</v>
      </c>
      <c r="C3759" t="s">
        <v>308</v>
      </c>
      <c r="D3759" t="s">
        <v>3741</v>
      </c>
      <c r="E3759" t="s">
        <v>2738</v>
      </c>
      <c r="H3759" t="s">
        <v>25</v>
      </c>
      <c r="I3759" t="s">
        <v>2739</v>
      </c>
      <c r="L3759" t="s">
        <v>312</v>
      </c>
      <c r="M3759" t="s">
        <v>327</v>
      </c>
    </row>
    <row r="3760" spans="1:27" x14ac:dyDescent="0.3">
      <c r="A3760" t="s">
        <v>3739</v>
      </c>
      <c r="B3760" t="s">
        <v>2733</v>
      </c>
      <c r="C3760" t="s">
        <v>308</v>
      </c>
      <c r="D3760" t="s">
        <v>3742</v>
      </c>
      <c r="E3760" t="s">
        <v>527</v>
      </c>
      <c r="H3760" t="s">
        <v>25</v>
      </c>
      <c r="I3760" t="s">
        <v>2741</v>
      </c>
      <c r="L3760" t="s">
        <v>312</v>
      </c>
      <c r="M3760" t="s">
        <v>343</v>
      </c>
    </row>
    <row r="3761" spans="1:27" x14ac:dyDescent="0.3">
      <c r="A3761" t="s">
        <v>3739</v>
      </c>
      <c r="B3761" t="s">
        <v>2733</v>
      </c>
      <c r="C3761" t="s">
        <v>308</v>
      </c>
      <c r="D3761" t="s">
        <v>3743</v>
      </c>
      <c r="E3761" t="s">
        <v>2077</v>
      </c>
      <c r="H3761" t="s">
        <v>25</v>
      </c>
      <c r="I3761" t="s">
        <v>2078</v>
      </c>
      <c r="L3761" t="s">
        <v>312</v>
      </c>
      <c r="M3761" t="s">
        <v>1687</v>
      </c>
    </row>
    <row r="3762" spans="1:27" x14ac:dyDescent="0.3">
      <c r="A3762" t="s">
        <v>3739</v>
      </c>
      <c r="B3762" t="s">
        <v>2733</v>
      </c>
      <c r="C3762" t="s">
        <v>308</v>
      </c>
      <c r="D3762" t="s">
        <v>3744</v>
      </c>
      <c r="E3762" t="s">
        <v>1138</v>
      </c>
      <c r="H3762" t="s">
        <v>25</v>
      </c>
      <c r="I3762" t="s">
        <v>2065</v>
      </c>
      <c r="L3762" t="s">
        <v>312</v>
      </c>
      <c r="M3762" t="s">
        <v>317</v>
      </c>
    </row>
    <row r="3763" spans="1:27" x14ac:dyDescent="0.3">
      <c r="A3763" t="s">
        <v>3739</v>
      </c>
      <c r="B3763" t="s">
        <v>2733</v>
      </c>
      <c r="C3763" t="s">
        <v>308</v>
      </c>
      <c r="D3763" t="s">
        <v>3745</v>
      </c>
      <c r="E3763" t="s">
        <v>1134</v>
      </c>
      <c r="H3763" t="s">
        <v>25</v>
      </c>
      <c r="I3763" t="s">
        <v>2069</v>
      </c>
      <c r="L3763" t="s">
        <v>312</v>
      </c>
      <c r="M3763" t="s">
        <v>317</v>
      </c>
    </row>
    <row r="3764" spans="1:27" x14ac:dyDescent="0.3">
      <c r="A3764" t="s">
        <v>3739</v>
      </c>
      <c r="B3764" t="s">
        <v>2733</v>
      </c>
      <c r="C3764" t="s">
        <v>308</v>
      </c>
      <c r="D3764" t="s">
        <v>3746</v>
      </c>
      <c r="E3764" t="s">
        <v>1138</v>
      </c>
      <c r="H3764" t="s">
        <v>25</v>
      </c>
      <c r="I3764" t="s">
        <v>2746</v>
      </c>
      <c r="L3764" t="s">
        <v>312</v>
      </c>
      <c r="M3764" t="s">
        <v>317</v>
      </c>
    </row>
    <row r="3765" spans="1:27" x14ac:dyDescent="0.3">
      <c r="A3765" t="s">
        <v>3739</v>
      </c>
      <c r="B3765" t="s">
        <v>2733</v>
      </c>
      <c r="C3765" t="s">
        <v>308</v>
      </c>
      <c r="D3765" t="s">
        <v>3747</v>
      </c>
      <c r="E3765" t="s">
        <v>341</v>
      </c>
      <c r="H3765" t="s">
        <v>25</v>
      </c>
      <c r="I3765" t="s">
        <v>342</v>
      </c>
      <c r="L3765" t="s">
        <v>312</v>
      </c>
      <c r="M3765" t="s">
        <v>343</v>
      </c>
    </row>
    <row r="3766" spans="1:27" x14ac:dyDescent="0.3">
      <c r="A3766" t="s">
        <v>3739</v>
      </c>
      <c r="B3766" t="s">
        <v>2733</v>
      </c>
      <c r="C3766" t="s">
        <v>22</v>
      </c>
      <c r="D3766" t="s">
        <v>23</v>
      </c>
      <c r="E3766" t="s">
        <v>28</v>
      </c>
    </row>
    <row r="3767" spans="1:27" x14ac:dyDescent="0.3">
      <c r="A3767" t="s">
        <v>3739</v>
      </c>
      <c r="B3767" t="s">
        <v>2733</v>
      </c>
      <c r="C3767" t="s">
        <v>2748</v>
      </c>
      <c r="D3767">
        <v>1.5</v>
      </c>
      <c r="H3767" t="s">
        <v>312</v>
      </c>
      <c r="I3767" t="s">
        <v>385</v>
      </c>
    </row>
    <row r="3768" spans="1:27" x14ac:dyDescent="0.3">
      <c r="A3768" t="s">
        <v>3739</v>
      </c>
      <c r="B3768" t="s">
        <v>2733</v>
      </c>
      <c r="C3768" t="s">
        <v>378</v>
      </c>
      <c r="D3768">
        <v>135</v>
      </c>
      <c r="H3768" t="s">
        <v>312</v>
      </c>
      <c r="I3768" t="s">
        <v>327</v>
      </c>
    </row>
    <row r="3769" spans="1:27" x14ac:dyDescent="0.3">
      <c r="A3769" t="s">
        <v>3739</v>
      </c>
      <c r="B3769" t="s">
        <v>2733</v>
      </c>
      <c r="C3769" t="s">
        <v>380</v>
      </c>
      <c r="D3769" t="s">
        <v>798</v>
      </c>
      <c r="E3769" t="s">
        <v>279</v>
      </c>
      <c r="F3769" t="s">
        <v>25</v>
      </c>
      <c r="G3769" t="s">
        <v>3748</v>
      </c>
      <c r="J3769" t="s">
        <v>2089</v>
      </c>
      <c r="K3769" t="s">
        <v>2750</v>
      </c>
      <c r="N3769" t="s">
        <v>2751</v>
      </c>
      <c r="O3769">
        <v>1</v>
      </c>
      <c r="R3769" t="s">
        <v>2752</v>
      </c>
      <c r="S3769">
        <v>158</v>
      </c>
      <c r="V3769" t="s">
        <v>2753</v>
      </c>
      <c r="W3769" t="s">
        <v>2754</v>
      </c>
      <c r="Z3769" t="s">
        <v>2755</v>
      </c>
      <c r="AA3769" t="s">
        <v>2756</v>
      </c>
    </row>
    <row r="3770" spans="1:27" x14ac:dyDescent="0.3">
      <c r="A3770" t="s">
        <v>3739</v>
      </c>
      <c r="B3770" t="s">
        <v>2733</v>
      </c>
      <c r="C3770" t="s">
        <v>16</v>
      </c>
      <c r="D3770" t="s">
        <v>192</v>
      </c>
      <c r="E3770" t="s">
        <v>37</v>
      </c>
    </row>
    <row r="3771" spans="1:27" x14ac:dyDescent="0.3">
      <c r="A3771" t="s">
        <v>3739</v>
      </c>
      <c r="B3771" t="s">
        <v>2733</v>
      </c>
      <c r="C3771" t="s">
        <v>11</v>
      </c>
      <c r="D3771" t="s">
        <v>12</v>
      </c>
      <c r="E3771" t="s">
        <v>13</v>
      </c>
      <c r="H3771" t="s">
        <v>382</v>
      </c>
      <c r="I3771" t="s">
        <v>3749</v>
      </c>
      <c r="L3771" t="s">
        <v>14</v>
      </c>
      <c r="M3771" t="s">
        <v>3749</v>
      </c>
    </row>
    <row r="3772" spans="1:27" x14ac:dyDescent="0.3">
      <c r="A3772" t="s">
        <v>3742</v>
      </c>
      <c r="B3772" t="s">
        <v>527</v>
      </c>
      <c r="C3772" t="s">
        <v>11</v>
      </c>
      <c r="D3772" t="s">
        <v>12</v>
      </c>
      <c r="E3772" t="s">
        <v>391</v>
      </c>
      <c r="H3772" t="s">
        <v>392</v>
      </c>
      <c r="I3772" t="s">
        <v>2758</v>
      </c>
      <c r="L3772" t="s">
        <v>394</v>
      </c>
      <c r="M3772" t="s">
        <v>3749</v>
      </c>
    </row>
    <row r="3773" spans="1:27" x14ac:dyDescent="0.3">
      <c r="A3773" t="s">
        <v>3741</v>
      </c>
      <c r="B3773" t="s">
        <v>2738</v>
      </c>
      <c r="C3773" t="s">
        <v>11</v>
      </c>
      <c r="D3773" t="s">
        <v>12</v>
      </c>
      <c r="E3773" t="s">
        <v>391</v>
      </c>
      <c r="H3773" t="s">
        <v>392</v>
      </c>
      <c r="I3773" t="s">
        <v>3750</v>
      </c>
      <c r="L3773" t="s">
        <v>394</v>
      </c>
      <c r="M3773" t="s">
        <v>3749</v>
      </c>
    </row>
    <row r="3774" spans="1:27" x14ac:dyDescent="0.3">
      <c r="A3774" t="s">
        <v>3740</v>
      </c>
      <c r="B3774" t="s">
        <v>2735</v>
      </c>
      <c r="C3774" t="s">
        <v>308</v>
      </c>
      <c r="D3774" t="s">
        <v>3751</v>
      </c>
      <c r="E3774" t="s">
        <v>406</v>
      </c>
      <c r="H3774" t="s">
        <v>25</v>
      </c>
      <c r="I3774" t="s">
        <v>2761</v>
      </c>
      <c r="L3774" t="s">
        <v>312</v>
      </c>
      <c r="M3774" t="s">
        <v>404</v>
      </c>
    </row>
    <row r="3775" spans="1:27" x14ac:dyDescent="0.3">
      <c r="A3775" t="s">
        <v>3751</v>
      </c>
      <c r="B3775" t="s">
        <v>406</v>
      </c>
      <c r="C3775" t="s">
        <v>11</v>
      </c>
      <c r="D3775" t="s">
        <v>12</v>
      </c>
      <c r="E3775" t="s">
        <v>391</v>
      </c>
      <c r="H3775" t="s">
        <v>392</v>
      </c>
      <c r="I3775" t="s">
        <v>3752</v>
      </c>
      <c r="L3775" t="s">
        <v>394</v>
      </c>
      <c r="M3775" t="s">
        <v>3749</v>
      </c>
    </row>
    <row r="3776" spans="1:27" x14ac:dyDescent="0.3">
      <c r="A3776" t="s">
        <v>3744</v>
      </c>
      <c r="B3776" t="s">
        <v>1138</v>
      </c>
      <c r="C3776" t="s">
        <v>11</v>
      </c>
      <c r="D3776" t="s">
        <v>12</v>
      </c>
      <c r="E3776" t="s">
        <v>391</v>
      </c>
      <c r="H3776" t="s">
        <v>392</v>
      </c>
      <c r="I3776" t="s">
        <v>3753</v>
      </c>
      <c r="L3776" t="s">
        <v>394</v>
      </c>
      <c r="M3776" t="s">
        <v>3749</v>
      </c>
    </row>
    <row r="3777" spans="1:27" x14ac:dyDescent="0.3">
      <c r="A3777" t="s">
        <v>3747</v>
      </c>
      <c r="B3777" t="s">
        <v>341</v>
      </c>
      <c r="C3777" t="s">
        <v>11</v>
      </c>
      <c r="D3777" t="s">
        <v>12</v>
      </c>
      <c r="E3777" t="s">
        <v>391</v>
      </c>
      <c r="H3777" t="s">
        <v>392</v>
      </c>
      <c r="I3777" t="s">
        <v>3754</v>
      </c>
      <c r="L3777" t="s">
        <v>394</v>
      </c>
      <c r="M3777" t="s">
        <v>3749</v>
      </c>
    </row>
    <row r="3778" spans="1:27" x14ac:dyDescent="0.3">
      <c r="A3778" t="s">
        <v>3745</v>
      </c>
      <c r="B3778" t="s">
        <v>1134</v>
      </c>
      <c r="C3778" t="s">
        <v>11</v>
      </c>
      <c r="D3778" t="s">
        <v>12</v>
      </c>
      <c r="E3778" t="s">
        <v>391</v>
      </c>
      <c r="H3778" t="s">
        <v>392</v>
      </c>
      <c r="I3778" t="s">
        <v>3755</v>
      </c>
      <c r="L3778" t="s">
        <v>394</v>
      </c>
      <c r="M3778" t="s">
        <v>3749</v>
      </c>
    </row>
    <row r="3779" spans="1:27" x14ac:dyDescent="0.3">
      <c r="A3779" t="s">
        <v>3746</v>
      </c>
      <c r="B3779" t="s">
        <v>1138</v>
      </c>
      <c r="C3779" t="s">
        <v>11</v>
      </c>
      <c r="D3779" t="s">
        <v>12</v>
      </c>
      <c r="E3779" t="s">
        <v>391</v>
      </c>
      <c r="H3779" t="s">
        <v>392</v>
      </c>
      <c r="I3779" t="s">
        <v>3756</v>
      </c>
      <c r="L3779" t="s">
        <v>394</v>
      </c>
      <c r="M3779" t="s">
        <v>3749</v>
      </c>
    </row>
    <row r="3780" spans="1:27" x14ac:dyDescent="0.3">
      <c r="A3780" t="s">
        <v>3743</v>
      </c>
      <c r="B3780" t="s">
        <v>2077</v>
      </c>
      <c r="C3780" t="s">
        <v>11</v>
      </c>
      <c r="D3780" t="s">
        <v>12</v>
      </c>
      <c r="E3780" t="s">
        <v>391</v>
      </c>
      <c r="H3780" t="s">
        <v>392</v>
      </c>
      <c r="I3780" t="s">
        <v>2128</v>
      </c>
      <c r="L3780" t="s">
        <v>394</v>
      </c>
      <c r="M3780" t="s">
        <v>3749</v>
      </c>
    </row>
    <row r="3781" spans="1:27" x14ac:dyDescent="0.3">
      <c r="A3781" t="s">
        <v>3757</v>
      </c>
      <c r="B3781" t="s">
        <v>2733</v>
      </c>
      <c r="C3781" t="s">
        <v>280</v>
      </c>
      <c r="D3781" t="s">
        <v>3758</v>
      </c>
      <c r="E3781" t="s">
        <v>2735</v>
      </c>
      <c r="H3781" t="s">
        <v>25</v>
      </c>
      <c r="I3781" t="s">
        <v>2736</v>
      </c>
    </row>
    <row r="3782" spans="1:27" x14ac:dyDescent="0.3">
      <c r="A3782" t="s">
        <v>3757</v>
      </c>
      <c r="B3782" t="s">
        <v>2733</v>
      </c>
      <c r="C3782" t="s">
        <v>308</v>
      </c>
      <c r="D3782" t="s">
        <v>3759</v>
      </c>
      <c r="E3782" t="s">
        <v>2738</v>
      </c>
      <c r="H3782" t="s">
        <v>25</v>
      </c>
      <c r="I3782" t="s">
        <v>2739</v>
      </c>
      <c r="L3782" t="s">
        <v>312</v>
      </c>
      <c r="M3782" t="s">
        <v>327</v>
      </c>
    </row>
    <row r="3783" spans="1:27" x14ac:dyDescent="0.3">
      <c r="A3783" t="s">
        <v>3757</v>
      </c>
      <c r="B3783" t="s">
        <v>2733</v>
      </c>
      <c r="C3783" t="s">
        <v>308</v>
      </c>
      <c r="D3783" t="s">
        <v>3760</v>
      </c>
      <c r="E3783" t="s">
        <v>527</v>
      </c>
      <c r="H3783" t="s">
        <v>25</v>
      </c>
      <c r="I3783" t="s">
        <v>2741</v>
      </c>
      <c r="L3783" t="s">
        <v>312</v>
      </c>
      <c r="M3783" t="s">
        <v>343</v>
      </c>
    </row>
    <row r="3784" spans="1:27" x14ac:dyDescent="0.3">
      <c r="A3784" t="s">
        <v>3757</v>
      </c>
      <c r="B3784" t="s">
        <v>2733</v>
      </c>
      <c r="C3784" t="s">
        <v>308</v>
      </c>
      <c r="D3784" t="s">
        <v>3761</v>
      </c>
      <c r="E3784" t="s">
        <v>2077</v>
      </c>
      <c r="H3784" t="s">
        <v>25</v>
      </c>
      <c r="I3784" t="s">
        <v>2078</v>
      </c>
      <c r="L3784" t="s">
        <v>312</v>
      </c>
      <c r="M3784" t="s">
        <v>1687</v>
      </c>
    </row>
    <row r="3785" spans="1:27" x14ac:dyDescent="0.3">
      <c r="A3785" t="s">
        <v>3757</v>
      </c>
      <c r="B3785" t="s">
        <v>2733</v>
      </c>
      <c r="C3785" t="s">
        <v>308</v>
      </c>
      <c r="D3785" t="s">
        <v>3762</v>
      </c>
      <c r="E3785" t="s">
        <v>1138</v>
      </c>
      <c r="H3785" t="s">
        <v>25</v>
      </c>
      <c r="I3785" t="s">
        <v>2065</v>
      </c>
      <c r="L3785" t="s">
        <v>312</v>
      </c>
      <c r="M3785" t="s">
        <v>317</v>
      </c>
    </row>
    <row r="3786" spans="1:27" x14ac:dyDescent="0.3">
      <c r="A3786" t="s">
        <v>3757</v>
      </c>
      <c r="B3786" t="s">
        <v>2733</v>
      </c>
      <c r="C3786" t="s">
        <v>308</v>
      </c>
      <c r="D3786" t="s">
        <v>3763</v>
      </c>
      <c r="E3786" t="s">
        <v>1134</v>
      </c>
      <c r="H3786" t="s">
        <v>25</v>
      </c>
      <c r="I3786" t="s">
        <v>2069</v>
      </c>
      <c r="L3786" t="s">
        <v>312</v>
      </c>
      <c r="M3786" t="s">
        <v>317</v>
      </c>
    </row>
    <row r="3787" spans="1:27" x14ac:dyDescent="0.3">
      <c r="A3787" t="s">
        <v>3757</v>
      </c>
      <c r="B3787" t="s">
        <v>2733</v>
      </c>
      <c r="C3787" t="s">
        <v>308</v>
      </c>
      <c r="D3787" t="s">
        <v>3764</v>
      </c>
      <c r="E3787" t="s">
        <v>1138</v>
      </c>
      <c r="H3787" t="s">
        <v>25</v>
      </c>
      <c r="I3787" t="s">
        <v>2746</v>
      </c>
      <c r="L3787" t="s">
        <v>312</v>
      </c>
      <c r="M3787" t="s">
        <v>317</v>
      </c>
    </row>
    <row r="3788" spans="1:27" x14ac:dyDescent="0.3">
      <c r="A3788" t="s">
        <v>3757</v>
      </c>
      <c r="B3788" t="s">
        <v>2733</v>
      </c>
      <c r="C3788" t="s">
        <v>308</v>
      </c>
      <c r="D3788" t="s">
        <v>3765</v>
      </c>
      <c r="E3788" t="s">
        <v>341</v>
      </c>
      <c r="H3788" t="s">
        <v>25</v>
      </c>
      <c r="I3788" t="s">
        <v>342</v>
      </c>
      <c r="L3788" t="s">
        <v>312</v>
      </c>
      <c r="M3788" t="s">
        <v>343</v>
      </c>
    </row>
    <row r="3789" spans="1:27" x14ac:dyDescent="0.3">
      <c r="A3789" t="s">
        <v>3757</v>
      </c>
      <c r="B3789" t="s">
        <v>2733</v>
      </c>
      <c r="C3789" t="s">
        <v>22</v>
      </c>
      <c r="D3789" t="s">
        <v>23</v>
      </c>
      <c r="E3789" t="s">
        <v>28</v>
      </c>
    </row>
    <row r="3790" spans="1:27" x14ac:dyDescent="0.3">
      <c r="A3790" t="s">
        <v>3757</v>
      </c>
      <c r="B3790" t="s">
        <v>2733</v>
      </c>
      <c r="C3790" t="s">
        <v>2748</v>
      </c>
      <c r="D3790">
        <v>1.5</v>
      </c>
      <c r="H3790" t="s">
        <v>312</v>
      </c>
      <c r="I3790" t="s">
        <v>385</v>
      </c>
    </row>
    <row r="3791" spans="1:27" x14ac:dyDescent="0.3">
      <c r="A3791" t="s">
        <v>3757</v>
      </c>
      <c r="B3791" t="s">
        <v>2733</v>
      </c>
      <c r="C3791" t="s">
        <v>378</v>
      </c>
      <c r="D3791">
        <v>105</v>
      </c>
      <c r="H3791" t="s">
        <v>312</v>
      </c>
      <c r="I3791" t="s">
        <v>327</v>
      </c>
    </row>
    <row r="3792" spans="1:27" x14ac:dyDescent="0.3">
      <c r="A3792" t="s">
        <v>3757</v>
      </c>
      <c r="B3792" t="s">
        <v>2733</v>
      </c>
      <c r="C3792" t="s">
        <v>380</v>
      </c>
      <c r="D3792" t="s">
        <v>798</v>
      </c>
      <c r="E3792" t="s">
        <v>279</v>
      </c>
      <c r="F3792" t="s">
        <v>25</v>
      </c>
      <c r="G3792" t="s">
        <v>3766</v>
      </c>
      <c r="J3792" t="s">
        <v>2089</v>
      </c>
      <c r="K3792" t="s">
        <v>2750</v>
      </c>
      <c r="N3792" t="s">
        <v>2751</v>
      </c>
      <c r="O3792">
        <v>1</v>
      </c>
      <c r="R3792" t="s">
        <v>2752</v>
      </c>
      <c r="S3792">
        <v>158</v>
      </c>
      <c r="V3792" t="s">
        <v>2753</v>
      </c>
      <c r="W3792" t="s">
        <v>2754</v>
      </c>
      <c r="Z3792" t="s">
        <v>2755</v>
      </c>
      <c r="AA3792" t="s">
        <v>2756</v>
      </c>
    </row>
    <row r="3793" spans="1:13" x14ac:dyDescent="0.3">
      <c r="A3793" t="s">
        <v>3757</v>
      </c>
      <c r="B3793" t="s">
        <v>2733</v>
      </c>
      <c r="C3793" t="s">
        <v>16</v>
      </c>
      <c r="D3793" t="s">
        <v>190</v>
      </c>
      <c r="E3793" t="s">
        <v>37</v>
      </c>
    </row>
    <row r="3794" spans="1:13" x14ac:dyDescent="0.3">
      <c r="A3794" t="s">
        <v>3757</v>
      </c>
      <c r="B3794" t="s">
        <v>2733</v>
      </c>
      <c r="C3794" t="s">
        <v>11</v>
      </c>
      <c r="D3794" t="s">
        <v>12</v>
      </c>
      <c r="E3794" t="s">
        <v>13</v>
      </c>
      <c r="H3794" t="s">
        <v>382</v>
      </c>
      <c r="I3794" t="s">
        <v>3767</v>
      </c>
      <c r="L3794" t="s">
        <v>14</v>
      </c>
      <c r="M3794" t="s">
        <v>3767</v>
      </c>
    </row>
    <row r="3795" spans="1:13" x14ac:dyDescent="0.3">
      <c r="A3795" t="s">
        <v>3760</v>
      </c>
      <c r="B3795" t="s">
        <v>527</v>
      </c>
      <c r="C3795" t="s">
        <v>11</v>
      </c>
      <c r="D3795" t="s">
        <v>12</v>
      </c>
      <c r="E3795" t="s">
        <v>391</v>
      </c>
      <c r="H3795" t="s">
        <v>392</v>
      </c>
      <c r="I3795" t="s">
        <v>2758</v>
      </c>
      <c r="L3795" t="s">
        <v>394</v>
      </c>
      <c r="M3795" t="s">
        <v>3767</v>
      </c>
    </row>
    <row r="3796" spans="1:13" x14ac:dyDescent="0.3">
      <c r="A3796" t="s">
        <v>3759</v>
      </c>
      <c r="B3796" t="s">
        <v>2738</v>
      </c>
      <c r="C3796" t="s">
        <v>11</v>
      </c>
      <c r="D3796" t="s">
        <v>12</v>
      </c>
      <c r="E3796" t="s">
        <v>391</v>
      </c>
      <c r="H3796" t="s">
        <v>392</v>
      </c>
      <c r="I3796" t="s">
        <v>3768</v>
      </c>
      <c r="L3796" t="s">
        <v>394</v>
      </c>
      <c r="M3796" t="s">
        <v>3767</v>
      </c>
    </row>
    <row r="3797" spans="1:13" x14ac:dyDescent="0.3">
      <c r="A3797" t="s">
        <v>3758</v>
      </c>
      <c r="B3797" t="s">
        <v>2735</v>
      </c>
      <c r="C3797" t="s">
        <v>308</v>
      </c>
      <c r="D3797" t="s">
        <v>3769</v>
      </c>
      <c r="E3797" t="s">
        <v>406</v>
      </c>
      <c r="H3797" t="s">
        <v>25</v>
      </c>
      <c r="I3797" t="s">
        <v>2761</v>
      </c>
      <c r="L3797" t="s">
        <v>312</v>
      </c>
      <c r="M3797" t="s">
        <v>404</v>
      </c>
    </row>
    <row r="3798" spans="1:13" x14ac:dyDescent="0.3">
      <c r="A3798" t="s">
        <v>3769</v>
      </c>
      <c r="B3798" t="s">
        <v>406</v>
      </c>
      <c r="C3798" t="s">
        <v>11</v>
      </c>
      <c r="D3798" t="s">
        <v>12</v>
      </c>
      <c r="E3798" t="s">
        <v>391</v>
      </c>
      <c r="H3798" t="s">
        <v>392</v>
      </c>
      <c r="I3798" t="s">
        <v>3770</v>
      </c>
      <c r="L3798" t="s">
        <v>394</v>
      </c>
      <c r="M3798" t="s">
        <v>3767</v>
      </c>
    </row>
    <row r="3799" spans="1:13" x14ac:dyDescent="0.3">
      <c r="A3799" t="s">
        <v>3762</v>
      </c>
      <c r="B3799" t="s">
        <v>1138</v>
      </c>
      <c r="C3799" t="s">
        <v>11</v>
      </c>
      <c r="D3799" t="s">
        <v>12</v>
      </c>
      <c r="E3799" t="s">
        <v>391</v>
      </c>
      <c r="H3799" t="s">
        <v>392</v>
      </c>
      <c r="I3799" t="s">
        <v>3771</v>
      </c>
      <c r="L3799" t="s">
        <v>394</v>
      </c>
      <c r="M3799" t="s">
        <v>3767</v>
      </c>
    </row>
    <row r="3800" spans="1:13" x14ac:dyDescent="0.3">
      <c r="A3800" t="s">
        <v>3765</v>
      </c>
      <c r="B3800" t="s">
        <v>341</v>
      </c>
      <c r="C3800" t="s">
        <v>11</v>
      </c>
      <c r="D3800" t="s">
        <v>12</v>
      </c>
      <c r="E3800" t="s">
        <v>391</v>
      </c>
      <c r="H3800" t="s">
        <v>392</v>
      </c>
      <c r="I3800" t="s">
        <v>3772</v>
      </c>
      <c r="L3800" t="s">
        <v>394</v>
      </c>
      <c r="M3800" t="s">
        <v>3767</v>
      </c>
    </row>
    <row r="3801" spans="1:13" x14ac:dyDescent="0.3">
      <c r="A3801" t="s">
        <v>3763</v>
      </c>
      <c r="B3801" t="s">
        <v>1134</v>
      </c>
      <c r="C3801" t="s">
        <v>11</v>
      </c>
      <c r="D3801" t="s">
        <v>12</v>
      </c>
      <c r="E3801" t="s">
        <v>391</v>
      </c>
      <c r="H3801" t="s">
        <v>392</v>
      </c>
      <c r="I3801" t="s">
        <v>3773</v>
      </c>
      <c r="L3801" t="s">
        <v>394</v>
      </c>
      <c r="M3801" t="s">
        <v>3767</v>
      </c>
    </row>
    <row r="3802" spans="1:13" x14ac:dyDescent="0.3">
      <c r="A3802" t="s">
        <v>3764</v>
      </c>
      <c r="B3802" t="s">
        <v>1138</v>
      </c>
      <c r="C3802" t="s">
        <v>11</v>
      </c>
      <c r="D3802" t="s">
        <v>12</v>
      </c>
      <c r="E3802" t="s">
        <v>391</v>
      </c>
      <c r="H3802" t="s">
        <v>392</v>
      </c>
      <c r="I3802" t="s">
        <v>3774</v>
      </c>
      <c r="L3802" t="s">
        <v>394</v>
      </c>
      <c r="M3802" t="s">
        <v>3767</v>
      </c>
    </row>
    <row r="3803" spans="1:13" x14ac:dyDescent="0.3">
      <c r="A3803" t="s">
        <v>3761</v>
      </c>
      <c r="B3803" t="s">
        <v>2077</v>
      </c>
      <c r="C3803" t="s">
        <v>11</v>
      </c>
      <c r="D3803" t="s">
        <v>12</v>
      </c>
      <c r="E3803" t="s">
        <v>391</v>
      </c>
      <c r="H3803" t="s">
        <v>392</v>
      </c>
      <c r="I3803" t="s">
        <v>2128</v>
      </c>
      <c r="L3803" t="s">
        <v>394</v>
      </c>
      <c r="M3803" t="s">
        <v>3767</v>
      </c>
    </row>
    <row r="3804" spans="1:13" x14ac:dyDescent="0.3">
      <c r="A3804" t="s">
        <v>3775</v>
      </c>
      <c r="B3804" t="s">
        <v>2733</v>
      </c>
      <c r="C3804" t="s">
        <v>280</v>
      </c>
      <c r="D3804" t="s">
        <v>3776</v>
      </c>
      <c r="E3804" t="s">
        <v>2735</v>
      </c>
      <c r="H3804" t="s">
        <v>25</v>
      </c>
      <c r="I3804" t="s">
        <v>2736</v>
      </c>
    </row>
    <row r="3805" spans="1:13" x14ac:dyDescent="0.3">
      <c r="A3805" t="s">
        <v>3775</v>
      </c>
      <c r="B3805" t="s">
        <v>2733</v>
      </c>
      <c r="C3805" t="s">
        <v>308</v>
      </c>
      <c r="D3805" t="s">
        <v>3777</v>
      </c>
      <c r="E3805" t="s">
        <v>2738</v>
      </c>
      <c r="H3805" t="s">
        <v>25</v>
      </c>
      <c r="I3805" t="s">
        <v>2739</v>
      </c>
      <c r="L3805" t="s">
        <v>312</v>
      </c>
      <c r="M3805" t="s">
        <v>327</v>
      </c>
    </row>
    <row r="3806" spans="1:13" x14ac:dyDescent="0.3">
      <c r="A3806" t="s">
        <v>3775</v>
      </c>
      <c r="B3806" t="s">
        <v>2733</v>
      </c>
      <c r="C3806" t="s">
        <v>308</v>
      </c>
      <c r="D3806" t="s">
        <v>3778</v>
      </c>
      <c r="E3806" t="s">
        <v>527</v>
      </c>
      <c r="H3806" t="s">
        <v>25</v>
      </c>
      <c r="I3806" t="s">
        <v>2741</v>
      </c>
      <c r="L3806" t="s">
        <v>312</v>
      </c>
      <c r="M3806" t="s">
        <v>343</v>
      </c>
    </row>
    <row r="3807" spans="1:13" x14ac:dyDescent="0.3">
      <c r="A3807" t="s">
        <v>3775</v>
      </c>
      <c r="B3807" t="s">
        <v>2733</v>
      </c>
      <c r="C3807" t="s">
        <v>308</v>
      </c>
      <c r="D3807" t="s">
        <v>3779</v>
      </c>
      <c r="E3807" t="s">
        <v>2077</v>
      </c>
      <c r="H3807" t="s">
        <v>25</v>
      </c>
      <c r="I3807" t="s">
        <v>2078</v>
      </c>
      <c r="L3807" t="s">
        <v>312</v>
      </c>
      <c r="M3807" t="s">
        <v>1687</v>
      </c>
    </row>
    <row r="3808" spans="1:13" x14ac:dyDescent="0.3">
      <c r="A3808" t="s">
        <v>3775</v>
      </c>
      <c r="B3808" t="s">
        <v>2733</v>
      </c>
      <c r="C3808" t="s">
        <v>308</v>
      </c>
      <c r="D3808" t="s">
        <v>3780</v>
      </c>
      <c r="E3808" t="s">
        <v>1138</v>
      </c>
      <c r="H3808" t="s">
        <v>25</v>
      </c>
      <c r="I3808" t="s">
        <v>2065</v>
      </c>
      <c r="L3808" t="s">
        <v>312</v>
      </c>
      <c r="M3808" t="s">
        <v>317</v>
      </c>
    </row>
    <row r="3809" spans="1:27" x14ac:dyDescent="0.3">
      <c r="A3809" t="s">
        <v>3775</v>
      </c>
      <c r="B3809" t="s">
        <v>2733</v>
      </c>
      <c r="C3809" t="s">
        <v>308</v>
      </c>
      <c r="D3809" t="s">
        <v>3781</v>
      </c>
      <c r="E3809" t="s">
        <v>1134</v>
      </c>
      <c r="H3809" t="s">
        <v>25</v>
      </c>
      <c r="I3809" t="s">
        <v>2069</v>
      </c>
      <c r="L3809" t="s">
        <v>312</v>
      </c>
      <c r="M3809" t="s">
        <v>317</v>
      </c>
    </row>
    <row r="3810" spans="1:27" x14ac:dyDescent="0.3">
      <c r="A3810" t="s">
        <v>3775</v>
      </c>
      <c r="B3810" t="s">
        <v>2733</v>
      </c>
      <c r="C3810" t="s">
        <v>308</v>
      </c>
      <c r="D3810" t="s">
        <v>3782</v>
      </c>
      <c r="E3810" t="s">
        <v>1138</v>
      </c>
      <c r="H3810" t="s">
        <v>25</v>
      </c>
      <c r="I3810" t="s">
        <v>2746</v>
      </c>
      <c r="L3810" t="s">
        <v>312</v>
      </c>
      <c r="M3810" t="s">
        <v>317</v>
      </c>
    </row>
    <row r="3811" spans="1:27" x14ac:dyDescent="0.3">
      <c r="A3811" t="s">
        <v>3775</v>
      </c>
      <c r="B3811" t="s">
        <v>2733</v>
      </c>
      <c r="C3811" t="s">
        <v>308</v>
      </c>
      <c r="D3811" t="s">
        <v>3783</v>
      </c>
      <c r="E3811" t="s">
        <v>341</v>
      </c>
      <c r="H3811" t="s">
        <v>25</v>
      </c>
      <c r="I3811" t="s">
        <v>342</v>
      </c>
      <c r="L3811" t="s">
        <v>312</v>
      </c>
      <c r="M3811" t="s">
        <v>343</v>
      </c>
    </row>
    <row r="3812" spans="1:27" x14ac:dyDescent="0.3">
      <c r="A3812" t="s">
        <v>3775</v>
      </c>
      <c r="B3812" t="s">
        <v>2733</v>
      </c>
      <c r="C3812" t="s">
        <v>22</v>
      </c>
      <c r="D3812" t="s">
        <v>23</v>
      </c>
      <c r="E3812" t="s">
        <v>28</v>
      </c>
    </row>
    <row r="3813" spans="1:27" x14ac:dyDescent="0.3">
      <c r="A3813" t="s">
        <v>3775</v>
      </c>
      <c r="B3813" t="s">
        <v>2733</v>
      </c>
      <c r="C3813" t="s">
        <v>2748</v>
      </c>
      <c r="D3813">
        <v>1.5</v>
      </c>
      <c r="H3813" t="s">
        <v>312</v>
      </c>
      <c r="I3813" t="s">
        <v>385</v>
      </c>
    </row>
    <row r="3814" spans="1:27" x14ac:dyDescent="0.3">
      <c r="A3814" t="s">
        <v>3775</v>
      </c>
      <c r="B3814" t="s">
        <v>2733</v>
      </c>
      <c r="C3814" t="s">
        <v>378</v>
      </c>
      <c r="D3814">
        <v>135</v>
      </c>
      <c r="H3814" t="s">
        <v>312</v>
      </c>
      <c r="I3814" t="s">
        <v>327</v>
      </c>
    </row>
    <row r="3815" spans="1:27" x14ac:dyDescent="0.3">
      <c r="A3815" t="s">
        <v>3775</v>
      </c>
      <c r="B3815" t="s">
        <v>2733</v>
      </c>
      <c r="C3815" t="s">
        <v>380</v>
      </c>
      <c r="D3815" t="s">
        <v>798</v>
      </c>
      <c r="E3815" t="s">
        <v>279</v>
      </c>
      <c r="F3815" t="s">
        <v>25</v>
      </c>
      <c r="G3815" t="s">
        <v>3784</v>
      </c>
      <c r="J3815" t="s">
        <v>2089</v>
      </c>
      <c r="K3815" t="s">
        <v>2750</v>
      </c>
      <c r="N3815" t="s">
        <v>2751</v>
      </c>
      <c r="O3815">
        <v>1</v>
      </c>
      <c r="R3815" t="s">
        <v>2752</v>
      </c>
      <c r="S3815">
        <v>158</v>
      </c>
      <c r="V3815" t="s">
        <v>2753</v>
      </c>
      <c r="W3815" t="s">
        <v>2754</v>
      </c>
      <c r="Z3815" t="s">
        <v>2755</v>
      </c>
      <c r="AA3815" t="s">
        <v>2756</v>
      </c>
    </row>
    <row r="3816" spans="1:27" x14ac:dyDescent="0.3">
      <c r="A3816" t="s">
        <v>3775</v>
      </c>
      <c r="B3816" t="s">
        <v>2733</v>
      </c>
      <c r="C3816" t="s">
        <v>16</v>
      </c>
      <c r="D3816" t="s">
        <v>188</v>
      </c>
      <c r="E3816" t="s">
        <v>37</v>
      </c>
    </row>
    <row r="3817" spans="1:27" x14ac:dyDescent="0.3">
      <c r="A3817" t="s">
        <v>3775</v>
      </c>
      <c r="B3817" t="s">
        <v>2733</v>
      </c>
      <c r="C3817" t="s">
        <v>11</v>
      </c>
      <c r="D3817" t="s">
        <v>12</v>
      </c>
      <c r="E3817" t="s">
        <v>13</v>
      </c>
      <c r="H3817" t="s">
        <v>382</v>
      </c>
      <c r="I3817" t="s">
        <v>3785</v>
      </c>
      <c r="L3817" t="s">
        <v>14</v>
      </c>
      <c r="M3817" t="s">
        <v>3785</v>
      </c>
    </row>
    <row r="3818" spans="1:27" x14ac:dyDescent="0.3">
      <c r="A3818" t="s">
        <v>3778</v>
      </c>
      <c r="B3818" t="s">
        <v>527</v>
      </c>
      <c r="C3818" t="s">
        <v>11</v>
      </c>
      <c r="D3818" t="s">
        <v>12</v>
      </c>
      <c r="E3818" t="s">
        <v>391</v>
      </c>
      <c r="H3818" t="s">
        <v>392</v>
      </c>
      <c r="I3818" t="s">
        <v>2758</v>
      </c>
      <c r="L3818" t="s">
        <v>394</v>
      </c>
      <c r="M3818" t="s">
        <v>3785</v>
      </c>
    </row>
    <row r="3819" spans="1:27" x14ac:dyDescent="0.3">
      <c r="A3819" t="s">
        <v>3777</v>
      </c>
      <c r="B3819" t="s">
        <v>2738</v>
      </c>
      <c r="C3819" t="s">
        <v>11</v>
      </c>
      <c r="D3819" t="s">
        <v>12</v>
      </c>
      <c r="E3819" t="s">
        <v>391</v>
      </c>
      <c r="H3819" t="s">
        <v>392</v>
      </c>
      <c r="I3819" t="s">
        <v>3786</v>
      </c>
      <c r="L3819" t="s">
        <v>394</v>
      </c>
      <c r="M3819" t="s">
        <v>3785</v>
      </c>
    </row>
    <row r="3820" spans="1:27" x14ac:dyDescent="0.3">
      <c r="A3820" t="s">
        <v>3776</v>
      </c>
      <c r="B3820" t="s">
        <v>2735</v>
      </c>
      <c r="C3820" t="s">
        <v>308</v>
      </c>
      <c r="D3820" t="s">
        <v>3787</v>
      </c>
      <c r="E3820" t="s">
        <v>406</v>
      </c>
      <c r="H3820" t="s">
        <v>25</v>
      </c>
      <c r="I3820" t="s">
        <v>2761</v>
      </c>
      <c r="L3820" t="s">
        <v>312</v>
      </c>
      <c r="M3820" t="s">
        <v>404</v>
      </c>
    </row>
    <row r="3821" spans="1:27" x14ac:dyDescent="0.3">
      <c r="A3821" t="s">
        <v>3787</v>
      </c>
      <c r="B3821" t="s">
        <v>406</v>
      </c>
      <c r="C3821" t="s">
        <v>11</v>
      </c>
      <c r="D3821" t="s">
        <v>12</v>
      </c>
      <c r="E3821" t="s">
        <v>391</v>
      </c>
      <c r="H3821" t="s">
        <v>392</v>
      </c>
      <c r="I3821" t="s">
        <v>3788</v>
      </c>
      <c r="L3821" t="s">
        <v>394</v>
      </c>
      <c r="M3821" t="s">
        <v>3785</v>
      </c>
    </row>
    <row r="3822" spans="1:27" x14ac:dyDescent="0.3">
      <c r="A3822" t="s">
        <v>3780</v>
      </c>
      <c r="B3822" t="s">
        <v>1138</v>
      </c>
      <c r="C3822" t="s">
        <v>11</v>
      </c>
      <c r="D3822" t="s">
        <v>12</v>
      </c>
      <c r="E3822" t="s">
        <v>391</v>
      </c>
      <c r="H3822" t="s">
        <v>392</v>
      </c>
      <c r="I3822" t="s">
        <v>3789</v>
      </c>
      <c r="L3822" t="s">
        <v>394</v>
      </c>
      <c r="M3822" t="s">
        <v>3785</v>
      </c>
    </row>
    <row r="3823" spans="1:27" x14ac:dyDescent="0.3">
      <c r="A3823" t="s">
        <v>3783</v>
      </c>
      <c r="B3823" t="s">
        <v>341</v>
      </c>
      <c r="C3823" t="s">
        <v>11</v>
      </c>
      <c r="D3823" t="s">
        <v>12</v>
      </c>
      <c r="E3823" t="s">
        <v>391</v>
      </c>
      <c r="H3823" t="s">
        <v>392</v>
      </c>
      <c r="I3823" t="s">
        <v>3790</v>
      </c>
      <c r="L3823" t="s">
        <v>394</v>
      </c>
      <c r="M3823" t="s">
        <v>3785</v>
      </c>
    </row>
    <row r="3824" spans="1:27" x14ac:dyDescent="0.3">
      <c r="A3824" t="s">
        <v>3781</v>
      </c>
      <c r="B3824" t="s">
        <v>1134</v>
      </c>
      <c r="C3824" t="s">
        <v>11</v>
      </c>
      <c r="D3824" t="s">
        <v>12</v>
      </c>
      <c r="E3824" t="s">
        <v>391</v>
      </c>
      <c r="H3824" t="s">
        <v>392</v>
      </c>
      <c r="I3824" t="s">
        <v>3791</v>
      </c>
      <c r="L3824" t="s">
        <v>394</v>
      </c>
      <c r="M3824" t="s">
        <v>3785</v>
      </c>
    </row>
    <row r="3825" spans="1:27" x14ac:dyDescent="0.3">
      <c r="A3825" t="s">
        <v>3782</v>
      </c>
      <c r="B3825" t="s">
        <v>1138</v>
      </c>
      <c r="C3825" t="s">
        <v>11</v>
      </c>
      <c r="D3825" t="s">
        <v>12</v>
      </c>
      <c r="E3825" t="s">
        <v>391</v>
      </c>
      <c r="H3825" t="s">
        <v>392</v>
      </c>
      <c r="I3825" t="s">
        <v>3792</v>
      </c>
      <c r="L3825" t="s">
        <v>394</v>
      </c>
      <c r="M3825" t="s">
        <v>3785</v>
      </c>
    </row>
    <row r="3826" spans="1:27" x14ac:dyDescent="0.3">
      <c r="A3826" t="s">
        <v>3779</v>
      </c>
      <c r="B3826" t="s">
        <v>2077</v>
      </c>
      <c r="C3826" t="s">
        <v>11</v>
      </c>
      <c r="D3826" t="s">
        <v>12</v>
      </c>
      <c r="E3826" t="s">
        <v>391</v>
      </c>
      <c r="H3826" t="s">
        <v>392</v>
      </c>
      <c r="I3826" t="s">
        <v>2128</v>
      </c>
      <c r="L3826" t="s">
        <v>394</v>
      </c>
      <c r="M3826" t="s">
        <v>3785</v>
      </c>
    </row>
    <row r="3827" spans="1:27" x14ac:dyDescent="0.3">
      <c r="A3827" t="s">
        <v>3793</v>
      </c>
      <c r="B3827" t="s">
        <v>2733</v>
      </c>
      <c r="C3827" t="s">
        <v>280</v>
      </c>
      <c r="D3827" t="s">
        <v>3794</v>
      </c>
      <c r="E3827" t="s">
        <v>2735</v>
      </c>
      <c r="H3827" t="s">
        <v>25</v>
      </c>
      <c r="I3827" t="s">
        <v>2736</v>
      </c>
    </row>
    <row r="3828" spans="1:27" x14ac:dyDescent="0.3">
      <c r="A3828" t="s">
        <v>3793</v>
      </c>
      <c r="B3828" t="s">
        <v>2733</v>
      </c>
      <c r="C3828" t="s">
        <v>308</v>
      </c>
      <c r="D3828" t="s">
        <v>3795</v>
      </c>
      <c r="E3828" t="s">
        <v>2738</v>
      </c>
      <c r="H3828" t="s">
        <v>25</v>
      </c>
      <c r="I3828" t="s">
        <v>2739</v>
      </c>
      <c r="L3828" t="s">
        <v>312</v>
      </c>
      <c r="M3828" t="s">
        <v>327</v>
      </c>
    </row>
    <row r="3829" spans="1:27" x14ac:dyDescent="0.3">
      <c r="A3829" t="s">
        <v>3793</v>
      </c>
      <c r="B3829" t="s">
        <v>2733</v>
      </c>
      <c r="C3829" t="s">
        <v>308</v>
      </c>
      <c r="D3829" t="s">
        <v>3796</v>
      </c>
      <c r="E3829" t="s">
        <v>527</v>
      </c>
      <c r="H3829" t="s">
        <v>25</v>
      </c>
      <c r="I3829" t="s">
        <v>2741</v>
      </c>
      <c r="L3829" t="s">
        <v>312</v>
      </c>
      <c r="M3829" t="s">
        <v>343</v>
      </c>
    </row>
    <row r="3830" spans="1:27" x14ac:dyDescent="0.3">
      <c r="A3830" t="s">
        <v>3793</v>
      </c>
      <c r="B3830" t="s">
        <v>2733</v>
      </c>
      <c r="C3830" t="s">
        <v>308</v>
      </c>
      <c r="D3830" t="s">
        <v>3797</v>
      </c>
      <c r="E3830" t="s">
        <v>2077</v>
      </c>
      <c r="H3830" t="s">
        <v>25</v>
      </c>
      <c r="I3830" t="s">
        <v>2078</v>
      </c>
      <c r="L3830" t="s">
        <v>312</v>
      </c>
      <c r="M3830" t="s">
        <v>1687</v>
      </c>
    </row>
    <row r="3831" spans="1:27" x14ac:dyDescent="0.3">
      <c r="A3831" t="s">
        <v>3793</v>
      </c>
      <c r="B3831" t="s">
        <v>2733</v>
      </c>
      <c r="C3831" t="s">
        <v>308</v>
      </c>
      <c r="D3831" t="s">
        <v>3798</v>
      </c>
      <c r="E3831" t="s">
        <v>1138</v>
      </c>
      <c r="H3831" t="s">
        <v>25</v>
      </c>
      <c r="I3831" t="s">
        <v>2065</v>
      </c>
      <c r="L3831" t="s">
        <v>312</v>
      </c>
      <c r="M3831" t="s">
        <v>317</v>
      </c>
    </row>
    <row r="3832" spans="1:27" x14ac:dyDescent="0.3">
      <c r="A3832" t="s">
        <v>3793</v>
      </c>
      <c r="B3832" t="s">
        <v>2733</v>
      </c>
      <c r="C3832" t="s">
        <v>308</v>
      </c>
      <c r="D3832" t="s">
        <v>3799</v>
      </c>
      <c r="E3832" t="s">
        <v>1134</v>
      </c>
      <c r="H3832" t="s">
        <v>25</v>
      </c>
      <c r="I3832" t="s">
        <v>2069</v>
      </c>
      <c r="L3832" t="s">
        <v>312</v>
      </c>
      <c r="M3832" t="s">
        <v>317</v>
      </c>
    </row>
    <row r="3833" spans="1:27" x14ac:dyDescent="0.3">
      <c r="A3833" t="s">
        <v>3793</v>
      </c>
      <c r="B3833" t="s">
        <v>2733</v>
      </c>
      <c r="C3833" t="s">
        <v>308</v>
      </c>
      <c r="D3833" t="s">
        <v>3800</v>
      </c>
      <c r="E3833" t="s">
        <v>1138</v>
      </c>
      <c r="H3833" t="s">
        <v>25</v>
      </c>
      <c r="I3833" t="s">
        <v>2746</v>
      </c>
      <c r="L3833" t="s">
        <v>312</v>
      </c>
      <c r="M3833" t="s">
        <v>317</v>
      </c>
    </row>
    <row r="3834" spans="1:27" x14ac:dyDescent="0.3">
      <c r="A3834" t="s">
        <v>3793</v>
      </c>
      <c r="B3834" t="s">
        <v>2733</v>
      </c>
      <c r="C3834" t="s">
        <v>308</v>
      </c>
      <c r="D3834" t="s">
        <v>3801</v>
      </c>
      <c r="E3834" t="s">
        <v>341</v>
      </c>
      <c r="H3834" t="s">
        <v>25</v>
      </c>
      <c r="I3834" t="s">
        <v>342</v>
      </c>
      <c r="L3834" t="s">
        <v>312</v>
      </c>
      <c r="M3834" t="s">
        <v>343</v>
      </c>
    </row>
    <row r="3835" spans="1:27" x14ac:dyDescent="0.3">
      <c r="A3835" t="s">
        <v>3793</v>
      </c>
      <c r="B3835" t="s">
        <v>2733</v>
      </c>
      <c r="C3835" t="s">
        <v>22</v>
      </c>
      <c r="D3835" t="s">
        <v>23</v>
      </c>
      <c r="E3835" t="s">
        <v>28</v>
      </c>
    </row>
    <row r="3836" spans="1:27" x14ac:dyDescent="0.3">
      <c r="A3836" t="s">
        <v>3793</v>
      </c>
      <c r="B3836" t="s">
        <v>2733</v>
      </c>
      <c r="C3836" t="s">
        <v>2748</v>
      </c>
      <c r="D3836">
        <v>1.5</v>
      </c>
      <c r="H3836" t="s">
        <v>312</v>
      </c>
      <c r="I3836" t="s">
        <v>385</v>
      </c>
    </row>
    <row r="3837" spans="1:27" x14ac:dyDescent="0.3">
      <c r="A3837" t="s">
        <v>3793</v>
      </c>
      <c r="B3837" t="s">
        <v>2733</v>
      </c>
      <c r="C3837" t="s">
        <v>378</v>
      </c>
      <c r="D3837">
        <v>135</v>
      </c>
      <c r="H3837" t="s">
        <v>312</v>
      </c>
      <c r="I3837" t="s">
        <v>327</v>
      </c>
    </row>
    <row r="3838" spans="1:27" x14ac:dyDescent="0.3">
      <c r="A3838" t="s">
        <v>3793</v>
      </c>
      <c r="B3838" t="s">
        <v>2733</v>
      </c>
      <c r="C3838" t="s">
        <v>380</v>
      </c>
      <c r="D3838" t="s">
        <v>678</v>
      </c>
      <c r="E3838" t="s">
        <v>279</v>
      </c>
      <c r="F3838" t="s">
        <v>25</v>
      </c>
      <c r="G3838" t="s">
        <v>3802</v>
      </c>
      <c r="J3838" t="s">
        <v>2089</v>
      </c>
      <c r="K3838" t="s">
        <v>2750</v>
      </c>
      <c r="N3838" t="s">
        <v>2751</v>
      </c>
      <c r="O3838">
        <v>1</v>
      </c>
      <c r="R3838" t="s">
        <v>2752</v>
      </c>
      <c r="S3838">
        <v>158</v>
      </c>
      <c r="V3838" t="s">
        <v>2753</v>
      </c>
      <c r="W3838" t="s">
        <v>2754</v>
      </c>
      <c r="Z3838" t="s">
        <v>2755</v>
      </c>
      <c r="AA3838" t="s">
        <v>2756</v>
      </c>
    </row>
    <row r="3839" spans="1:27" x14ac:dyDescent="0.3">
      <c r="A3839" t="s">
        <v>3793</v>
      </c>
      <c r="B3839" t="s">
        <v>2733</v>
      </c>
      <c r="C3839" t="s">
        <v>16</v>
      </c>
      <c r="D3839" t="s">
        <v>186</v>
      </c>
      <c r="E3839" t="s">
        <v>37</v>
      </c>
    </row>
    <row r="3840" spans="1:27" x14ac:dyDescent="0.3">
      <c r="A3840" t="s">
        <v>3793</v>
      </c>
      <c r="B3840" t="s">
        <v>2733</v>
      </c>
      <c r="C3840" t="s">
        <v>11</v>
      </c>
      <c r="D3840" t="s">
        <v>12</v>
      </c>
      <c r="E3840" t="s">
        <v>13</v>
      </c>
      <c r="H3840" t="s">
        <v>382</v>
      </c>
      <c r="I3840" t="s">
        <v>3803</v>
      </c>
      <c r="L3840" t="s">
        <v>14</v>
      </c>
      <c r="M3840" t="s">
        <v>3803</v>
      </c>
    </row>
    <row r="3841" spans="1:13" x14ac:dyDescent="0.3">
      <c r="A3841" t="s">
        <v>3796</v>
      </c>
      <c r="B3841" t="s">
        <v>527</v>
      </c>
      <c r="C3841" t="s">
        <v>11</v>
      </c>
      <c r="D3841" t="s">
        <v>12</v>
      </c>
      <c r="E3841" t="s">
        <v>391</v>
      </c>
      <c r="H3841" t="s">
        <v>392</v>
      </c>
      <c r="I3841" t="s">
        <v>2758</v>
      </c>
      <c r="L3841" t="s">
        <v>394</v>
      </c>
      <c r="M3841" t="s">
        <v>3803</v>
      </c>
    </row>
    <row r="3842" spans="1:13" x14ac:dyDescent="0.3">
      <c r="A3842" t="s">
        <v>3795</v>
      </c>
      <c r="B3842" t="s">
        <v>2738</v>
      </c>
      <c r="C3842" t="s">
        <v>11</v>
      </c>
      <c r="D3842" t="s">
        <v>12</v>
      </c>
      <c r="E3842" t="s">
        <v>391</v>
      </c>
      <c r="H3842" t="s">
        <v>392</v>
      </c>
      <c r="I3842" t="s">
        <v>3804</v>
      </c>
      <c r="L3842" t="s">
        <v>394</v>
      </c>
      <c r="M3842" t="s">
        <v>3803</v>
      </c>
    </row>
    <row r="3843" spans="1:13" x14ac:dyDescent="0.3">
      <c r="A3843" t="s">
        <v>3794</v>
      </c>
      <c r="B3843" t="s">
        <v>2735</v>
      </c>
      <c r="C3843" t="s">
        <v>308</v>
      </c>
      <c r="D3843" t="s">
        <v>3805</v>
      </c>
      <c r="E3843" t="s">
        <v>406</v>
      </c>
      <c r="H3843" t="s">
        <v>25</v>
      </c>
      <c r="I3843" t="s">
        <v>2761</v>
      </c>
      <c r="L3843" t="s">
        <v>312</v>
      </c>
      <c r="M3843" t="s">
        <v>404</v>
      </c>
    </row>
    <row r="3844" spans="1:13" x14ac:dyDescent="0.3">
      <c r="A3844" t="s">
        <v>3805</v>
      </c>
      <c r="B3844" t="s">
        <v>406</v>
      </c>
      <c r="C3844" t="s">
        <v>11</v>
      </c>
      <c r="D3844" t="s">
        <v>12</v>
      </c>
      <c r="E3844" t="s">
        <v>391</v>
      </c>
      <c r="H3844" t="s">
        <v>392</v>
      </c>
      <c r="I3844" t="s">
        <v>3806</v>
      </c>
      <c r="L3844" t="s">
        <v>394</v>
      </c>
      <c r="M3844" t="s">
        <v>3803</v>
      </c>
    </row>
    <row r="3845" spans="1:13" x14ac:dyDescent="0.3">
      <c r="A3845" t="s">
        <v>3798</v>
      </c>
      <c r="B3845" t="s">
        <v>1138</v>
      </c>
      <c r="C3845" t="s">
        <v>11</v>
      </c>
      <c r="D3845" t="s">
        <v>12</v>
      </c>
      <c r="E3845" t="s">
        <v>391</v>
      </c>
      <c r="H3845" t="s">
        <v>392</v>
      </c>
      <c r="I3845" t="s">
        <v>3807</v>
      </c>
      <c r="L3845" t="s">
        <v>394</v>
      </c>
      <c r="M3845" t="s">
        <v>3803</v>
      </c>
    </row>
    <row r="3846" spans="1:13" x14ac:dyDescent="0.3">
      <c r="A3846" t="s">
        <v>3801</v>
      </c>
      <c r="B3846" t="s">
        <v>341</v>
      </c>
      <c r="C3846" t="s">
        <v>11</v>
      </c>
      <c r="D3846" t="s">
        <v>12</v>
      </c>
      <c r="E3846" t="s">
        <v>391</v>
      </c>
      <c r="H3846" t="s">
        <v>392</v>
      </c>
      <c r="I3846" t="s">
        <v>3808</v>
      </c>
      <c r="L3846" t="s">
        <v>394</v>
      </c>
      <c r="M3846" t="s">
        <v>3803</v>
      </c>
    </row>
    <row r="3847" spans="1:13" x14ac:dyDescent="0.3">
      <c r="A3847" t="s">
        <v>3799</v>
      </c>
      <c r="B3847" t="s">
        <v>1134</v>
      </c>
      <c r="C3847" t="s">
        <v>11</v>
      </c>
      <c r="D3847" t="s">
        <v>12</v>
      </c>
      <c r="E3847" t="s">
        <v>391</v>
      </c>
      <c r="H3847" t="s">
        <v>392</v>
      </c>
      <c r="I3847" t="s">
        <v>3809</v>
      </c>
      <c r="L3847" t="s">
        <v>394</v>
      </c>
      <c r="M3847" t="s">
        <v>3803</v>
      </c>
    </row>
    <row r="3848" spans="1:13" x14ac:dyDescent="0.3">
      <c r="A3848" t="s">
        <v>3800</v>
      </c>
      <c r="B3848" t="s">
        <v>1138</v>
      </c>
      <c r="C3848" t="s">
        <v>11</v>
      </c>
      <c r="D3848" t="s">
        <v>12</v>
      </c>
      <c r="E3848" t="s">
        <v>391</v>
      </c>
      <c r="H3848" t="s">
        <v>392</v>
      </c>
      <c r="I3848" t="s">
        <v>3810</v>
      </c>
      <c r="L3848" t="s">
        <v>394</v>
      </c>
      <c r="M3848" t="s">
        <v>3803</v>
      </c>
    </row>
    <row r="3849" spans="1:13" x14ac:dyDescent="0.3">
      <c r="A3849" t="s">
        <v>3797</v>
      </c>
      <c r="B3849" t="s">
        <v>2077</v>
      </c>
      <c r="C3849" t="s">
        <v>11</v>
      </c>
      <c r="D3849" t="s">
        <v>12</v>
      </c>
      <c r="E3849" t="s">
        <v>391</v>
      </c>
      <c r="H3849" t="s">
        <v>392</v>
      </c>
      <c r="I3849" t="s">
        <v>2128</v>
      </c>
      <c r="L3849" t="s">
        <v>394</v>
      </c>
      <c r="M3849" t="s">
        <v>3803</v>
      </c>
    </row>
    <row r="3850" spans="1:13" x14ac:dyDescent="0.3">
      <c r="A3850" t="s">
        <v>3811</v>
      </c>
      <c r="B3850" t="s">
        <v>2733</v>
      </c>
      <c r="C3850" t="s">
        <v>280</v>
      </c>
      <c r="D3850" t="s">
        <v>3812</v>
      </c>
      <c r="E3850" t="s">
        <v>2735</v>
      </c>
      <c r="H3850" t="s">
        <v>25</v>
      </c>
      <c r="I3850" t="s">
        <v>2736</v>
      </c>
    </row>
    <row r="3851" spans="1:13" x14ac:dyDescent="0.3">
      <c r="A3851" t="s">
        <v>3811</v>
      </c>
      <c r="B3851" t="s">
        <v>2733</v>
      </c>
      <c r="C3851" t="s">
        <v>308</v>
      </c>
      <c r="D3851" t="s">
        <v>3813</v>
      </c>
      <c r="E3851" t="s">
        <v>2738</v>
      </c>
      <c r="H3851" t="s">
        <v>25</v>
      </c>
      <c r="I3851" t="s">
        <v>2739</v>
      </c>
      <c r="L3851" t="s">
        <v>312</v>
      </c>
      <c r="M3851" t="s">
        <v>327</v>
      </c>
    </row>
    <row r="3852" spans="1:13" x14ac:dyDescent="0.3">
      <c r="A3852" t="s">
        <v>3811</v>
      </c>
      <c r="B3852" t="s">
        <v>2733</v>
      </c>
      <c r="C3852" t="s">
        <v>308</v>
      </c>
      <c r="D3852" t="s">
        <v>3814</v>
      </c>
      <c r="E3852" t="s">
        <v>527</v>
      </c>
      <c r="H3852" t="s">
        <v>25</v>
      </c>
      <c r="I3852" t="s">
        <v>2741</v>
      </c>
      <c r="L3852" t="s">
        <v>312</v>
      </c>
      <c r="M3852" t="s">
        <v>343</v>
      </c>
    </row>
    <row r="3853" spans="1:13" x14ac:dyDescent="0.3">
      <c r="A3853" t="s">
        <v>3811</v>
      </c>
      <c r="B3853" t="s">
        <v>2733</v>
      </c>
      <c r="C3853" t="s">
        <v>308</v>
      </c>
      <c r="D3853" t="s">
        <v>3815</v>
      </c>
      <c r="E3853" t="s">
        <v>2077</v>
      </c>
      <c r="H3853" t="s">
        <v>25</v>
      </c>
      <c r="I3853" t="s">
        <v>2078</v>
      </c>
      <c r="L3853" t="s">
        <v>312</v>
      </c>
      <c r="M3853" t="s">
        <v>1687</v>
      </c>
    </row>
    <row r="3854" spans="1:13" x14ac:dyDescent="0.3">
      <c r="A3854" t="s">
        <v>3811</v>
      </c>
      <c r="B3854" t="s">
        <v>2733</v>
      </c>
      <c r="C3854" t="s">
        <v>308</v>
      </c>
      <c r="D3854" t="s">
        <v>3816</v>
      </c>
      <c r="E3854" t="s">
        <v>1138</v>
      </c>
      <c r="H3854" t="s">
        <v>25</v>
      </c>
      <c r="I3854" t="s">
        <v>2065</v>
      </c>
      <c r="L3854" t="s">
        <v>312</v>
      </c>
      <c r="M3854" t="s">
        <v>317</v>
      </c>
    </row>
    <row r="3855" spans="1:13" x14ac:dyDescent="0.3">
      <c r="A3855" t="s">
        <v>3811</v>
      </c>
      <c r="B3855" t="s">
        <v>2733</v>
      </c>
      <c r="C3855" t="s">
        <v>308</v>
      </c>
      <c r="D3855" t="s">
        <v>3817</v>
      </c>
      <c r="E3855" t="s">
        <v>1134</v>
      </c>
      <c r="H3855" t="s">
        <v>25</v>
      </c>
      <c r="I3855" t="s">
        <v>2069</v>
      </c>
      <c r="L3855" t="s">
        <v>312</v>
      </c>
      <c r="M3855" t="s">
        <v>317</v>
      </c>
    </row>
    <row r="3856" spans="1:13" x14ac:dyDescent="0.3">
      <c r="A3856" t="s">
        <v>3811</v>
      </c>
      <c r="B3856" t="s">
        <v>2733</v>
      </c>
      <c r="C3856" t="s">
        <v>308</v>
      </c>
      <c r="D3856" t="s">
        <v>3818</v>
      </c>
      <c r="E3856" t="s">
        <v>1138</v>
      </c>
      <c r="H3856" t="s">
        <v>25</v>
      </c>
      <c r="I3856" t="s">
        <v>2746</v>
      </c>
      <c r="L3856" t="s">
        <v>312</v>
      </c>
      <c r="M3856" t="s">
        <v>317</v>
      </c>
    </row>
    <row r="3857" spans="1:27" x14ac:dyDescent="0.3">
      <c r="A3857" t="s">
        <v>3811</v>
      </c>
      <c r="B3857" t="s">
        <v>2733</v>
      </c>
      <c r="C3857" t="s">
        <v>308</v>
      </c>
      <c r="D3857" t="s">
        <v>3819</v>
      </c>
      <c r="E3857" t="s">
        <v>341</v>
      </c>
      <c r="H3857" t="s">
        <v>25</v>
      </c>
      <c r="I3857" t="s">
        <v>342</v>
      </c>
      <c r="L3857" t="s">
        <v>312</v>
      </c>
      <c r="M3857" t="s">
        <v>343</v>
      </c>
    </row>
    <row r="3858" spans="1:27" x14ac:dyDescent="0.3">
      <c r="A3858" t="s">
        <v>3811</v>
      </c>
      <c r="B3858" t="s">
        <v>2733</v>
      </c>
      <c r="C3858" t="s">
        <v>22</v>
      </c>
      <c r="D3858" t="s">
        <v>23</v>
      </c>
      <c r="E3858" t="s">
        <v>28</v>
      </c>
    </row>
    <row r="3859" spans="1:27" x14ac:dyDescent="0.3">
      <c r="A3859" t="s">
        <v>3811</v>
      </c>
      <c r="B3859" t="s">
        <v>2733</v>
      </c>
      <c r="C3859" t="s">
        <v>2748</v>
      </c>
      <c r="D3859">
        <v>1.5</v>
      </c>
      <c r="H3859" t="s">
        <v>312</v>
      </c>
      <c r="I3859" t="s">
        <v>385</v>
      </c>
    </row>
    <row r="3860" spans="1:27" x14ac:dyDescent="0.3">
      <c r="A3860" t="s">
        <v>3811</v>
      </c>
      <c r="B3860" t="s">
        <v>2733</v>
      </c>
      <c r="C3860" t="s">
        <v>378</v>
      </c>
      <c r="D3860">
        <v>105</v>
      </c>
      <c r="H3860" t="s">
        <v>312</v>
      </c>
      <c r="I3860" t="s">
        <v>327</v>
      </c>
    </row>
    <row r="3861" spans="1:27" x14ac:dyDescent="0.3">
      <c r="A3861" t="s">
        <v>3811</v>
      </c>
      <c r="B3861" t="s">
        <v>2733</v>
      </c>
      <c r="C3861" t="s">
        <v>380</v>
      </c>
      <c r="D3861" t="s">
        <v>678</v>
      </c>
      <c r="E3861" t="s">
        <v>279</v>
      </c>
      <c r="F3861" t="s">
        <v>25</v>
      </c>
      <c r="G3861" t="s">
        <v>3820</v>
      </c>
      <c r="J3861" t="s">
        <v>2089</v>
      </c>
      <c r="K3861" t="s">
        <v>2750</v>
      </c>
      <c r="N3861" t="s">
        <v>2751</v>
      </c>
      <c r="O3861">
        <v>1</v>
      </c>
      <c r="R3861" t="s">
        <v>2752</v>
      </c>
      <c r="S3861">
        <v>158</v>
      </c>
      <c r="V3861" t="s">
        <v>2753</v>
      </c>
      <c r="W3861" t="s">
        <v>2754</v>
      </c>
      <c r="Z3861" t="s">
        <v>2755</v>
      </c>
      <c r="AA3861" t="s">
        <v>2756</v>
      </c>
    </row>
    <row r="3862" spans="1:27" x14ac:dyDescent="0.3">
      <c r="A3862" t="s">
        <v>3811</v>
      </c>
      <c r="B3862" t="s">
        <v>2733</v>
      </c>
      <c r="C3862" t="s">
        <v>16</v>
      </c>
      <c r="D3862" t="s">
        <v>184</v>
      </c>
      <c r="E3862" t="s">
        <v>37</v>
      </c>
    </row>
    <row r="3863" spans="1:27" x14ac:dyDescent="0.3">
      <c r="A3863" t="s">
        <v>3811</v>
      </c>
      <c r="B3863" t="s">
        <v>2733</v>
      </c>
      <c r="C3863" t="s">
        <v>11</v>
      </c>
      <c r="D3863" t="s">
        <v>12</v>
      </c>
      <c r="E3863" t="s">
        <v>13</v>
      </c>
      <c r="H3863" t="s">
        <v>382</v>
      </c>
      <c r="I3863" t="s">
        <v>3821</v>
      </c>
      <c r="L3863" t="s">
        <v>14</v>
      </c>
      <c r="M3863" t="s">
        <v>3821</v>
      </c>
    </row>
    <row r="3864" spans="1:27" x14ac:dyDescent="0.3">
      <c r="A3864" t="s">
        <v>3814</v>
      </c>
      <c r="B3864" t="s">
        <v>527</v>
      </c>
      <c r="C3864" t="s">
        <v>11</v>
      </c>
      <c r="D3864" t="s">
        <v>12</v>
      </c>
      <c r="E3864" t="s">
        <v>391</v>
      </c>
      <c r="H3864" t="s">
        <v>392</v>
      </c>
      <c r="I3864" t="s">
        <v>2758</v>
      </c>
      <c r="L3864" t="s">
        <v>394</v>
      </c>
      <c r="M3864" t="s">
        <v>3821</v>
      </c>
    </row>
    <row r="3865" spans="1:27" x14ac:dyDescent="0.3">
      <c r="A3865" t="s">
        <v>3813</v>
      </c>
      <c r="B3865" t="s">
        <v>2738</v>
      </c>
      <c r="C3865" t="s">
        <v>11</v>
      </c>
      <c r="D3865" t="s">
        <v>12</v>
      </c>
      <c r="E3865" t="s">
        <v>391</v>
      </c>
      <c r="H3865" t="s">
        <v>392</v>
      </c>
      <c r="I3865" t="s">
        <v>3822</v>
      </c>
      <c r="L3865" t="s">
        <v>394</v>
      </c>
      <c r="M3865" t="s">
        <v>3821</v>
      </c>
    </row>
    <row r="3866" spans="1:27" x14ac:dyDescent="0.3">
      <c r="A3866" t="s">
        <v>3812</v>
      </c>
      <c r="B3866" t="s">
        <v>2735</v>
      </c>
      <c r="C3866" t="s">
        <v>308</v>
      </c>
      <c r="D3866" t="s">
        <v>3823</v>
      </c>
      <c r="E3866" t="s">
        <v>406</v>
      </c>
      <c r="H3866" t="s">
        <v>25</v>
      </c>
      <c r="I3866" t="s">
        <v>2761</v>
      </c>
      <c r="L3866" t="s">
        <v>312</v>
      </c>
      <c r="M3866" t="s">
        <v>404</v>
      </c>
    </row>
    <row r="3867" spans="1:27" x14ac:dyDescent="0.3">
      <c r="A3867" t="s">
        <v>3823</v>
      </c>
      <c r="B3867" t="s">
        <v>406</v>
      </c>
      <c r="C3867" t="s">
        <v>11</v>
      </c>
      <c r="D3867" t="s">
        <v>12</v>
      </c>
      <c r="E3867" t="s">
        <v>391</v>
      </c>
      <c r="H3867" t="s">
        <v>392</v>
      </c>
      <c r="I3867" t="s">
        <v>3824</v>
      </c>
      <c r="L3867" t="s">
        <v>394</v>
      </c>
      <c r="M3867" t="s">
        <v>3821</v>
      </c>
    </row>
    <row r="3868" spans="1:27" x14ac:dyDescent="0.3">
      <c r="A3868" t="s">
        <v>3816</v>
      </c>
      <c r="B3868" t="s">
        <v>1138</v>
      </c>
      <c r="C3868" t="s">
        <v>11</v>
      </c>
      <c r="D3868" t="s">
        <v>12</v>
      </c>
      <c r="E3868" t="s">
        <v>391</v>
      </c>
      <c r="H3868" t="s">
        <v>392</v>
      </c>
      <c r="I3868" t="s">
        <v>3825</v>
      </c>
      <c r="L3868" t="s">
        <v>394</v>
      </c>
      <c r="M3868" t="s">
        <v>3821</v>
      </c>
    </row>
    <row r="3869" spans="1:27" x14ac:dyDescent="0.3">
      <c r="A3869" t="s">
        <v>3819</v>
      </c>
      <c r="B3869" t="s">
        <v>341</v>
      </c>
      <c r="C3869" t="s">
        <v>11</v>
      </c>
      <c r="D3869" t="s">
        <v>12</v>
      </c>
      <c r="E3869" t="s">
        <v>391</v>
      </c>
      <c r="H3869" t="s">
        <v>392</v>
      </c>
      <c r="I3869" t="s">
        <v>3826</v>
      </c>
      <c r="L3869" t="s">
        <v>394</v>
      </c>
      <c r="M3869" t="s">
        <v>3821</v>
      </c>
    </row>
    <row r="3870" spans="1:27" x14ac:dyDescent="0.3">
      <c r="A3870" t="s">
        <v>3817</v>
      </c>
      <c r="B3870" t="s">
        <v>1134</v>
      </c>
      <c r="C3870" t="s">
        <v>11</v>
      </c>
      <c r="D3870" t="s">
        <v>12</v>
      </c>
      <c r="E3870" t="s">
        <v>391</v>
      </c>
      <c r="H3870" t="s">
        <v>392</v>
      </c>
      <c r="I3870" t="s">
        <v>3827</v>
      </c>
      <c r="L3870" t="s">
        <v>394</v>
      </c>
      <c r="M3870" t="s">
        <v>3821</v>
      </c>
    </row>
    <row r="3871" spans="1:27" x14ac:dyDescent="0.3">
      <c r="A3871" t="s">
        <v>3818</v>
      </c>
      <c r="B3871" t="s">
        <v>1138</v>
      </c>
      <c r="C3871" t="s">
        <v>11</v>
      </c>
      <c r="D3871" t="s">
        <v>12</v>
      </c>
      <c r="E3871" t="s">
        <v>391</v>
      </c>
      <c r="H3871" t="s">
        <v>392</v>
      </c>
      <c r="I3871" t="s">
        <v>3828</v>
      </c>
      <c r="L3871" t="s">
        <v>394</v>
      </c>
      <c r="M3871" t="s">
        <v>3821</v>
      </c>
    </row>
    <row r="3872" spans="1:27" x14ac:dyDescent="0.3">
      <c r="A3872" t="s">
        <v>3815</v>
      </c>
      <c r="B3872" t="s">
        <v>2077</v>
      </c>
      <c r="C3872" t="s">
        <v>11</v>
      </c>
      <c r="D3872" t="s">
        <v>12</v>
      </c>
      <c r="E3872" t="s">
        <v>391</v>
      </c>
      <c r="H3872" t="s">
        <v>392</v>
      </c>
      <c r="I3872" t="s">
        <v>2128</v>
      </c>
      <c r="L3872" t="s">
        <v>394</v>
      </c>
      <c r="M3872" t="s">
        <v>3821</v>
      </c>
    </row>
    <row r="3873" spans="1:27" x14ac:dyDescent="0.3">
      <c r="A3873" t="s">
        <v>3829</v>
      </c>
      <c r="B3873" t="s">
        <v>2733</v>
      </c>
      <c r="C3873" t="s">
        <v>280</v>
      </c>
      <c r="D3873" t="s">
        <v>3830</v>
      </c>
      <c r="E3873" t="s">
        <v>2735</v>
      </c>
      <c r="H3873" t="s">
        <v>25</v>
      </c>
      <c r="I3873" t="s">
        <v>2736</v>
      </c>
    </row>
    <row r="3874" spans="1:27" x14ac:dyDescent="0.3">
      <c r="A3874" t="s">
        <v>3829</v>
      </c>
      <c r="B3874" t="s">
        <v>2733</v>
      </c>
      <c r="C3874" t="s">
        <v>308</v>
      </c>
      <c r="D3874" t="s">
        <v>3831</v>
      </c>
      <c r="E3874" t="s">
        <v>2738</v>
      </c>
      <c r="H3874" t="s">
        <v>25</v>
      </c>
      <c r="I3874" t="s">
        <v>2739</v>
      </c>
      <c r="L3874" t="s">
        <v>312</v>
      </c>
      <c r="M3874" t="s">
        <v>327</v>
      </c>
    </row>
    <row r="3875" spans="1:27" x14ac:dyDescent="0.3">
      <c r="A3875" t="s">
        <v>3829</v>
      </c>
      <c r="B3875" t="s">
        <v>2733</v>
      </c>
      <c r="C3875" t="s">
        <v>308</v>
      </c>
      <c r="D3875" t="s">
        <v>3832</v>
      </c>
      <c r="E3875" t="s">
        <v>527</v>
      </c>
      <c r="H3875" t="s">
        <v>25</v>
      </c>
      <c r="I3875" t="s">
        <v>2741</v>
      </c>
      <c r="L3875" t="s">
        <v>312</v>
      </c>
      <c r="M3875" t="s">
        <v>343</v>
      </c>
    </row>
    <row r="3876" spans="1:27" x14ac:dyDescent="0.3">
      <c r="A3876" t="s">
        <v>3829</v>
      </c>
      <c r="B3876" t="s">
        <v>2733</v>
      </c>
      <c r="C3876" t="s">
        <v>308</v>
      </c>
      <c r="D3876" t="s">
        <v>3833</v>
      </c>
      <c r="E3876" t="s">
        <v>2077</v>
      </c>
      <c r="H3876" t="s">
        <v>25</v>
      </c>
      <c r="I3876" t="s">
        <v>2078</v>
      </c>
      <c r="L3876" t="s">
        <v>312</v>
      </c>
      <c r="M3876" t="s">
        <v>1687</v>
      </c>
    </row>
    <row r="3877" spans="1:27" x14ac:dyDescent="0.3">
      <c r="A3877" t="s">
        <v>3829</v>
      </c>
      <c r="B3877" t="s">
        <v>2733</v>
      </c>
      <c r="C3877" t="s">
        <v>308</v>
      </c>
      <c r="D3877" t="s">
        <v>3834</v>
      </c>
      <c r="E3877" t="s">
        <v>1138</v>
      </c>
      <c r="H3877" t="s">
        <v>25</v>
      </c>
      <c r="I3877" t="s">
        <v>2065</v>
      </c>
      <c r="L3877" t="s">
        <v>312</v>
      </c>
      <c r="M3877" t="s">
        <v>317</v>
      </c>
    </row>
    <row r="3878" spans="1:27" x14ac:dyDescent="0.3">
      <c r="A3878" t="s">
        <v>3829</v>
      </c>
      <c r="B3878" t="s">
        <v>2733</v>
      </c>
      <c r="C3878" t="s">
        <v>308</v>
      </c>
      <c r="D3878" t="s">
        <v>3835</v>
      </c>
      <c r="E3878" t="s">
        <v>1134</v>
      </c>
      <c r="H3878" t="s">
        <v>25</v>
      </c>
      <c r="I3878" t="s">
        <v>2069</v>
      </c>
      <c r="L3878" t="s">
        <v>312</v>
      </c>
      <c r="M3878" t="s">
        <v>317</v>
      </c>
    </row>
    <row r="3879" spans="1:27" x14ac:dyDescent="0.3">
      <c r="A3879" t="s">
        <v>3829</v>
      </c>
      <c r="B3879" t="s">
        <v>2733</v>
      </c>
      <c r="C3879" t="s">
        <v>308</v>
      </c>
      <c r="D3879" t="s">
        <v>3836</v>
      </c>
      <c r="E3879" t="s">
        <v>1138</v>
      </c>
      <c r="H3879" t="s">
        <v>25</v>
      </c>
      <c r="I3879" t="s">
        <v>2746</v>
      </c>
      <c r="L3879" t="s">
        <v>312</v>
      </c>
      <c r="M3879" t="s">
        <v>317</v>
      </c>
    </row>
    <row r="3880" spans="1:27" x14ac:dyDescent="0.3">
      <c r="A3880" t="s">
        <v>3829</v>
      </c>
      <c r="B3880" t="s">
        <v>2733</v>
      </c>
      <c r="C3880" t="s">
        <v>308</v>
      </c>
      <c r="D3880" t="s">
        <v>3837</v>
      </c>
      <c r="E3880" t="s">
        <v>341</v>
      </c>
      <c r="H3880" t="s">
        <v>25</v>
      </c>
      <c r="I3880" t="s">
        <v>342</v>
      </c>
      <c r="L3880" t="s">
        <v>312</v>
      </c>
      <c r="M3880" t="s">
        <v>343</v>
      </c>
    </row>
    <row r="3881" spans="1:27" x14ac:dyDescent="0.3">
      <c r="A3881" t="s">
        <v>3829</v>
      </c>
      <c r="B3881" t="s">
        <v>2733</v>
      </c>
      <c r="C3881" t="s">
        <v>22</v>
      </c>
      <c r="D3881" t="s">
        <v>23</v>
      </c>
      <c r="E3881" t="s">
        <v>28</v>
      </c>
    </row>
    <row r="3882" spans="1:27" x14ac:dyDescent="0.3">
      <c r="A3882" t="s">
        <v>3829</v>
      </c>
      <c r="B3882" t="s">
        <v>2733</v>
      </c>
      <c r="C3882" t="s">
        <v>2748</v>
      </c>
      <c r="D3882">
        <v>2</v>
      </c>
      <c r="H3882" t="s">
        <v>312</v>
      </c>
      <c r="I3882" t="s">
        <v>385</v>
      </c>
    </row>
    <row r="3883" spans="1:27" x14ac:dyDescent="0.3">
      <c r="A3883" t="s">
        <v>3829</v>
      </c>
      <c r="B3883" t="s">
        <v>2733</v>
      </c>
      <c r="C3883" t="s">
        <v>378</v>
      </c>
      <c r="D3883">
        <v>135</v>
      </c>
      <c r="H3883" t="s">
        <v>312</v>
      </c>
      <c r="I3883" t="s">
        <v>327</v>
      </c>
    </row>
    <row r="3884" spans="1:27" x14ac:dyDescent="0.3">
      <c r="A3884" t="s">
        <v>3829</v>
      </c>
      <c r="B3884" t="s">
        <v>2733</v>
      </c>
      <c r="C3884" t="s">
        <v>380</v>
      </c>
      <c r="D3884" t="s">
        <v>798</v>
      </c>
      <c r="E3884" t="s">
        <v>279</v>
      </c>
      <c r="F3884" t="s">
        <v>25</v>
      </c>
      <c r="G3884" t="s">
        <v>3838</v>
      </c>
      <c r="J3884" t="s">
        <v>2089</v>
      </c>
      <c r="K3884" t="s">
        <v>2750</v>
      </c>
      <c r="N3884" t="s">
        <v>2751</v>
      </c>
      <c r="O3884">
        <v>4</v>
      </c>
      <c r="R3884" t="s">
        <v>2752</v>
      </c>
      <c r="S3884">
        <v>248</v>
      </c>
      <c r="V3884" t="s">
        <v>2753</v>
      </c>
      <c r="W3884" t="s">
        <v>2754</v>
      </c>
      <c r="Z3884" t="s">
        <v>2755</v>
      </c>
      <c r="AA3884" t="s">
        <v>2756</v>
      </c>
    </row>
    <row r="3885" spans="1:27" x14ac:dyDescent="0.3">
      <c r="A3885" t="s">
        <v>3829</v>
      </c>
      <c r="B3885" t="s">
        <v>2733</v>
      </c>
      <c r="C3885" t="s">
        <v>16</v>
      </c>
      <c r="D3885" t="s">
        <v>182</v>
      </c>
      <c r="E3885" t="s">
        <v>37</v>
      </c>
    </row>
    <row r="3886" spans="1:27" x14ac:dyDescent="0.3">
      <c r="A3886" t="s">
        <v>3829</v>
      </c>
      <c r="B3886" t="s">
        <v>2733</v>
      </c>
      <c r="C3886" t="s">
        <v>11</v>
      </c>
      <c r="D3886" t="s">
        <v>12</v>
      </c>
      <c r="E3886" t="s">
        <v>13</v>
      </c>
      <c r="H3886" t="s">
        <v>382</v>
      </c>
      <c r="I3886" t="s">
        <v>3839</v>
      </c>
      <c r="L3886" t="s">
        <v>14</v>
      </c>
      <c r="M3886" t="s">
        <v>3839</v>
      </c>
    </row>
    <row r="3887" spans="1:27" x14ac:dyDescent="0.3">
      <c r="A3887" t="s">
        <v>3832</v>
      </c>
      <c r="B3887" t="s">
        <v>527</v>
      </c>
      <c r="C3887" t="s">
        <v>11</v>
      </c>
      <c r="D3887" t="s">
        <v>12</v>
      </c>
      <c r="E3887" t="s">
        <v>391</v>
      </c>
      <c r="H3887" t="s">
        <v>392</v>
      </c>
      <c r="I3887" t="s">
        <v>2758</v>
      </c>
      <c r="L3887" t="s">
        <v>394</v>
      </c>
      <c r="M3887" t="s">
        <v>3839</v>
      </c>
    </row>
    <row r="3888" spans="1:27" x14ac:dyDescent="0.3">
      <c r="A3888" t="s">
        <v>3831</v>
      </c>
      <c r="B3888" t="s">
        <v>2738</v>
      </c>
      <c r="C3888" t="s">
        <v>11</v>
      </c>
      <c r="D3888" t="s">
        <v>12</v>
      </c>
      <c r="E3888" t="s">
        <v>391</v>
      </c>
      <c r="H3888" t="s">
        <v>392</v>
      </c>
      <c r="I3888" t="s">
        <v>3840</v>
      </c>
      <c r="L3888" t="s">
        <v>394</v>
      </c>
      <c r="M3888" t="s">
        <v>3839</v>
      </c>
    </row>
    <row r="3889" spans="1:13" x14ac:dyDescent="0.3">
      <c r="A3889" t="s">
        <v>3830</v>
      </c>
      <c r="B3889" t="s">
        <v>2735</v>
      </c>
      <c r="C3889" t="s">
        <v>308</v>
      </c>
      <c r="D3889" t="s">
        <v>3841</v>
      </c>
      <c r="E3889" t="s">
        <v>406</v>
      </c>
      <c r="H3889" t="s">
        <v>25</v>
      </c>
      <c r="I3889" t="s">
        <v>2761</v>
      </c>
      <c r="L3889" t="s">
        <v>312</v>
      </c>
      <c r="M3889" t="s">
        <v>404</v>
      </c>
    </row>
    <row r="3890" spans="1:13" x14ac:dyDescent="0.3">
      <c r="A3890" t="s">
        <v>3841</v>
      </c>
      <c r="B3890" t="s">
        <v>406</v>
      </c>
      <c r="C3890" t="s">
        <v>11</v>
      </c>
      <c r="D3890" t="s">
        <v>12</v>
      </c>
      <c r="E3890" t="s">
        <v>391</v>
      </c>
      <c r="H3890" t="s">
        <v>392</v>
      </c>
      <c r="I3890" t="s">
        <v>3842</v>
      </c>
      <c r="L3890" t="s">
        <v>394</v>
      </c>
      <c r="M3890" t="s">
        <v>3839</v>
      </c>
    </row>
    <row r="3891" spans="1:13" x14ac:dyDescent="0.3">
      <c r="A3891" t="s">
        <v>3834</v>
      </c>
      <c r="B3891" t="s">
        <v>1138</v>
      </c>
      <c r="C3891" t="s">
        <v>11</v>
      </c>
      <c r="D3891" t="s">
        <v>12</v>
      </c>
      <c r="E3891" t="s">
        <v>391</v>
      </c>
      <c r="H3891" t="s">
        <v>392</v>
      </c>
      <c r="I3891" t="s">
        <v>3843</v>
      </c>
      <c r="L3891" t="s">
        <v>394</v>
      </c>
      <c r="M3891" t="s">
        <v>3839</v>
      </c>
    </row>
    <row r="3892" spans="1:13" x14ac:dyDescent="0.3">
      <c r="A3892" t="s">
        <v>3837</v>
      </c>
      <c r="B3892" t="s">
        <v>341</v>
      </c>
      <c r="C3892" t="s">
        <v>11</v>
      </c>
      <c r="D3892" t="s">
        <v>12</v>
      </c>
      <c r="E3892" t="s">
        <v>391</v>
      </c>
      <c r="H3892" t="s">
        <v>392</v>
      </c>
      <c r="I3892" t="s">
        <v>3844</v>
      </c>
      <c r="L3892" t="s">
        <v>394</v>
      </c>
      <c r="M3892" t="s">
        <v>3839</v>
      </c>
    </row>
    <row r="3893" spans="1:13" x14ac:dyDescent="0.3">
      <c r="A3893" t="s">
        <v>3835</v>
      </c>
      <c r="B3893" t="s">
        <v>1134</v>
      </c>
      <c r="C3893" t="s">
        <v>11</v>
      </c>
      <c r="D3893" t="s">
        <v>12</v>
      </c>
      <c r="E3893" t="s">
        <v>391</v>
      </c>
      <c r="H3893" t="s">
        <v>392</v>
      </c>
      <c r="I3893" t="s">
        <v>3845</v>
      </c>
      <c r="L3893" t="s">
        <v>394</v>
      </c>
      <c r="M3893" t="s">
        <v>3839</v>
      </c>
    </row>
    <row r="3894" spans="1:13" x14ac:dyDescent="0.3">
      <c r="A3894" t="s">
        <v>3836</v>
      </c>
      <c r="B3894" t="s">
        <v>1138</v>
      </c>
      <c r="C3894" t="s">
        <v>11</v>
      </c>
      <c r="D3894" t="s">
        <v>12</v>
      </c>
      <c r="E3894" t="s">
        <v>391</v>
      </c>
      <c r="H3894" t="s">
        <v>392</v>
      </c>
      <c r="I3894" t="s">
        <v>3846</v>
      </c>
      <c r="L3894" t="s">
        <v>394</v>
      </c>
      <c r="M3894" t="s">
        <v>3839</v>
      </c>
    </row>
    <row r="3895" spans="1:13" x14ac:dyDescent="0.3">
      <c r="A3895" t="s">
        <v>3833</v>
      </c>
      <c r="B3895" t="s">
        <v>2077</v>
      </c>
      <c r="C3895" t="s">
        <v>11</v>
      </c>
      <c r="D3895" t="s">
        <v>12</v>
      </c>
      <c r="E3895" t="s">
        <v>391</v>
      </c>
      <c r="H3895" t="s">
        <v>392</v>
      </c>
      <c r="I3895" t="s">
        <v>2128</v>
      </c>
      <c r="L3895" t="s">
        <v>394</v>
      </c>
      <c r="M3895" t="s">
        <v>3839</v>
      </c>
    </row>
    <row r="3896" spans="1:13" x14ac:dyDescent="0.3">
      <c r="A3896" t="s">
        <v>3847</v>
      </c>
      <c r="B3896" t="s">
        <v>2733</v>
      </c>
      <c r="C3896" t="s">
        <v>280</v>
      </c>
      <c r="D3896" t="s">
        <v>3848</v>
      </c>
      <c r="E3896" t="s">
        <v>2735</v>
      </c>
      <c r="H3896" t="s">
        <v>25</v>
      </c>
      <c r="I3896" t="s">
        <v>2736</v>
      </c>
    </row>
    <row r="3897" spans="1:13" x14ac:dyDescent="0.3">
      <c r="A3897" t="s">
        <v>3847</v>
      </c>
      <c r="B3897" t="s">
        <v>2733</v>
      </c>
      <c r="C3897" t="s">
        <v>308</v>
      </c>
      <c r="D3897" t="s">
        <v>3849</v>
      </c>
      <c r="E3897" t="s">
        <v>2738</v>
      </c>
      <c r="H3897" t="s">
        <v>25</v>
      </c>
      <c r="I3897" t="s">
        <v>2739</v>
      </c>
      <c r="L3897" t="s">
        <v>312</v>
      </c>
      <c r="M3897" t="s">
        <v>327</v>
      </c>
    </row>
    <row r="3898" spans="1:13" x14ac:dyDescent="0.3">
      <c r="A3898" t="s">
        <v>3847</v>
      </c>
      <c r="B3898" t="s">
        <v>2733</v>
      </c>
      <c r="C3898" t="s">
        <v>308</v>
      </c>
      <c r="D3898" t="s">
        <v>3850</v>
      </c>
      <c r="E3898" t="s">
        <v>527</v>
      </c>
      <c r="H3898" t="s">
        <v>25</v>
      </c>
      <c r="I3898" t="s">
        <v>2741</v>
      </c>
      <c r="L3898" t="s">
        <v>312</v>
      </c>
      <c r="M3898" t="s">
        <v>343</v>
      </c>
    </row>
    <row r="3899" spans="1:13" x14ac:dyDescent="0.3">
      <c r="A3899" t="s">
        <v>3847</v>
      </c>
      <c r="B3899" t="s">
        <v>2733</v>
      </c>
      <c r="C3899" t="s">
        <v>308</v>
      </c>
      <c r="D3899" t="s">
        <v>3851</v>
      </c>
      <c r="E3899" t="s">
        <v>2077</v>
      </c>
      <c r="H3899" t="s">
        <v>25</v>
      </c>
      <c r="I3899" t="s">
        <v>2078</v>
      </c>
      <c r="L3899" t="s">
        <v>312</v>
      </c>
      <c r="M3899" t="s">
        <v>1687</v>
      </c>
    </row>
    <row r="3900" spans="1:13" x14ac:dyDescent="0.3">
      <c r="A3900" t="s">
        <v>3847</v>
      </c>
      <c r="B3900" t="s">
        <v>2733</v>
      </c>
      <c r="C3900" t="s">
        <v>308</v>
      </c>
      <c r="D3900" t="s">
        <v>3852</v>
      </c>
      <c r="E3900" t="s">
        <v>1138</v>
      </c>
      <c r="H3900" t="s">
        <v>25</v>
      </c>
      <c r="I3900" t="s">
        <v>2065</v>
      </c>
      <c r="L3900" t="s">
        <v>312</v>
      </c>
      <c r="M3900" t="s">
        <v>317</v>
      </c>
    </row>
    <row r="3901" spans="1:13" x14ac:dyDescent="0.3">
      <c r="A3901" t="s">
        <v>3847</v>
      </c>
      <c r="B3901" t="s">
        <v>2733</v>
      </c>
      <c r="C3901" t="s">
        <v>308</v>
      </c>
      <c r="D3901" t="s">
        <v>3853</v>
      </c>
      <c r="E3901" t="s">
        <v>1134</v>
      </c>
      <c r="H3901" t="s">
        <v>25</v>
      </c>
      <c r="I3901" t="s">
        <v>2069</v>
      </c>
      <c r="L3901" t="s">
        <v>312</v>
      </c>
      <c r="M3901" t="s">
        <v>317</v>
      </c>
    </row>
    <row r="3902" spans="1:13" x14ac:dyDescent="0.3">
      <c r="A3902" t="s">
        <v>3847</v>
      </c>
      <c r="B3902" t="s">
        <v>2733</v>
      </c>
      <c r="C3902" t="s">
        <v>308</v>
      </c>
      <c r="D3902" t="s">
        <v>3854</v>
      </c>
      <c r="E3902" t="s">
        <v>1138</v>
      </c>
      <c r="H3902" t="s">
        <v>25</v>
      </c>
      <c r="I3902" t="s">
        <v>2746</v>
      </c>
      <c r="L3902" t="s">
        <v>312</v>
      </c>
      <c r="M3902" t="s">
        <v>317</v>
      </c>
    </row>
    <row r="3903" spans="1:13" x14ac:dyDescent="0.3">
      <c r="A3903" t="s">
        <v>3847</v>
      </c>
      <c r="B3903" t="s">
        <v>2733</v>
      </c>
      <c r="C3903" t="s">
        <v>308</v>
      </c>
      <c r="D3903" t="s">
        <v>3855</v>
      </c>
      <c r="E3903" t="s">
        <v>341</v>
      </c>
      <c r="H3903" t="s">
        <v>25</v>
      </c>
      <c r="I3903" t="s">
        <v>342</v>
      </c>
      <c r="L3903" t="s">
        <v>312</v>
      </c>
      <c r="M3903" t="s">
        <v>343</v>
      </c>
    </row>
    <row r="3904" spans="1:13" x14ac:dyDescent="0.3">
      <c r="A3904" t="s">
        <v>3847</v>
      </c>
      <c r="B3904" t="s">
        <v>2733</v>
      </c>
      <c r="C3904" t="s">
        <v>22</v>
      </c>
      <c r="D3904" t="s">
        <v>23</v>
      </c>
      <c r="E3904" t="s">
        <v>28</v>
      </c>
    </row>
    <row r="3905" spans="1:27" x14ac:dyDescent="0.3">
      <c r="A3905" t="s">
        <v>3847</v>
      </c>
      <c r="B3905" t="s">
        <v>2733</v>
      </c>
      <c r="C3905" t="s">
        <v>2748</v>
      </c>
      <c r="D3905">
        <v>2</v>
      </c>
      <c r="H3905" t="s">
        <v>312</v>
      </c>
      <c r="I3905" t="s">
        <v>385</v>
      </c>
    </row>
    <row r="3906" spans="1:27" x14ac:dyDescent="0.3">
      <c r="A3906" t="s">
        <v>3847</v>
      </c>
      <c r="B3906" t="s">
        <v>2733</v>
      </c>
      <c r="C3906" t="s">
        <v>378</v>
      </c>
      <c r="D3906">
        <v>335</v>
      </c>
      <c r="H3906" t="s">
        <v>312</v>
      </c>
      <c r="I3906" t="s">
        <v>327</v>
      </c>
    </row>
    <row r="3907" spans="1:27" x14ac:dyDescent="0.3">
      <c r="A3907" t="s">
        <v>3847</v>
      </c>
      <c r="B3907" t="s">
        <v>2733</v>
      </c>
      <c r="C3907" t="s">
        <v>380</v>
      </c>
      <c r="D3907" t="s">
        <v>798</v>
      </c>
      <c r="E3907" t="s">
        <v>279</v>
      </c>
      <c r="F3907" t="s">
        <v>25</v>
      </c>
      <c r="G3907" t="s">
        <v>3856</v>
      </c>
      <c r="J3907" t="s">
        <v>2089</v>
      </c>
      <c r="K3907" t="s">
        <v>2750</v>
      </c>
      <c r="N3907" t="s">
        <v>2751</v>
      </c>
      <c r="O3907">
        <v>4</v>
      </c>
      <c r="R3907" t="s">
        <v>2752</v>
      </c>
      <c r="S3907">
        <v>248</v>
      </c>
      <c r="V3907" t="s">
        <v>2753</v>
      </c>
      <c r="W3907" t="s">
        <v>2754</v>
      </c>
      <c r="Z3907" t="s">
        <v>2755</v>
      </c>
      <c r="AA3907" t="s">
        <v>2756</v>
      </c>
    </row>
    <row r="3908" spans="1:27" x14ac:dyDescent="0.3">
      <c r="A3908" t="s">
        <v>3847</v>
      </c>
      <c r="B3908" t="s">
        <v>2733</v>
      </c>
      <c r="C3908" t="s">
        <v>16</v>
      </c>
      <c r="D3908" t="s">
        <v>180</v>
      </c>
      <c r="E3908" t="s">
        <v>37</v>
      </c>
    </row>
    <row r="3909" spans="1:27" x14ac:dyDescent="0.3">
      <c r="A3909" t="s">
        <v>3847</v>
      </c>
      <c r="B3909" t="s">
        <v>2733</v>
      </c>
      <c r="C3909" t="s">
        <v>11</v>
      </c>
      <c r="D3909" t="s">
        <v>12</v>
      </c>
      <c r="E3909" t="s">
        <v>13</v>
      </c>
      <c r="H3909" t="s">
        <v>382</v>
      </c>
      <c r="I3909" t="s">
        <v>3857</v>
      </c>
      <c r="L3909" t="s">
        <v>14</v>
      </c>
      <c r="M3909" t="s">
        <v>3857</v>
      </c>
    </row>
    <row r="3910" spans="1:27" x14ac:dyDescent="0.3">
      <c r="A3910" t="s">
        <v>3850</v>
      </c>
      <c r="B3910" t="s">
        <v>527</v>
      </c>
      <c r="C3910" t="s">
        <v>11</v>
      </c>
      <c r="D3910" t="s">
        <v>12</v>
      </c>
      <c r="E3910" t="s">
        <v>391</v>
      </c>
      <c r="H3910" t="s">
        <v>392</v>
      </c>
      <c r="I3910" t="s">
        <v>2758</v>
      </c>
      <c r="L3910" t="s">
        <v>394</v>
      </c>
      <c r="M3910" t="s">
        <v>3857</v>
      </c>
    </row>
    <row r="3911" spans="1:27" x14ac:dyDescent="0.3">
      <c r="A3911" t="s">
        <v>3849</v>
      </c>
      <c r="B3911" t="s">
        <v>2738</v>
      </c>
      <c r="C3911" t="s">
        <v>11</v>
      </c>
      <c r="D3911" t="s">
        <v>12</v>
      </c>
      <c r="E3911" t="s">
        <v>391</v>
      </c>
      <c r="H3911" t="s">
        <v>392</v>
      </c>
      <c r="I3911" t="s">
        <v>3858</v>
      </c>
      <c r="L3911" t="s">
        <v>394</v>
      </c>
      <c r="M3911" t="s">
        <v>3857</v>
      </c>
    </row>
    <row r="3912" spans="1:27" x14ac:dyDescent="0.3">
      <c r="A3912" t="s">
        <v>3848</v>
      </c>
      <c r="B3912" t="s">
        <v>2735</v>
      </c>
      <c r="C3912" t="s">
        <v>308</v>
      </c>
      <c r="D3912" t="s">
        <v>3859</v>
      </c>
      <c r="E3912" t="s">
        <v>406</v>
      </c>
      <c r="H3912" t="s">
        <v>25</v>
      </c>
      <c r="I3912" t="s">
        <v>2761</v>
      </c>
      <c r="L3912" t="s">
        <v>312</v>
      </c>
      <c r="M3912" t="s">
        <v>404</v>
      </c>
    </row>
    <row r="3913" spans="1:27" x14ac:dyDescent="0.3">
      <c r="A3913" t="s">
        <v>3859</v>
      </c>
      <c r="B3913" t="s">
        <v>406</v>
      </c>
      <c r="C3913" t="s">
        <v>11</v>
      </c>
      <c r="D3913" t="s">
        <v>12</v>
      </c>
      <c r="E3913" t="s">
        <v>391</v>
      </c>
      <c r="H3913" t="s">
        <v>392</v>
      </c>
      <c r="I3913" t="s">
        <v>3860</v>
      </c>
      <c r="L3913" t="s">
        <v>394</v>
      </c>
      <c r="M3913" t="s">
        <v>3857</v>
      </c>
    </row>
    <row r="3914" spans="1:27" x14ac:dyDescent="0.3">
      <c r="A3914" t="s">
        <v>3852</v>
      </c>
      <c r="B3914" t="s">
        <v>1138</v>
      </c>
      <c r="C3914" t="s">
        <v>11</v>
      </c>
      <c r="D3914" t="s">
        <v>12</v>
      </c>
      <c r="E3914" t="s">
        <v>391</v>
      </c>
      <c r="H3914" t="s">
        <v>392</v>
      </c>
      <c r="I3914" t="s">
        <v>3861</v>
      </c>
      <c r="L3914" t="s">
        <v>394</v>
      </c>
      <c r="M3914" t="s">
        <v>3857</v>
      </c>
    </row>
    <row r="3915" spans="1:27" x14ac:dyDescent="0.3">
      <c r="A3915" t="s">
        <v>3855</v>
      </c>
      <c r="B3915" t="s">
        <v>341</v>
      </c>
      <c r="C3915" t="s">
        <v>11</v>
      </c>
      <c r="D3915" t="s">
        <v>12</v>
      </c>
      <c r="E3915" t="s">
        <v>391</v>
      </c>
      <c r="H3915" t="s">
        <v>392</v>
      </c>
      <c r="I3915" t="s">
        <v>3862</v>
      </c>
      <c r="L3915" t="s">
        <v>394</v>
      </c>
      <c r="M3915" t="s">
        <v>3857</v>
      </c>
    </row>
    <row r="3916" spans="1:27" x14ac:dyDescent="0.3">
      <c r="A3916" t="s">
        <v>3853</v>
      </c>
      <c r="B3916" t="s">
        <v>1134</v>
      </c>
      <c r="C3916" t="s">
        <v>11</v>
      </c>
      <c r="D3916" t="s">
        <v>12</v>
      </c>
      <c r="E3916" t="s">
        <v>391</v>
      </c>
      <c r="H3916" t="s">
        <v>392</v>
      </c>
      <c r="I3916" t="s">
        <v>3863</v>
      </c>
      <c r="L3916" t="s">
        <v>394</v>
      </c>
      <c r="M3916" t="s">
        <v>3857</v>
      </c>
    </row>
    <row r="3917" spans="1:27" x14ac:dyDescent="0.3">
      <c r="A3917" t="s">
        <v>3854</v>
      </c>
      <c r="B3917" t="s">
        <v>1138</v>
      </c>
      <c r="C3917" t="s">
        <v>11</v>
      </c>
      <c r="D3917" t="s">
        <v>12</v>
      </c>
      <c r="E3917" t="s">
        <v>391</v>
      </c>
      <c r="H3917" t="s">
        <v>392</v>
      </c>
      <c r="I3917" t="s">
        <v>3864</v>
      </c>
      <c r="L3917" t="s">
        <v>394</v>
      </c>
      <c r="M3917" t="s">
        <v>3857</v>
      </c>
    </row>
    <row r="3918" spans="1:27" x14ac:dyDescent="0.3">
      <c r="A3918" t="s">
        <v>3851</v>
      </c>
      <c r="B3918" t="s">
        <v>2077</v>
      </c>
      <c r="C3918" t="s">
        <v>11</v>
      </c>
      <c r="D3918" t="s">
        <v>12</v>
      </c>
      <c r="E3918" t="s">
        <v>391</v>
      </c>
      <c r="H3918" t="s">
        <v>392</v>
      </c>
      <c r="I3918" t="s">
        <v>2128</v>
      </c>
      <c r="L3918" t="s">
        <v>394</v>
      </c>
      <c r="M3918" t="s">
        <v>3857</v>
      </c>
    </row>
    <row r="3919" spans="1:27" x14ac:dyDescent="0.3">
      <c r="A3919" t="s">
        <v>3865</v>
      </c>
      <c r="B3919" t="s">
        <v>2733</v>
      </c>
      <c r="C3919" t="s">
        <v>280</v>
      </c>
      <c r="D3919" t="s">
        <v>3866</v>
      </c>
      <c r="E3919" t="s">
        <v>2735</v>
      </c>
      <c r="H3919" t="s">
        <v>25</v>
      </c>
      <c r="I3919" t="s">
        <v>2736</v>
      </c>
    </row>
    <row r="3920" spans="1:27" x14ac:dyDescent="0.3">
      <c r="A3920" t="s">
        <v>3865</v>
      </c>
      <c r="B3920" t="s">
        <v>2733</v>
      </c>
      <c r="C3920" t="s">
        <v>308</v>
      </c>
      <c r="D3920" t="s">
        <v>3867</v>
      </c>
      <c r="E3920" t="s">
        <v>2738</v>
      </c>
      <c r="H3920" t="s">
        <v>25</v>
      </c>
      <c r="I3920" t="s">
        <v>2739</v>
      </c>
      <c r="L3920" t="s">
        <v>312</v>
      </c>
      <c r="M3920" t="s">
        <v>327</v>
      </c>
    </row>
    <row r="3921" spans="1:27" x14ac:dyDescent="0.3">
      <c r="A3921" t="s">
        <v>3865</v>
      </c>
      <c r="B3921" t="s">
        <v>2733</v>
      </c>
      <c r="C3921" t="s">
        <v>308</v>
      </c>
      <c r="D3921" t="s">
        <v>3868</v>
      </c>
      <c r="E3921" t="s">
        <v>527</v>
      </c>
      <c r="H3921" t="s">
        <v>25</v>
      </c>
      <c r="I3921" t="s">
        <v>2741</v>
      </c>
      <c r="L3921" t="s">
        <v>312</v>
      </c>
      <c r="M3921" t="s">
        <v>343</v>
      </c>
    </row>
    <row r="3922" spans="1:27" x14ac:dyDescent="0.3">
      <c r="A3922" t="s">
        <v>3865</v>
      </c>
      <c r="B3922" t="s">
        <v>2733</v>
      </c>
      <c r="C3922" t="s">
        <v>308</v>
      </c>
      <c r="D3922" t="s">
        <v>3869</v>
      </c>
      <c r="E3922" t="s">
        <v>2077</v>
      </c>
      <c r="H3922" t="s">
        <v>25</v>
      </c>
      <c r="I3922" t="s">
        <v>2078</v>
      </c>
      <c r="L3922" t="s">
        <v>312</v>
      </c>
      <c r="M3922" t="s">
        <v>1687</v>
      </c>
    </row>
    <row r="3923" spans="1:27" x14ac:dyDescent="0.3">
      <c r="A3923" t="s">
        <v>3865</v>
      </c>
      <c r="B3923" t="s">
        <v>2733</v>
      </c>
      <c r="C3923" t="s">
        <v>308</v>
      </c>
      <c r="D3923" t="s">
        <v>3870</v>
      </c>
      <c r="E3923" t="s">
        <v>1138</v>
      </c>
      <c r="H3923" t="s">
        <v>25</v>
      </c>
      <c r="I3923" t="s">
        <v>2065</v>
      </c>
      <c r="L3923" t="s">
        <v>312</v>
      </c>
      <c r="M3923" t="s">
        <v>317</v>
      </c>
    </row>
    <row r="3924" spans="1:27" x14ac:dyDescent="0.3">
      <c r="A3924" t="s">
        <v>3865</v>
      </c>
      <c r="B3924" t="s">
        <v>2733</v>
      </c>
      <c r="C3924" t="s">
        <v>308</v>
      </c>
      <c r="D3924" t="s">
        <v>3871</v>
      </c>
      <c r="E3924" t="s">
        <v>1134</v>
      </c>
      <c r="H3924" t="s">
        <v>25</v>
      </c>
      <c r="I3924" t="s">
        <v>2069</v>
      </c>
      <c r="L3924" t="s">
        <v>312</v>
      </c>
      <c r="M3924" t="s">
        <v>317</v>
      </c>
    </row>
    <row r="3925" spans="1:27" x14ac:dyDescent="0.3">
      <c r="A3925" t="s">
        <v>3865</v>
      </c>
      <c r="B3925" t="s">
        <v>2733</v>
      </c>
      <c r="C3925" t="s">
        <v>308</v>
      </c>
      <c r="D3925" t="s">
        <v>3872</v>
      </c>
      <c r="E3925" t="s">
        <v>1138</v>
      </c>
      <c r="H3925" t="s">
        <v>25</v>
      </c>
      <c r="I3925" t="s">
        <v>2746</v>
      </c>
      <c r="L3925" t="s">
        <v>312</v>
      </c>
      <c r="M3925" t="s">
        <v>317</v>
      </c>
    </row>
    <row r="3926" spans="1:27" x14ac:dyDescent="0.3">
      <c r="A3926" t="s">
        <v>3865</v>
      </c>
      <c r="B3926" t="s">
        <v>2733</v>
      </c>
      <c r="C3926" t="s">
        <v>308</v>
      </c>
      <c r="D3926" t="s">
        <v>3873</v>
      </c>
      <c r="E3926" t="s">
        <v>341</v>
      </c>
      <c r="H3926" t="s">
        <v>25</v>
      </c>
      <c r="I3926" t="s">
        <v>342</v>
      </c>
      <c r="L3926" t="s">
        <v>312</v>
      </c>
      <c r="M3926" t="s">
        <v>343</v>
      </c>
    </row>
    <row r="3927" spans="1:27" x14ac:dyDescent="0.3">
      <c r="A3927" t="s">
        <v>3865</v>
      </c>
      <c r="B3927" t="s">
        <v>2733</v>
      </c>
      <c r="C3927" t="s">
        <v>22</v>
      </c>
      <c r="D3927" t="s">
        <v>23</v>
      </c>
      <c r="E3927" t="s">
        <v>28</v>
      </c>
    </row>
    <row r="3928" spans="1:27" x14ac:dyDescent="0.3">
      <c r="A3928" t="s">
        <v>3865</v>
      </c>
      <c r="B3928" t="s">
        <v>2733</v>
      </c>
      <c r="C3928" t="s">
        <v>2748</v>
      </c>
      <c r="D3928" s="3">
        <v>1.5</v>
      </c>
      <c r="H3928" t="s">
        <v>312</v>
      </c>
      <c r="I3928" t="s">
        <v>385</v>
      </c>
    </row>
    <row r="3929" spans="1:27" x14ac:dyDescent="0.3">
      <c r="A3929" t="s">
        <v>3865</v>
      </c>
      <c r="B3929" t="s">
        <v>2733</v>
      </c>
      <c r="C3929" t="s">
        <v>378</v>
      </c>
      <c r="D3929" s="3">
        <v>335</v>
      </c>
      <c r="H3929" t="s">
        <v>312</v>
      </c>
      <c r="I3929" t="s">
        <v>327</v>
      </c>
    </row>
    <row r="3930" spans="1:27" x14ac:dyDescent="0.3">
      <c r="A3930" t="s">
        <v>3865</v>
      </c>
      <c r="B3930" t="s">
        <v>2733</v>
      </c>
      <c r="C3930" t="s">
        <v>380</v>
      </c>
      <c r="D3930" t="s">
        <v>798</v>
      </c>
      <c r="E3930" t="s">
        <v>279</v>
      </c>
      <c r="F3930" t="s">
        <v>25</v>
      </c>
      <c r="G3930" t="s">
        <v>3874</v>
      </c>
      <c r="J3930" t="s">
        <v>2089</v>
      </c>
      <c r="K3930" t="s">
        <v>2750</v>
      </c>
      <c r="N3930" t="s">
        <v>2751</v>
      </c>
      <c r="O3930" s="3">
        <v>2</v>
      </c>
      <c r="R3930" t="s">
        <v>2752</v>
      </c>
      <c r="S3930" s="3">
        <v>158</v>
      </c>
      <c r="V3930" t="s">
        <v>2753</v>
      </c>
      <c r="W3930" t="s">
        <v>2754</v>
      </c>
      <c r="Z3930" t="s">
        <v>2755</v>
      </c>
      <c r="AA3930" t="s">
        <v>2756</v>
      </c>
    </row>
    <row r="3931" spans="1:27" x14ac:dyDescent="0.3">
      <c r="A3931" s="2" t="s">
        <v>3865</v>
      </c>
      <c r="B3931" s="2" t="s">
        <v>2733</v>
      </c>
      <c r="C3931" s="2" t="s">
        <v>16</v>
      </c>
      <c r="D3931" t="e">
        <v>#N/A</v>
      </c>
      <c r="E3931" t="s">
        <v>37</v>
      </c>
    </row>
    <row r="3932" spans="1:27" x14ac:dyDescent="0.3">
      <c r="A3932" t="s">
        <v>3865</v>
      </c>
      <c r="B3932" t="s">
        <v>2733</v>
      </c>
      <c r="C3932" t="s">
        <v>11</v>
      </c>
      <c r="D3932" t="s">
        <v>12</v>
      </c>
      <c r="E3932" t="s">
        <v>13</v>
      </c>
      <c r="H3932" t="s">
        <v>382</v>
      </c>
      <c r="I3932" t="s">
        <v>3875</v>
      </c>
      <c r="L3932" t="s">
        <v>14</v>
      </c>
      <c r="M3932" t="s">
        <v>3875</v>
      </c>
    </row>
    <row r="3933" spans="1:27" x14ac:dyDescent="0.3">
      <c r="A3933" t="s">
        <v>3868</v>
      </c>
      <c r="B3933" t="s">
        <v>527</v>
      </c>
      <c r="C3933" t="s">
        <v>11</v>
      </c>
      <c r="D3933" t="s">
        <v>12</v>
      </c>
      <c r="E3933" t="s">
        <v>391</v>
      </c>
      <c r="H3933" t="s">
        <v>392</v>
      </c>
      <c r="I3933" t="s">
        <v>2758</v>
      </c>
      <c r="L3933" t="s">
        <v>394</v>
      </c>
      <c r="M3933" t="s">
        <v>3875</v>
      </c>
    </row>
    <row r="3934" spans="1:27" x14ac:dyDescent="0.3">
      <c r="A3934" t="s">
        <v>3867</v>
      </c>
      <c r="B3934" t="s">
        <v>2738</v>
      </c>
      <c r="C3934" t="s">
        <v>11</v>
      </c>
      <c r="D3934" t="s">
        <v>12</v>
      </c>
      <c r="E3934" t="s">
        <v>391</v>
      </c>
      <c r="H3934" t="s">
        <v>392</v>
      </c>
      <c r="I3934" t="s">
        <v>3876</v>
      </c>
      <c r="L3934" t="s">
        <v>394</v>
      </c>
      <c r="M3934" t="s">
        <v>3875</v>
      </c>
    </row>
    <row r="3935" spans="1:27" x14ac:dyDescent="0.3">
      <c r="A3935" t="s">
        <v>3866</v>
      </c>
      <c r="B3935" t="s">
        <v>2735</v>
      </c>
      <c r="C3935" t="s">
        <v>308</v>
      </c>
      <c r="D3935" t="s">
        <v>3877</v>
      </c>
      <c r="E3935" t="s">
        <v>406</v>
      </c>
      <c r="H3935" t="s">
        <v>25</v>
      </c>
      <c r="I3935" t="s">
        <v>2761</v>
      </c>
      <c r="L3935" t="s">
        <v>312</v>
      </c>
      <c r="M3935" t="s">
        <v>404</v>
      </c>
    </row>
    <row r="3936" spans="1:27" x14ac:dyDescent="0.3">
      <c r="A3936" t="s">
        <v>3877</v>
      </c>
      <c r="B3936" t="s">
        <v>406</v>
      </c>
      <c r="C3936" t="s">
        <v>11</v>
      </c>
      <c r="D3936" t="s">
        <v>12</v>
      </c>
      <c r="E3936" t="s">
        <v>391</v>
      </c>
      <c r="H3936" t="s">
        <v>392</v>
      </c>
      <c r="I3936" t="s">
        <v>3878</v>
      </c>
      <c r="L3936" t="s">
        <v>394</v>
      </c>
      <c r="M3936" t="s">
        <v>3875</v>
      </c>
    </row>
    <row r="3937" spans="1:13" x14ac:dyDescent="0.3">
      <c r="A3937" t="s">
        <v>3870</v>
      </c>
      <c r="B3937" t="s">
        <v>1138</v>
      </c>
      <c r="C3937" t="s">
        <v>11</v>
      </c>
      <c r="D3937" t="s">
        <v>12</v>
      </c>
      <c r="E3937" t="s">
        <v>391</v>
      </c>
      <c r="H3937" t="s">
        <v>392</v>
      </c>
      <c r="I3937" t="s">
        <v>3879</v>
      </c>
      <c r="L3937" t="s">
        <v>394</v>
      </c>
      <c r="M3937" t="s">
        <v>3875</v>
      </c>
    </row>
    <row r="3938" spans="1:13" x14ac:dyDescent="0.3">
      <c r="A3938" t="s">
        <v>3873</v>
      </c>
      <c r="B3938" t="s">
        <v>341</v>
      </c>
      <c r="C3938" t="s">
        <v>11</v>
      </c>
      <c r="D3938" t="s">
        <v>12</v>
      </c>
      <c r="E3938" t="s">
        <v>391</v>
      </c>
      <c r="H3938" t="s">
        <v>392</v>
      </c>
      <c r="I3938" t="s">
        <v>3880</v>
      </c>
      <c r="L3938" t="s">
        <v>394</v>
      </c>
      <c r="M3938" t="s">
        <v>3875</v>
      </c>
    </row>
    <row r="3939" spans="1:13" x14ac:dyDescent="0.3">
      <c r="A3939" t="s">
        <v>3871</v>
      </c>
      <c r="B3939" t="s">
        <v>1134</v>
      </c>
      <c r="C3939" t="s">
        <v>11</v>
      </c>
      <c r="D3939" t="s">
        <v>12</v>
      </c>
      <c r="E3939" t="s">
        <v>391</v>
      </c>
      <c r="H3939" t="s">
        <v>392</v>
      </c>
      <c r="I3939" t="s">
        <v>3881</v>
      </c>
      <c r="L3939" t="s">
        <v>394</v>
      </c>
      <c r="M3939" t="s">
        <v>3875</v>
      </c>
    </row>
    <row r="3940" spans="1:13" x14ac:dyDescent="0.3">
      <c r="A3940" t="s">
        <v>3872</v>
      </c>
      <c r="B3940" t="s">
        <v>1138</v>
      </c>
      <c r="C3940" t="s">
        <v>11</v>
      </c>
      <c r="D3940" t="s">
        <v>12</v>
      </c>
      <c r="E3940" t="s">
        <v>391</v>
      </c>
      <c r="H3940" t="s">
        <v>392</v>
      </c>
      <c r="I3940" t="s">
        <v>3882</v>
      </c>
      <c r="L3940" t="s">
        <v>394</v>
      </c>
      <c r="M3940" t="s">
        <v>3875</v>
      </c>
    </row>
    <row r="3941" spans="1:13" x14ac:dyDescent="0.3">
      <c r="A3941" t="s">
        <v>3869</v>
      </c>
      <c r="B3941" t="s">
        <v>2077</v>
      </c>
      <c r="C3941" t="s">
        <v>11</v>
      </c>
      <c r="D3941" t="s">
        <v>12</v>
      </c>
      <c r="E3941" t="s">
        <v>391</v>
      </c>
      <c r="H3941" t="s">
        <v>392</v>
      </c>
      <c r="I3941" t="s">
        <v>2128</v>
      </c>
      <c r="L3941" t="s">
        <v>394</v>
      </c>
      <c r="M3941" t="s">
        <v>3875</v>
      </c>
    </row>
    <row r="3942" spans="1:13" x14ac:dyDescent="0.3">
      <c r="A3942" t="s">
        <v>3883</v>
      </c>
      <c r="B3942" t="s">
        <v>2733</v>
      </c>
      <c r="C3942" t="s">
        <v>280</v>
      </c>
      <c r="D3942" t="s">
        <v>3884</v>
      </c>
      <c r="E3942" t="s">
        <v>2735</v>
      </c>
      <c r="H3942" t="s">
        <v>25</v>
      </c>
      <c r="I3942" t="s">
        <v>2736</v>
      </c>
    </row>
    <row r="3943" spans="1:13" x14ac:dyDescent="0.3">
      <c r="A3943" t="s">
        <v>3883</v>
      </c>
      <c r="B3943" t="s">
        <v>2733</v>
      </c>
      <c r="C3943" t="s">
        <v>308</v>
      </c>
      <c r="D3943" t="s">
        <v>3885</v>
      </c>
      <c r="E3943" t="s">
        <v>2738</v>
      </c>
      <c r="H3943" t="s">
        <v>25</v>
      </c>
      <c r="I3943" t="s">
        <v>2739</v>
      </c>
      <c r="L3943" t="s">
        <v>312</v>
      </c>
      <c r="M3943" t="s">
        <v>327</v>
      </c>
    </row>
    <row r="3944" spans="1:13" x14ac:dyDescent="0.3">
      <c r="A3944" t="s">
        <v>3883</v>
      </c>
      <c r="B3944" t="s">
        <v>2733</v>
      </c>
      <c r="C3944" t="s">
        <v>308</v>
      </c>
      <c r="D3944" t="s">
        <v>3886</v>
      </c>
      <c r="E3944" t="s">
        <v>527</v>
      </c>
      <c r="H3944" t="s">
        <v>25</v>
      </c>
      <c r="I3944" t="s">
        <v>2741</v>
      </c>
      <c r="L3944" t="s">
        <v>312</v>
      </c>
      <c r="M3944" t="s">
        <v>343</v>
      </c>
    </row>
    <row r="3945" spans="1:13" x14ac:dyDescent="0.3">
      <c r="A3945" t="s">
        <v>3883</v>
      </c>
      <c r="B3945" t="s">
        <v>2733</v>
      </c>
      <c r="C3945" t="s">
        <v>308</v>
      </c>
      <c r="D3945" t="s">
        <v>3887</v>
      </c>
      <c r="E3945" t="s">
        <v>2077</v>
      </c>
      <c r="H3945" t="s">
        <v>25</v>
      </c>
      <c r="I3945" t="s">
        <v>2078</v>
      </c>
      <c r="L3945" t="s">
        <v>312</v>
      </c>
      <c r="M3945" t="s">
        <v>1687</v>
      </c>
    </row>
    <row r="3946" spans="1:13" x14ac:dyDescent="0.3">
      <c r="A3946" t="s">
        <v>3883</v>
      </c>
      <c r="B3946" t="s">
        <v>2733</v>
      </c>
      <c r="C3946" t="s">
        <v>308</v>
      </c>
      <c r="D3946" t="s">
        <v>3888</v>
      </c>
      <c r="E3946" t="s">
        <v>1138</v>
      </c>
      <c r="H3946" t="s">
        <v>25</v>
      </c>
      <c r="I3946" t="s">
        <v>2065</v>
      </c>
      <c r="L3946" t="s">
        <v>312</v>
      </c>
      <c r="M3946" t="s">
        <v>317</v>
      </c>
    </row>
    <row r="3947" spans="1:13" x14ac:dyDescent="0.3">
      <c r="A3947" t="s">
        <v>3883</v>
      </c>
      <c r="B3947" t="s">
        <v>2733</v>
      </c>
      <c r="C3947" t="s">
        <v>308</v>
      </c>
      <c r="D3947" t="s">
        <v>3889</v>
      </c>
      <c r="E3947" t="s">
        <v>1134</v>
      </c>
      <c r="H3947" t="s">
        <v>25</v>
      </c>
      <c r="I3947" t="s">
        <v>2069</v>
      </c>
      <c r="L3947" t="s">
        <v>312</v>
      </c>
      <c r="M3947" t="s">
        <v>317</v>
      </c>
    </row>
    <row r="3948" spans="1:13" x14ac:dyDescent="0.3">
      <c r="A3948" t="s">
        <v>3883</v>
      </c>
      <c r="B3948" t="s">
        <v>2733</v>
      </c>
      <c r="C3948" t="s">
        <v>308</v>
      </c>
      <c r="D3948" t="s">
        <v>3890</v>
      </c>
      <c r="E3948" t="s">
        <v>1138</v>
      </c>
      <c r="H3948" t="s">
        <v>25</v>
      </c>
      <c r="I3948" t="s">
        <v>2746</v>
      </c>
      <c r="L3948" t="s">
        <v>312</v>
      </c>
      <c r="M3948" t="s">
        <v>317</v>
      </c>
    </row>
    <row r="3949" spans="1:13" x14ac:dyDescent="0.3">
      <c r="A3949" t="s">
        <v>3883</v>
      </c>
      <c r="B3949" t="s">
        <v>2733</v>
      </c>
      <c r="C3949" t="s">
        <v>308</v>
      </c>
      <c r="D3949" t="s">
        <v>3891</v>
      </c>
      <c r="E3949" t="s">
        <v>341</v>
      </c>
      <c r="H3949" t="s">
        <v>25</v>
      </c>
      <c r="I3949" t="s">
        <v>342</v>
      </c>
      <c r="L3949" t="s">
        <v>312</v>
      </c>
      <c r="M3949" t="s">
        <v>343</v>
      </c>
    </row>
    <row r="3950" spans="1:13" x14ac:dyDescent="0.3">
      <c r="A3950" t="s">
        <v>3883</v>
      </c>
      <c r="B3950" t="s">
        <v>2733</v>
      </c>
      <c r="C3950" t="s">
        <v>22</v>
      </c>
      <c r="D3950" t="s">
        <v>23</v>
      </c>
      <c r="E3950" t="s">
        <v>28</v>
      </c>
    </row>
    <row r="3951" spans="1:13" x14ac:dyDescent="0.3">
      <c r="A3951" t="s">
        <v>3883</v>
      </c>
      <c r="B3951" t="s">
        <v>2733</v>
      </c>
      <c r="C3951" t="s">
        <v>2748</v>
      </c>
      <c r="D3951">
        <v>1.5</v>
      </c>
      <c r="H3951" t="s">
        <v>312</v>
      </c>
      <c r="I3951" t="s">
        <v>385</v>
      </c>
    </row>
    <row r="3952" spans="1:13" x14ac:dyDescent="0.3">
      <c r="A3952" t="s">
        <v>3883</v>
      </c>
      <c r="B3952" t="s">
        <v>2733</v>
      </c>
      <c r="C3952" t="s">
        <v>378</v>
      </c>
      <c r="D3952">
        <v>335</v>
      </c>
      <c r="H3952" t="s">
        <v>312</v>
      </c>
      <c r="I3952" t="s">
        <v>327</v>
      </c>
    </row>
    <row r="3953" spans="1:27" x14ac:dyDescent="0.3">
      <c r="A3953" t="s">
        <v>3883</v>
      </c>
      <c r="B3953" t="s">
        <v>2733</v>
      </c>
      <c r="C3953" t="s">
        <v>380</v>
      </c>
      <c r="D3953" t="s">
        <v>678</v>
      </c>
      <c r="E3953" t="s">
        <v>279</v>
      </c>
      <c r="F3953" t="s">
        <v>25</v>
      </c>
      <c r="G3953" t="s">
        <v>3892</v>
      </c>
      <c r="J3953" t="s">
        <v>2089</v>
      </c>
      <c r="K3953" t="s">
        <v>2750</v>
      </c>
      <c r="N3953" t="s">
        <v>2751</v>
      </c>
      <c r="O3953">
        <v>1</v>
      </c>
      <c r="R3953" t="s">
        <v>2752</v>
      </c>
      <c r="S3953">
        <v>158</v>
      </c>
      <c r="V3953" t="s">
        <v>2753</v>
      </c>
      <c r="W3953" t="s">
        <v>2754</v>
      </c>
      <c r="Z3953" t="s">
        <v>2755</v>
      </c>
      <c r="AA3953" t="s">
        <v>2756</v>
      </c>
    </row>
    <row r="3954" spans="1:27" x14ac:dyDescent="0.3">
      <c r="A3954" t="s">
        <v>3883</v>
      </c>
      <c r="B3954" t="s">
        <v>2733</v>
      </c>
      <c r="C3954" t="s">
        <v>16</v>
      </c>
      <c r="D3954" t="s">
        <v>180</v>
      </c>
      <c r="E3954" t="s">
        <v>37</v>
      </c>
    </row>
    <row r="3955" spans="1:27" x14ac:dyDescent="0.3">
      <c r="A3955" t="s">
        <v>3883</v>
      </c>
      <c r="B3955" t="s">
        <v>2733</v>
      </c>
      <c r="C3955" t="s">
        <v>11</v>
      </c>
      <c r="D3955" t="s">
        <v>12</v>
      </c>
      <c r="E3955" t="s">
        <v>13</v>
      </c>
      <c r="H3955" t="s">
        <v>382</v>
      </c>
      <c r="I3955" t="s">
        <v>3893</v>
      </c>
      <c r="L3955" t="s">
        <v>14</v>
      </c>
      <c r="M3955" t="s">
        <v>3893</v>
      </c>
    </row>
    <row r="3956" spans="1:27" x14ac:dyDescent="0.3">
      <c r="A3956" t="s">
        <v>3886</v>
      </c>
      <c r="B3956" t="s">
        <v>527</v>
      </c>
      <c r="C3956" t="s">
        <v>11</v>
      </c>
      <c r="D3956" t="s">
        <v>12</v>
      </c>
      <c r="E3956" t="s">
        <v>391</v>
      </c>
      <c r="H3956" t="s">
        <v>392</v>
      </c>
      <c r="I3956" t="s">
        <v>2758</v>
      </c>
      <c r="L3956" t="s">
        <v>394</v>
      </c>
      <c r="M3956" t="s">
        <v>3893</v>
      </c>
    </row>
    <row r="3957" spans="1:27" x14ac:dyDescent="0.3">
      <c r="A3957" t="s">
        <v>3885</v>
      </c>
      <c r="B3957" t="s">
        <v>2738</v>
      </c>
      <c r="C3957" t="s">
        <v>11</v>
      </c>
      <c r="D3957" t="s">
        <v>12</v>
      </c>
      <c r="E3957" t="s">
        <v>391</v>
      </c>
      <c r="H3957" t="s">
        <v>392</v>
      </c>
      <c r="I3957" t="s">
        <v>3894</v>
      </c>
      <c r="L3957" t="s">
        <v>394</v>
      </c>
      <c r="M3957" t="s">
        <v>3893</v>
      </c>
    </row>
    <row r="3958" spans="1:27" x14ac:dyDescent="0.3">
      <c r="A3958" t="s">
        <v>3884</v>
      </c>
      <c r="B3958" t="s">
        <v>2735</v>
      </c>
      <c r="C3958" t="s">
        <v>308</v>
      </c>
      <c r="D3958" t="s">
        <v>3895</v>
      </c>
      <c r="E3958" t="s">
        <v>406</v>
      </c>
      <c r="H3958" t="s">
        <v>25</v>
      </c>
      <c r="I3958" t="s">
        <v>2761</v>
      </c>
      <c r="L3958" t="s">
        <v>312</v>
      </c>
      <c r="M3958" t="s">
        <v>404</v>
      </c>
    </row>
    <row r="3959" spans="1:27" x14ac:dyDescent="0.3">
      <c r="A3959" t="s">
        <v>3895</v>
      </c>
      <c r="B3959" t="s">
        <v>406</v>
      </c>
      <c r="C3959" t="s">
        <v>11</v>
      </c>
      <c r="D3959" t="s">
        <v>12</v>
      </c>
      <c r="E3959" t="s">
        <v>391</v>
      </c>
      <c r="H3959" t="s">
        <v>392</v>
      </c>
      <c r="I3959" t="s">
        <v>3896</v>
      </c>
      <c r="L3959" t="s">
        <v>394</v>
      </c>
      <c r="M3959" t="s">
        <v>3893</v>
      </c>
    </row>
    <row r="3960" spans="1:27" x14ac:dyDescent="0.3">
      <c r="A3960" t="s">
        <v>3888</v>
      </c>
      <c r="B3960" t="s">
        <v>1138</v>
      </c>
      <c r="C3960" t="s">
        <v>11</v>
      </c>
      <c r="D3960" t="s">
        <v>12</v>
      </c>
      <c r="E3960" t="s">
        <v>391</v>
      </c>
      <c r="H3960" t="s">
        <v>392</v>
      </c>
      <c r="I3960" t="s">
        <v>3897</v>
      </c>
      <c r="L3960" t="s">
        <v>394</v>
      </c>
      <c r="M3960" t="s">
        <v>3893</v>
      </c>
    </row>
    <row r="3961" spans="1:27" x14ac:dyDescent="0.3">
      <c r="A3961" t="s">
        <v>3891</v>
      </c>
      <c r="B3961" t="s">
        <v>341</v>
      </c>
      <c r="C3961" t="s">
        <v>11</v>
      </c>
      <c r="D3961" t="s">
        <v>12</v>
      </c>
      <c r="E3961" t="s">
        <v>391</v>
      </c>
      <c r="H3961" t="s">
        <v>392</v>
      </c>
      <c r="I3961" t="s">
        <v>3898</v>
      </c>
      <c r="L3961" t="s">
        <v>394</v>
      </c>
      <c r="M3961" t="s">
        <v>3893</v>
      </c>
    </row>
    <row r="3962" spans="1:27" x14ac:dyDescent="0.3">
      <c r="A3962" t="s">
        <v>3889</v>
      </c>
      <c r="B3962" t="s">
        <v>1134</v>
      </c>
      <c r="C3962" t="s">
        <v>11</v>
      </c>
      <c r="D3962" t="s">
        <v>12</v>
      </c>
      <c r="E3962" t="s">
        <v>391</v>
      </c>
      <c r="H3962" t="s">
        <v>392</v>
      </c>
      <c r="I3962" t="s">
        <v>3899</v>
      </c>
      <c r="L3962" t="s">
        <v>394</v>
      </c>
      <c r="M3962" t="s">
        <v>3893</v>
      </c>
    </row>
    <row r="3963" spans="1:27" x14ac:dyDescent="0.3">
      <c r="A3963" t="s">
        <v>3890</v>
      </c>
      <c r="B3963" t="s">
        <v>1138</v>
      </c>
      <c r="C3963" t="s">
        <v>11</v>
      </c>
      <c r="D3963" t="s">
        <v>12</v>
      </c>
      <c r="E3963" t="s">
        <v>391</v>
      </c>
      <c r="H3963" t="s">
        <v>392</v>
      </c>
      <c r="I3963" t="s">
        <v>3900</v>
      </c>
      <c r="L3963" t="s">
        <v>394</v>
      </c>
      <c r="M3963" t="s">
        <v>3893</v>
      </c>
    </row>
    <row r="3964" spans="1:27" x14ac:dyDescent="0.3">
      <c r="A3964" t="s">
        <v>3887</v>
      </c>
      <c r="B3964" t="s">
        <v>2077</v>
      </c>
      <c r="C3964" t="s">
        <v>11</v>
      </c>
      <c r="D3964" t="s">
        <v>12</v>
      </c>
      <c r="E3964" t="s">
        <v>391</v>
      </c>
      <c r="H3964" t="s">
        <v>392</v>
      </c>
      <c r="I3964" t="s">
        <v>2128</v>
      </c>
      <c r="L3964" t="s">
        <v>394</v>
      </c>
      <c r="M3964" t="s">
        <v>3893</v>
      </c>
    </row>
    <row r="3965" spans="1:27" x14ac:dyDescent="0.3">
      <c r="A3965" t="s">
        <v>3901</v>
      </c>
      <c r="B3965" t="s">
        <v>2733</v>
      </c>
      <c r="C3965" t="s">
        <v>280</v>
      </c>
      <c r="D3965" t="s">
        <v>3902</v>
      </c>
      <c r="E3965" t="s">
        <v>2735</v>
      </c>
      <c r="H3965" t="s">
        <v>25</v>
      </c>
      <c r="I3965" t="s">
        <v>2736</v>
      </c>
    </row>
    <row r="3966" spans="1:27" x14ac:dyDescent="0.3">
      <c r="A3966" t="s">
        <v>3901</v>
      </c>
      <c r="B3966" t="s">
        <v>2733</v>
      </c>
      <c r="C3966" t="s">
        <v>308</v>
      </c>
      <c r="D3966" t="s">
        <v>3903</v>
      </c>
      <c r="E3966" t="s">
        <v>2738</v>
      </c>
      <c r="H3966" t="s">
        <v>25</v>
      </c>
      <c r="I3966" t="s">
        <v>2739</v>
      </c>
      <c r="L3966" t="s">
        <v>312</v>
      </c>
      <c r="M3966" t="s">
        <v>327</v>
      </c>
    </row>
    <row r="3967" spans="1:27" x14ac:dyDescent="0.3">
      <c r="A3967" t="s">
        <v>3901</v>
      </c>
      <c r="B3967" t="s">
        <v>2733</v>
      </c>
      <c r="C3967" t="s">
        <v>308</v>
      </c>
      <c r="D3967" t="s">
        <v>3904</v>
      </c>
      <c r="E3967" t="s">
        <v>527</v>
      </c>
      <c r="H3967" t="s">
        <v>25</v>
      </c>
      <c r="I3967" t="s">
        <v>2741</v>
      </c>
      <c r="L3967" t="s">
        <v>312</v>
      </c>
      <c r="M3967" t="s">
        <v>343</v>
      </c>
    </row>
    <row r="3968" spans="1:27" x14ac:dyDescent="0.3">
      <c r="A3968" t="s">
        <v>3901</v>
      </c>
      <c r="B3968" t="s">
        <v>2733</v>
      </c>
      <c r="C3968" t="s">
        <v>308</v>
      </c>
      <c r="D3968" t="s">
        <v>3905</v>
      </c>
      <c r="E3968" t="s">
        <v>2077</v>
      </c>
      <c r="H3968" t="s">
        <v>25</v>
      </c>
      <c r="I3968" t="s">
        <v>2078</v>
      </c>
      <c r="L3968" t="s">
        <v>312</v>
      </c>
      <c r="M3968" t="s">
        <v>1687</v>
      </c>
    </row>
    <row r="3969" spans="1:27" x14ac:dyDescent="0.3">
      <c r="A3969" t="s">
        <v>3901</v>
      </c>
      <c r="B3969" t="s">
        <v>2733</v>
      </c>
      <c r="C3969" t="s">
        <v>308</v>
      </c>
      <c r="D3969" t="s">
        <v>3906</v>
      </c>
      <c r="E3969" t="s">
        <v>1138</v>
      </c>
      <c r="H3969" t="s">
        <v>25</v>
      </c>
      <c r="I3969" t="s">
        <v>2065</v>
      </c>
      <c r="L3969" t="s">
        <v>312</v>
      </c>
      <c r="M3969" t="s">
        <v>317</v>
      </c>
    </row>
    <row r="3970" spans="1:27" x14ac:dyDescent="0.3">
      <c r="A3970" t="s">
        <v>3901</v>
      </c>
      <c r="B3970" t="s">
        <v>2733</v>
      </c>
      <c r="C3970" t="s">
        <v>308</v>
      </c>
      <c r="D3970" t="s">
        <v>3907</v>
      </c>
      <c r="E3970" t="s">
        <v>1134</v>
      </c>
      <c r="H3970" t="s">
        <v>25</v>
      </c>
      <c r="I3970" t="s">
        <v>2069</v>
      </c>
      <c r="L3970" t="s">
        <v>312</v>
      </c>
      <c r="M3970" t="s">
        <v>317</v>
      </c>
    </row>
    <row r="3971" spans="1:27" x14ac:dyDescent="0.3">
      <c r="A3971" t="s">
        <v>3901</v>
      </c>
      <c r="B3971" t="s">
        <v>2733</v>
      </c>
      <c r="C3971" t="s">
        <v>308</v>
      </c>
      <c r="D3971" t="s">
        <v>3908</v>
      </c>
      <c r="E3971" t="s">
        <v>1138</v>
      </c>
      <c r="H3971" t="s">
        <v>25</v>
      </c>
      <c r="I3971" t="s">
        <v>2746</v>
      </c>
      <c r="L3971" t="s">
        <v>312</v>
      </c>
      <c r="M3971" t="s">
        <v>317</v>
      </c>
    </row>
    <row r="3972" spans="1:27" x14ac:dyDescent="0.3">
      <c r="A3972" t="s">
        <v>3901</v>
      </c>
      <c r="B3972" t="s">
        <v>2733</v>
      </c>
      <c r="C3972" t="s">
        <v>308</v>
      </c>
      <c r="D3972" t="s">
        <v>3909</v>
      </c>
      <c r="E3972" t="s">
        <v>341</v>
      </c>
      <c r="H3972" t="s">
        <v>25</v>
      </c>
      <c r="I3972" t="s">
        <v>342</v>
      </c>
      <c r="L3972" t="s">
        <v>312</v>
      </c>
      <c r="M3972" t="s">
        <v>343</v>
      </c>
    </row>
    <row r="3973" spans="1:27" x14ac:dyDescent="0.3">
      <c r="A3973" t="s">
        <v>3901</v>
      </c>
      <c r="B3973" t="s">
        <v>2733</v>
      </c>
      <c r="C3973" t="s">
        <v>22</v>
      </c>
      <c r="D3973" t="s">
        <v>23</v>
      </c>
      <c r="E3973" t="s">
        <v>28</v>
      </c>
    </row>
    <row r="3974" spans="1:27" x14ac:dyDescent="0.3">
      <c r="A3974" t="s">
        <v>3901</v>
      </c>
      <c r="B3974" t="s">
        <v>2733</v>
      </c>
      <c r="C3974" t="s">
        <v>2748</v>
      </c>
      <c r="D3974">
        <v>1.5</v>
      </c>
      <c r="H3974" t="s">
        <v>312</v>
      </c>
      <c r="I3974" t="s">
        <v>385</v>
      </c>
    </row>
    <row r="3975" spans="1:27" x14ac:dyDescent="0.3">
      <c r="A3975" t="s">
        <v>3901</v>
      </c>
      <c r="B3975" t="s">
        <v>2733</v>
      </c>
      <c r="C3975" t="s">
        <v>378</v>
      </c>
      <c r="D3975">
        <v>130</v>
      </c>
      <c r="H3975" t="s">
        <v>312</v>
      </c>
      <c r="I3975" t="s">
        <v>327</v>
      </c>
    </row>
    <row r="3976" spans="1:27" x14ac:dyDescent="0.3">
      <c r="A3976" t="s">
        <v>3901</v>
      </c>
      <c r="B3976" t="s">
        <v>2733</v>
      </c>
      <c r="C3976" t="s">
        <v>380</v>
      </c>
      <c r="D3976" t="s">
        <v>678</v>
      </c>
      <c r="E3976" t="s">
        <v>279</v>
      </c>
      <c r="F3976" t="s">
        <v>25</v>
      </c>
      <c r="G3976" t="s">
        <v>3910</v>
      </c>
      <c r="J3976" t="s">
        <v>2089</v>
      </c>
      <c r="K3976" t="s">
        <v>2750</v>
      </c>
      <c r="N3976" t="s">
        <v>2751</v>
      </c>
      <c r="O3976">
        <v>1</v>
      </c>
      <c r="R3976" t="s">
        <v>2752</v>
      </c>
      <c r="S3976">
        <v>158</v>
      </c>
      <c r="V3976" t="s">
        <v>2753</v>
      </c>
      <c r="W3976" t="s">
        <v>2754</v>
      </c>
      <c r="Z3976" t="s">
        <v>2755</v>
      </c>
      <c r="AA3976" t="s">
        <v>2756</v>
      </c>
    </row>
    <row r="3977" spans="1:27" x14ac:dyDescent="0.3">
      <c r="A3977" t="s">
        <v>3901</v>
      </c>
      <c r="B3977" t="s">
        <v>2733</v>
      </c>
      <c r="C3977" t="s">
        <v>16</v>
      </c>
      <c r="D3977" t="s">
        <v>178</v>
      </c>
      <c r="E3977" t="s">
        <v>37</v>
      </c>
    </row>
    <row r="3978" spans="1:27" x14ac:dyDescent="0.3">
      <c r="A3978" t="s">
        <v>3901</v>
      </c>
      <c r="B3978" t="s">
        <v>2733</v>
      </c>
      <c r="C3978" t="s">
        <v>11</v>
      </c>
      <c r="D3978" t="s">
        <v>12</v>
      </c>
      <c r="E3978" t="s">
        <v>13</v>
      </c>
      <c r="H3978" t="s">
        <v>382</v>
      </c>
      <c r="I3978" t="s">
        <v>3911</v>
      </c>
      <c r="L3978" t="s">
        <v>14</v>
      </c>
      <c r="M3978" t="s">
        <v>3911</v>
      </c>
    </row>
    <row r="3979" spans="1:27" x14ac:dyDescent="0.3">
      <c r="A3979" t="s">
        <v>3904</v>
      </c>
      <c r="B3979" t="s">
        <v>527</v>
      </c>
      <c r="C3979" t="s">
        <v>11</v>
      </c>
      <c r="D3979" t="s">
        <v>12</v>
      </c>
      <c r="E3979" t="s">
        <v>391</v>
      </c>
      <c r="H3979" t="s">
        <v>392</v>
      </c>
      <c r="I3979" t="s">
        <v>2758</v>
      </c>
      <c r="L3979" t="s">
        <v>394</v>
      </c>
      <c r="M3979" t="s">
        <v>3911</v>
      </c>
    </row>
    <row r="3980" spans="1:27" x14ac:dyDescent="0.3">
      <c r="A3980" t="s">
        <v>3903</v>
      </c>
      <c r="B3980" t="s">
        <v>2738</v>
      </c>
      <c r="C3980" t="s">
        <v>11</v>
      </c>
      <c r="D3980" t="s">
        <v>12</v>
      </c>
      <c r="E3980" t="s">
        <v>391</v>
      </c>
      <c r="H3980" t="s">
        <v>392</v>
      </c>
      <c r="I3980" t="s">
        <v>3912</v>
      </c>
      <c r="L3980" t="s">
        <v>394</v>
      </c>
      <c r="M3980" t="s">
        <v>3911</v>
      </c>
    </row>
    <row r="3981" spans="1:27" x14ac:dyDescent="0.3">
      <c r="A3981" t="s">
        <v>3902</v>
      </c>
      <c r="B3981" t="s">
        <v>2735</v>
      </c>
      <c r="C3981" t="s">
        <v>308</v>
      </c>
      <c r="D3981" t="s">
        <v>3913</v>
      </c>
      <c r="E3981" t="s">
        <v>406</v>
      </c>
      <c r="H3981" t="s">
        <v>25</v>
      </c>
      <c r="I3981" t="s">
        <v>2761</v>
      </c>
      <c r="L3981" t="s">
        <v>312</v>
      </c>
      <c r="M3981" t="s">
        <v>404</v>
      </c>
    </row>
    <row r="3982" spans="1:27" x14ac:dyDescent="0.3">
      <c r="A3982" t="s">
        <v>3913</v>
      </c>
      <c r="B3982" t="s">
        <v>406</v>
      </c>
      <c r="C3982" t="s">
        <v>11</v>
      </c>
      <c r="D3982" t="s">
        <v>12</v>
      </c>
      <c r="E3982" t="s">
        <v>391</v>
      </c>
      <c r="H3982" t="s">
        <v>392</v>
      </c>
      <c r="I3982" t="s">
        <v>3914</v>
      </c>
      <c r="L3982" t="s">
        <v>394</v>
      </c>
      <c r="M3982" t="s">
        <v>3911</v>
      </c>
    </row>
    <row r="3983" spans="1:27" x14ac:dyDescent="0.3">
      <c r="A3983" t="s">
        <v>3906</v>
      </c>
      <c r="B3983" t="s">
        <v>1138</v>
      </c>
      <c r="C3983" t="s">
        <v>11</v>
      </c>
      <c r="D3983" t="s">
        <v>12</v>
      </c>
      <c r="E3983" t="s">
        <v>391</v>
      </c>
      <c r="H3983" t="s">
        <v>392</v>
      </c>
      <c r="I3983" t="s">
        <v>3915</v>
      </c>
      <c r="L3983" t="s">
        <v>394</v>
      </c>
      <c r="M3983" t="s">
        <v>3911</v>
      </c>
    </row>
    <row r="3984" spans="1:27" x14ac:dyDescent="0.3">
      <c r="A3984" t="s">
        <v>3909</v>
      </c>
      <c r="B3984" t="s">
        <v>341</v>
      </c>
      <c r="C3984" t="s">
        <v>11</v>
      </c>
      <c r="D3984" t="s">
        <v>12</v>
      </c>
      <c r="E3984" t="s">
        <v>391</v>
      </c>
      <c r="H3984" t="s">
        <v>392</v>
      </c>
      <c r="I3984" t="s">
        <v>3916</v>
      </c>
      <c r="L3984" t="s">
        <v>394</v>
      </c>
      <c r="M3984" t="s">
        <v>3911</v>
      </c>
    </row>
    <row r="3985" spans="1:27" x14ac:dyDescent="0.3">
      <c r="A3985" t="s">
        <v>3907</v>
      </c>
      <c r="B3985" t="s">
        <v>1134</v>
      </c>
      <c r="C3985" t="s">
        <v>11</v>
      </c>
      <c r="D3985" t="s">
        <v>12</v>
      </c>
      <c r="E3985" t="s">
        <v>391</v>
      </c>
      <c r="H3985" t="s">
        <v>392</v>
      </c>
      <c r="I3985" t="s">
        <v>3917</v>
      </c>
      <c r="L3985" t="s">
        <v>394</v>
      </c>
      <c r="M3985" t="s">
        <v>3911</v>
      </c>
    </row>
    <row r="3986" spans="1:27" x14ac:dyDescent="0.3">
      <c r="A3986" t="s">
        <v>3908</v>
      </c>
      <c r="B3986" t="s">
        <v>1138</v>
      </c>
      <c r="C3986" t="s">
        <v>11</v>
      </c>
      <c r="D3986" t="s">
        <v>12</v>
      </c>
      <c r="E3986" t="s">
        <v>391</v>
      </c>
      <c r="H3986" t="s">
        <v>392</v>
      </c>
      <c r="I3986" t="s">
        <v>3918</v>
      </c>
      <c r="L3986" t="s">
        <v>394</v>
      </c>
      <c r="M3986" t="s">
        <v>3911</v>
      </c>
    </row>
    <row r="3987" spans="1:27" x14ac:dyDescent="0.3">
      <c r="A3987" t="s">
        <v>3905</v>
      </c>
      <c r="B3987" t="s">
        <v>2077</v>
      </c>
      <c r="C3987" t="s">
        <v>11</v>
      </c>
      <c r="D3987" t="s">
        <v>12</v>
      </c>
      <c r="E3987" t="s">
        <v>391</v>
      </c>
      <c r="H3987" t="s">
        <v>392</v>
      </c>
      <c r="I3987" t="s">
        <v>2128</v>
      </c>
      <c r="L3987" t="s">
        <v>394</v>
      </c>
      <c r="M3987" t="s">
        <v>3911</v>
      </c>
    </row>
    <row r="3988" spans="1:27" x14ac:dyDescent="0.3">
      <c r="A3988" t="s">
        <v>3919</v>
      </c>
      <c r="B3988" t="s">
        <v>2733</v>
      </c>
      <c r="C3988" t="s">
        <v>280</v>
      </c>
      <c r="D3988" t="s">
        <v>3920</v>
      </c>
      <c r="E3988" t="s">
        <v>2735</v>
      </c>
      <c r="H3988" t="s">
        <v>25</v>
      </c>
      <c r="I3988" t="s">
        <v>2736</v>
      </c>
    </row>
    <row r="3989" spans="1:27" x14ac:dyDescent="0.3">
      <c r="A3989" t="s">
        <v>3919</v>
      </c>
      <c r="B3989" t="s">
        <v>2733</v>
      </c>
      <c r="C3989" t="s">
        <v>308</v>
      </c>
      <c r="D3989" t="s">
        <v>3921</v>
      </c>
      <c r="E3989" t="s">
        <v>2738</v>
      </c>
      <c r="H3989" t="s">
        <v>25</v>
      </c>
      <c r="I3989" t="s">
        <v>2739</v>
      </c>
      <c r="L3989" t="s">
        <v>312</v>
      </c>
      <c r="M3989" t="s">
        <v>327</v>
      </c>
    </row>
    <row r="3990" spans="1:27" x14ac:dyDescent="0.3">
      <c r="A3990" t="s">
        <v>3919</v>
      </c>
      <c r="B3990" t="s">
        <v>2733</v>
      </c>
      <c r="C3990" t="s">
        <v>308</v>
      </c>
      <c r="D3990" t="s">
        <v>3922</v>
      </c>
      <c r="E3990" t="s">
        <v>527</v>
      </c>
      <c r="H3990" t="s">
        <v>25</v>
      </c>
      <c r="I3990" t="s">
        <v>2741</v>
      </c>
      <c r="L3990" t="s">
        <v>312</v>
      </c>
      <c r="M3990" t="s">
        <v>343</v>
      </c>
    </row>
    <row r="3991" spans="1:27" x14ac:dyDescent="0.3">
      <c r="A3991" t="s">
        <v>3919</v>
      </c>
      <c r="B3991" t="s">
        <v>2733</v>
      </c>
      <c r="C3991" t="s">
        <v>308</v>
      </c>
      <c r="D3991" t="s">
        <v>3923</v>
      </c>
      <c r="E3991" t="s">
        <v>2077</v>
      </c>
      <c r="H3991" t="s">
        <v>25</v>
      </c>
      <c r="I3991" t="s">
        <v>2078</v>
      </c>
      <c r="L3991" t="s">
        <v>312</v>
      </c>
      <c r="M3991" t="s">
        <v>1687</v>
      </c>
    </row>
    <row r="3992" spans="1:27" x14ac:dyDescent="0.3">
      <c r="A3992" t="s">
        <v>3919</v>
      </c>
      <c r="B3992" t="s">
        <v>2733</v>
      </c>
      <c r="C3992" t="s">
        <v>308</v>
      </c>
      <c r="D3992" t="s">
        <v>3924</v>
      </c>
      <c r="E3992" t="s">
        <v>1138</v>
      </c>
      <c r="H3992" t="s">
        <v>25</v>
      </c>
      <c r="I3992" t="s">
        <v>2065</v>
      </c>
      <c r="L3992" t="s">
        <v>312</v>
      </c>
      <c r="M3992" t="s">
        <v>317</v>
      </c>
    </row>
    <row r="3993" spans="1:27" x14ac:dyDescent="0.3">
      <c r="A3993" t="s">
        <v>3919</v>
      </c>
      <c r="B3993" t="s">
        <v>2733</v>
      </c>
      <c r="C3993" t="s">
        <v>308</v>
      </c>
      <c r="D3993" t="s">
        <v>3925</v>
      </c>
      <c r="E3993" t="s">
        <v>1134</v>
      </c>
      <c r="H3993" t="s">
        <v>25</v>
      </c>
      <c r="I3993" t="s">
        <v>2069</v>
      </c>
      <c r="L3993" t="s">
        <v>312</v>
      </c>
      <c r="M3993" t="s">
        <v>317</v>
      </c>
    </row>
    <row r="3994" spans="1:27" x14ac:dyDescent="0.3">
      <c r="A3994" t="s">
        <v>3919</v>
      </c>
      <c r="B3994" t="s">
        <v>2733</v>
      </c>
      <c r="C3994" t="s">
        <v>308</v>
      </c>
      <c r="D3994" t="s">
        <v>3926</v>
      </c>
      <c r="E3994" t="s">
        <v>1138</v>
      </c>
      <c r="H3994" t="s">
        <v>25</v>
      </c>
      <c r="I3994" t="s">
        <v>2746</v>
      </c>
      <c r="L3994" t="s">
        <v>312</v>
      </c>
      <c r="M3994" t="s">
        <v>317</v>
      </c>
    </row>
    <row r="3995" spans="1:27" x14ac:dyDescent="0.3">
      <c r="A3995" t="s">
        <v>3919</v>
      </c>
      <c r="B3995" t="s">
        <v>2733</v>
      </c>
      <c r="C3995" t="s">
        <v>308</v>
      </c>
      <c r="D3995" t="s">
        <v>3927</v>
      </c>
      <c r="E3995" t="s">
        <v>341</v>
      </c>
      <c r="H3995" t="s">
        <v>25</v>
      </c>
      <c r="I3995" t="s">
        <v>342</v>
      </c>
      <c r="L3995" t="s">
        <v>312</v>
      </c>
      <c r="M3995" t="s">
        <v>343</v>
      </c>
    </row>
    <row r="3996" spans="1:27" x14ac:dyDescent="0.3">
      <c r="A3996" t="s">
        <v>3919</v>
      </c>
      <c r="B3996" t="s">
        <v>2733</v>
      </c>
      <c r="C3996" t="s">
        <v>22</v>
      </c>
      <c r="D3996" t="s">
        <v>23</v>
      </c>
      <c r="E3996" t="s">
        <v>28</v>
      </c>
    </row>
    <row r="3997" spans="1:27" x14ac:dyDescent="0.3">
      <c r="A3997" t="s">
        <v>3919</v>
      </c>
      <c r="B3997" t="s">
        <v>2733</v>
      </c>
      <c r="C3997" t="s">
        <v>2748</v>
      </c>
      <c r="D3997">
        <v>1.5</v>
      </c>
      <c r="H3997" t="s">
        <v>312</v>
      </c>
      <c r="I3997" t="s">
        <v>385</v>
      </c>
    </row>
    <row r="3998" spans="1:27" x14ac:dyDescent="0.3">
      <c r="A3998" t="s">
        <v>3919</v>
      </c>
      <c r="B3998" t="s">
        <v>2733</v>
      </c>
      <c r="C3998" t="s">
        <v>378</v>
      </c>
      <c r="D3998">
        <v>130</v>
      </c>
      <c r="H3998" t="s">
        <v>312</v>
      </c>
      <c r="I3998" t="s">
        <v>327</v>
      </c>
    </row>
    <row r="3999" spans="1:27" x14ac:dyDescent="0.3">
      <c r="A3999" t="s">
        <v>3919</v>
      </c>
      <c r="B3999" t="s">
        <v>2733</v>
      </c>
      <c r="C3999" t="s">
        <v>380</v>
      </c>
      <c r="D3999" t="s">
        <v>798</v>
      </c>
      <c r="E3999" t="s">
        <v>279</v>
      </c>
      <c r="F3999" t="s">
        <v>25</v>
      </c>
      <c r="G3999" t="s">
        <v>3928</v>
      </c>
      <c r="J3999" t="s">
        <v>2089</v>
      </c>
      <c r="K3999" t="s">
        <v>2750</v>
      </c>
      <c r="N3999" t="s">
        <v>2751</v>
      </c>
      <c r="O3999">
        <v>1</v>
      </c>
      <c r="R3999" t="s">
        <v>2752</v>
      </c>
      <c r="S3999">
        <v>158</v>
      </c>
      <c r="V3999" t="s">
        <v>2753</v>
      </c>
      <c r="W3999" t="s">
        <v>2754</v>
      </c>
      <c r="Z3999" t="s">
        <v>2755</v>
      </c>
      <c r="AA3999" t="s">
        <v>2756</v>
      </c>
    </row>
    <row r="4000" spans="1:27" x14ac:dyDescent="0.3">
      <c r="A4000" t="s">
        <v>3919</v>
      </c>
      <c r="B4000" t="s">
        <v>2733</v>
      </c>
      <c r="C4000" t="s">
        <v>16</v>
      </c>
      <c r="D4000" t="s">
        <v>176</v>
      </c>
      <c r="E4000" t="s">
        <v>37</v>
      </c>
    </row>
    <row r="4001" spans="1:13" x14ac:dyDescent="0.3">
      <c r="A4001" t="s">
        <v>3919</v>
      </c>
      <c r="B4001" t="s">
        <v>2733</v>
      </c>
      <c r="C4001" t="s">
        <v>11</v>
      </c>
      <c r="D4001" t="s">
        <v>12</v>
      </c>
      <c r="E4001" t="s">
        <v>13</v>
      </c>
      <c r="H4001" t="s">
        <v>382</v>
      </c>
      <c r="I4001" t="s">
        <v>3929</v>
      </c>
      <c r="L4001" t="s">
        <v>14</v>
      </c>
      <c r="M4001" t="s">
        <v>3929</v>
      </c>
    </row>
    <row r="4002" spans="1:13" x14ac:dyDescent="0.3">
      <c r="A4002" t="s">
        <v>3922</v>
      </c>
      <c r="B4002" t="s">
        <v>527</v>
      </c>
      <c r="C4002" t="s">
        <v>11</v>
      </c>
      <c r="D4002" t="s">
        <v>12</v>
      </c>
      <c r="E4002" t="s">
        <v>391</v>
      </c>
      <c r="H4002" t="s">
        <v>392</v>
      </c>
      <c r="I4002" t="s">
        <v>2758</v>
      </c>
      <c r="L4002" t="s">
        <v>394</v>
      </c>
      <c r="M4002" t="s">
        <v>3929</v>
      </c>
    </row>
    <row r="4003" spans="1:13" x14ac:dyDescent="0.3">
      <c r="A4003" t="s">
        <v>3921</v>
      </c>
      <c r="B4003" t="s">
        <v>2738</v>
      </c>
      <c r="C4003" t="s">
        <v>11</v>
      </c>
      <c r="D4003" t="s">
        <v>12</v>
      </c>
      <c r="E4003" t="s">
        <v>391</v>
      </c>
      <c r="H4003" t="s">
        <v>392</v>
      </c>
      <c r="I4003" t="s">
        <v>3930</v>
      </c>
      <c r="L4003" t="s">
        <v>394</v>
      </c>
      <c r="M4003" t="s">
        <v>3929</v>
      </c>
    </row>
    <row r="4004" spans="1:13" x14ac:dyDescent="0.3">
      <c r="A4004" t="s">
        <v>3920</v>
      </c>
      <c r="B4004" t="s">
        <v>2735</v>
      </c>
      <c r="C4004" t="s">
        <v>308</v>
      </c>
      <c r="D4004" t="s">
        <v>3931</v>
      </c>
      <c r="E4004" t="s">
        <v>406</v>
      </c>
      <c r="H4004" t="s">
        <v>25</v>
      </c>
      <c r="I4004" t="s">
        <v>2761</v>
      </c>
      <c r="L4004" t="s">
        <v>312</v>
      </c>
      <c r="M4004" t="s">
        <v>404</v>
      </c>
    </row>
    <row r="4005" spans="1:13" x14ac:dyDescent="0.3">
      <c r="A4005" t="s">
        <v>3931</v>
      </c>
      <c r="B4005" t="s">
        <v>406</v>
      </c>
      <c r="C4005" t="s">
        <v>11</v>
      </c>
      <c r="D4005" t="s">
        <v>12</v>
      </c>
      <c r="E4005" t="s">
        <v>391</v>
      </c>
      <c r="H4005" t="s">
        <v>392</v>
      </c>
      <c r="I4005" t="s">
        <v>3932</v>
      </c>
      <c r="L4005" t="s">
        <v>394</v>
      </c>
      <c r="M4005" t="s">
        <v>3929</v>
      </c>
    </row>
    <row r="4006" spans="1:13" x14ac:dyDescent="0.3">
      <c r="A4006" t="s">
        <v>3924</v>
      </c>
      <c r="B4006" t="s">
        <v>1138</v>
      </c>
      <c r="C4006" t="s">
        <v>11</v>
      </c>
      <c r="D4006" t="s">
        <v>12</v>
      </c>
      <c r="E4006" t="s">
        <v>391</v>
      </c>
      <c r="H4006" t="s">
        <v>392</v>
      </c>
      <c r="I4006" t="s">
        <v>3933</v>
      </c>
      <c r="L4006" t="s">
        <v>394</v>
      </c>
      <c r="M4006" t="s">
        <v>3929</v>
      </c>
    </row>
    <row r="4007" spans="1:13" x14ac:dyDescent="0.3">
      <c r="A4007" t="s">
        <v>3927</v>
      </c>
      <c r="B4007" t="s">
        <v>341</v>
      </c>
      <c r="C4007" t="s">
        <v>11</v>
      </c>
      <c r="D4007" t="s">
        <v>12</v>
      </c>
      <c r="E4007" t="s">
        <v>391</v>
      </c>
      <c r="H4007" t="s">
        <v>392</v>
      </c>
      <c r="I4007" t="s">
        <v>3934</v>
      </c>
      <c r="L4007" t="s">
        <v>394</v>
      </c>
      <c r="M4007" t="s">
        <v>3929</v>
      </c>
    </row>
    <row r="4008" spans="1:13" x14ac:dyDescent="0.3">
      <c r="A4008" t="s">
        <v>3925</v>
      </c>
      <c r="B4008" t="s">
        <v>1134</v>
      </c>
      <c r="C4008" t="s">
        <v>11</v>
      </c>
      <c r="D4008" t="s">
        <v>12</v>
      </c>
      <c r="E4008" t="s">
        <v>391</v>
      </c>
      <c r="H4008" t="s">
        <v>392</v>
      </c>
      <c r="I4008" t="s">
        <v>3935</v>
      </c>
      <c r="L4008" t="s">
        <v>394</v>
      </c>
      <c r="M4008" t="s">
        <v>3929</v>
      </c>
    </row>
    <row r="4009" spans="1:13" x14ac:dyDescent="0.3">
      <c r="A4009" t="s">
        <v>3926</v>
      </c>
      <c r="B4009" t="s">
        <v>1138</v>
      </c>
      <c r="C4009" t="s">
        <v>11</v>
      </c>
      <c r="D4009" t="s">
        <v>12</v>
      </c>
      <c r="E4009" t="s">
        <v>391</v>
      </c>
      <c r="H4009" t="s">
        <v>392</v>
      </c>
      <c r="I4009" t="s">
        <v>3936</v>
      </c>
      <c r="L4009" t="s">
        <v>394</v>
      </c>
      <c r="M4009" t="s">
        <v>3929</v>
      </c>
    </row>
    <row r="4010" spans="1:13" x14ac:dyDescent="0.3">
      <c r="A4010" t="s">
        <v>3923</v>
      </c>
      <c r="B4010" t="s">
        <v>2077</v>
      </c>
      <c r="C4010" t="s">
        <v>11</v>
      </c>
      <c r="D4010" t="s">
        <v>12</v>
      </c>
      <c r="E4010" t="s">
        <v>391</v>
      </c>
      <c r="H4010" t="s">
        <v>392</v>
      </c>
      <c r="I4010" t="s">
        <v>2128</v>
      </c>
      <c r="L4010" t="s">
        <v>394</v>
      </c>
      <c r="M4010" t="s">
        <v>3929</v>
      </c>
    </row>
    <row r="4011" spans="1:13" x14ac:dyDescent="0.3">
      <c r="A4011" t="s">
        <v>3937</v>
      </c>
      <c r="B4011" t="s">
        <v>2733</v>
      </c>
      <c r="C4011" t="s">
        <v>280</v>
      </c>
      <c r="D4011" t="s">
        <v>3938</v>
      </c>
      <c r="E4011" t="s">
        <v>2735</v>
      </c>
      <c r="H4011" t="s">
        <v>25</v>
      </c>
      <c r="I4011" t="s">
        <v>2736</v>
      </c>
    </row>
    <row r="4012" spans="1:13" x14ac:dyDescent="0.3">
      <c r="A4012" t="s">
        <v>3937</v>
      </c>
      <c r="B4012" t="s">
        <v>2733</v>
      </c>
      <c r="C4012" t="s">
        <v>308</v>
      </c>
      <c r="D4012" t="s">
        <v>3939</v>
      </c>
      <c r="E4012" t="s">
        <v>2738</v>
      </c>
      <c r="H4012" t="s">
        <v>25</v>
      </c>
      <c r="I4012" t="s">
        <v>2739</v>
      </c>
      <c r="L4012" t="s">
        <v>312</v>
      </c>
      <c r="M4012" t="s">
        <v>327</v>
      </c>
    </row>
    <row r="4013" spans="1:13" x14ac:dyDescent="0.3">
      <c r="A4013" t="s">
        <v>3937</v>
      </c>
      <c r="B4013" t="s">
        <v>2733</v>
      </c>
      <c r="C4013" t="s">
        <v>308</v>
      </c>
      <c r="D4013" t="s">
        <v>3940</v>
      </c>
      <c r="E4013" t="s">
        <v>527</v>
      </c>
      <c r="H4013" t="s">
        <v>25</v>
      </c>
      <c r="I4013" t="s">
        <v>2741</v>
      </c>
      <c r="L4013" t="s">
        <v>312</v>
      </c>
      <c r="M4013" t="s">
        <v>343</v>
      </c>
    </row>
    <row r="4014" spans="1:13" x14ac:dyDescent="0.3">
      <c r="A4014" t="s">
        <v>3937</v>
      </c>
      <c r="B4014" t="s">
        <v>2733</v>
      </c>
      <c r="C4014" t="s">
        <v>308</v>
      </c>
      <c r="D4014" t="s">
        <v>3941</v>
      </c>
      <c r="E4014" t="s">
        <v>2077</v>
      </c>
      <c r="H4014" t="s">
        <v>25</v>
      </c>
      <c r="I4014" t="s">
        <v>2078</v>
      </c>
      <c r="L4014" t="s">
        <v>312</v>
      </c>
      <c r="M4014" t="s">
        <v>1687</v>
      </c>
    </row>
    <row r="4015" spans="1:13" x14ac:dyDescent="0.3">
      <c r="A4015" t="s">
        <v>3937</v>
      </c>
      <c r="B4015" t="s">
        <v>2733</v>
      </c>
      <c r="C4015" t="s">
        <v>308</v>
      </c>
      <c r="D4015" t="s">
        <v>3942</v>
      </c>
      <c r="E4015" t="s">
        <v>1138</v>
      </c>
      <c r="H4015" t="s">
        <v>25</v>
      </c>
      <c r="I4015" t="s">
        <v>2065</v>
      </c>
      <c r="L4015" t="s">
        <v>312</v>
      </c>
      <c r="M4015" t="s">
        <v>317</v>
      </c>
    </row>
    <row r="4016" spans="1:13" x14ac:dyDescent="0.3">
      <c r="A4016" t="s">
        <v>3937</v>
      </c>
      <c r="B4016" t="s">
        <v>2733</v>
      </c>
      <c r="C4016" t="s">
        <v>308</v>
      </c>
      <c r="D4016" t="s">
        <v>3943</v>
      </c>
      <c r="E4016" t="s">
        <v>1134</v>
      </c>
      <c r="H4016" t="s">
        <v>25</v>
      </c>
      <c r="I4016" t="s">
        <v>2069</v>
      </c>
      <c r="L4016" t="s">
        <v>312</v>
      </c>
      <c r="M4016" t="s">
        <v>317</v>
      </c>
    </row>
    <row r="4017" spans="1:27" x14ac:dyDescent="0.3">
      <c r="A4017" t="s">
        <v>3937</v>
      </c>
      <c r="B4017" t="s">
        <v>2733</v>
      </c>
      <c r="C4017" t="s">
        <v>308</v>
      </c>
      <c r="D4017" t="s">
        <v>3944</v>
      </c>
      <c r="E4017" t="s">
        <v>1138</v>
      </c>
      <c r="H4017" t="s">
        <v>25</v>
      </c>
      <c r="I4017" t="s">
        <v>2746</v>
      </c>
      <c r="L4017" t="s">
        <v>312</v>
      </c>
      <c r="M4017" t="s">
        <v>317</v>
      </c>
    </row>
    <row r="4018" spans="1:27" x14ac:dyDescent="0.3">
      <c r="A4018" t="s">
        <v>3937</v>
      </c>
      <c r="B4018" t="s">
        <v>2733</v>
      </c>
      <c r="C4018" t="s">
        <v>308</v>
      </c>
      <c r="D4018" t="s">
        <v>3945</v>
      </c>
      <c r="E4018" t="s">
        <v>341</v>
      </c>
      <c r="H4018" t="s">
        <v>25</v>
      </c>
      <c r="I4018" t="s">
        <v>342</v>
      </c>
      <c r="L4018" t="s">
        <v>312</v>
      </c>
      <c r="M4018" t="s">
        <v>343</v>
      </c>
    </row>
    <row r="4019" spans="1:27" x14ac:dyDescent="0.3">
      <c r="A4019" t="s">
        <v>3937</v>
      </c>
      <c r="B4019" t="s">
        <v>2733</v>
      </c>
      <c r="C4019" t="s">
        <v>22</v>
      </c>
      <c r="D4019" t="s">
        <v>23</v>
      </c>
      <c r="E4019" t="s">
        <v>28</v>
      </c>
    </row>
    <row r="4020" spans="1:27" x14ac:dyDescent="0.3">
      <c r="A4020" t="s">
        <v>3937</v>
      </c>
      <c r="B4020" t="s">
        <v>2733</v>
      </c>
      <c r="C4020" t="s">
        <v>2748</v>
      </c>
      <c r="D4020">
        <v>1.5</v>
      </c>
      <c r="H4020" t="s">
        <v>312</v>
      </c>
      <c r="I4020" t="s">
        <v>385</v>
      </c>
    </row>
    <row r="4021" spans="1:27" x14ac:dyDescent="0.3">
      <c r="A4021" t="s">
        <v>3937</v>
      </c>
      <c r="B4021" t="s">
        <v>2733</v>
      </c>
      <c r="C4021" t="s">
        <v>378</v>
      </c>
      <c r="D4021">
        <v>130</v>
      </c>
      <c r="H4021" t="s">
        <v>312</v>
      </c>
      <c r="I4021" t="s">
        <v>327</v>
      </c>
    </row>
    <row r="4022" spans="1:27" x14ac:dyDescent="0.3">
      <c r="A4022" t="s">
        <v>3937</v>
      </c>
      <c r="B4022" t="s">
        <v>2733</v>
      </c>
      <c r="C4022" t="s">
        <v>380</v>
      </c>
      <c r="D4022" t="s">
        <v>798</v>
      </c>
      <c r="E4022" t="s">
        <v>279</v>
      </c>
      <c r="F4022" t="s">
        <v>25</v>
      </c>
      <c r="G4022" t="s">
        <v>3946</v>
      </c>
      <c r="J4022" t="s">
        <v>2089</v>
      </c>
      <c r="K4022" t="s">
        <v>2750</v>
      </c>
      <c r="N4022" t="s">
        <v>2751</v>
      </c>
      <c r="O4022">
        <v>2</v>
      </c>
      <c r="R4022" t="s">
        <v>2752</v>
      </c>
      <c r="S4022">
        <v>158</v>
      </c>
      <c r="V4022" t="s">
        <v>2753</v>
      </c>
      <c r="W4022" t="s">
        <v>2754</v>
      </c>
      <c r="Z4022" t="s">
        <v>2755</v>
      </c>
      <c r="AA4022" t="s">
        <v>2756</v>
      </c>
    </row>
    <row r="4023" spans="1:27" x14ac:dyDescent="0.3">
      <c r="A4023" t="s">
        <v>3937</v>
      </c>
      <c r="B4023" t="s">
        <v>2733</v>
      </c>
      <c r="C4023" t="s">
        <v>16</v>
      </c>
      <c r="D4023" t="s">
        <v>174</v>
      </c>
      <c r="E4023" t="s">
        <v>37</v>
      </c>
    </row>
    <row r="4024" spans="1:27" x14ac:dyDescent="0.3">
      <c r="A4024" t="s">
        <v>3937</v>
      </c>
      <c r="B4024" t="s">
        <v>2733</v>
      </c>
      <c r="C4024" t="s">
        <v>11</v>
      </c>
      <c r="D4024" t="s">
        <v>12</v>
      </c>
      <c r="E4024" t="s">
        <v>13</v>
      </c>
      <c r="H4024" t="s">
        <v>382</v>
      </c>
      <c r="I4024" t="s">
        <v>3947</v>
      </c>
      <c r="L4024" t="s">
        <v>14</v>
      </c>
      <c r="M4024" t="s">
        <v>3947</v>
      </c>
    </row>
    <row r="4025" spans="1:27" x14ac:dyDescent="0.3">
      <c r="A4025" t="s">
        <v>3940</v>
      </c>
      <c r="B4025" t="s">
        <v>527</v>
      </c>
      <c r="C4025" t="s">
        <v>11</v>
      </c>
      <c r="D4025" t="s">
        <v>12</v>
      </c>
      <c r="E4025" t="s">
        <v>391</v>
      </c>
      <c r="H4025" t="s">
        <v>392</v>
      </c>
      <c r="I4025" t="s">
        <v>2758</v>
      </c>
      <c r="L4025" t="s">
        <v>394</v>
      </c>
      <c r="M4025" t="s">
        <v>3947</v>
      </c>
    </row>
    <row r="4026" spans="1:27" x14ac:dyDescent="0.3">
      <c r="A4026" t="s">
        <v>3939</v>
      </c>
      <c r="B4026" t="s">
        <v>2738</v>
      </c>
      <c r="C4026" t="s">
        <v>11</v>
      </c>
      <c r="D4026" t="s">
        <v>12</v>
      </c>
      <c r="E4026" t="s">
        <v>391</v>
      </c>
      <c r="H4026" t="s">
        <v>392</v>
      </c>
      <c r="I4026" t="s">
        <v>3948</v>
      </c>
      <c r="L4026" t="s">
        <v>394</v>
      </c>
      <c r="M4026" t="s">
        <v>3947</v>
      </c>
    </row>
    <row r="4027" spans="1:27" x14ac:dyDescent="0.3">
      <c r="A4027" t="s">
        <v>3938</v>
      </c>
      <c r="B4027" t="s">
        <v>2735</v>
      </c>
      <c r="C4027" t="s">
        <v>308</v>
      </c>
      <c r="D4027" t="s">
        <v>3949</v>
      </c>
      <c r="E4027" t="s">
        <v>406</v>
      </c>
      <c r="H4027" t="s">
        <v>25</v>
      </c>
      <c r="I4027" t="s">
        <v>2761</v>
      </c>
      <c r="L4027" t="s">
        <v>312</v>
      </c>
      <c r="M4027" t="s">
        <v>404</v>
      </c>
    </row>
    <row r="4028" spans="1:27" x14ac:dyDescent="0.3">
      <c r="A4028" t="s">
        <v>3949</v>
      </c>
      <c r="B4028" t="s">
        <v>406</v>
      </c>
      <c r="C4028" t="s">
        <v>11</v>
      </c>
      <c r="D4028" t="s">
        <v>12</v>
      </c>
      <c r="E4028" t="s">
        <v>391</v>
      </c>
      <c r="H4028" t="s">
        <v>392</v>
      </c>
      <c r="I4028" t="s">
        <v>3950</v>
      </c>
      <c r="L4028" t="s">
        <v>394</v>
      </c>
      <c r="M4028" t="s">
        <v>3947</v>
      </c>
    </row>
    <row r="4029" spans="1:27" x14ac:dyDescent="0.3">
      <c r="A4029" t="s">
        <v>3942</v>
      </c>
      <c r="B4029" t="s">
        <v>1138</v>
      </c>
      <c r="C4029" t="s">
        <v>11</v>
      </c>
      <c r="D4029" t="s">
        <v>12</v>
      </c>
      <c r="E4029" t="s">
        <v>391</v>
      </c>
      <c r="H4029" t="s">
        <v>392</v>
      </c>
      <c r="I4029" t="s">
        <v>3951</v>
      </c>
      <c r="L4029" t="s">
        <v>394</v>
      </c>
      <c r="M4029" t="s">
        <v>3947</v>
      </c>
    </row>
    <row r="4030" spans="1:27" x14ac:dyDescent="0.3">
      <c r="A4030" t="s">
        <v>3945</v>
      </c>
      <c r="B4030" t="s">
        <v>341</v>
      </c>
      <c r="C4030" t="s">
        <v>11</v>
      </c>
      <c r="D4030" t="s">
        <v>12</v>
      </c>
      <c r="E4030" t="s">
        <v>391</v>
      </c>
      <c r="H4030" t="s">
        <v>392</v>
      </c>
      <c r="I4030" t="s">
        <v>3952</v>
      </c>
      <c r="L4030" t="s">
        <v>394</v>
      </c>
      <c r="M4030" t="s">
        <v>3947</v>
      </c>
    </row>
    <row r="4031" spans="1:27" x14ac:dyDescent="0.3">
      <c r="A4031" t="s">
        <v>3943</v>
      </c>
      <c r="B4031" t="s">
        <v>1134</v>
      </c>
      <c r="C4031" t="s">
        <v>11</v>
      </c>
      <c r="D4031" t="s">
        <v>12</v>
      </c>
      <c r="E4031" t="s">
        <v>391</v>
      </c>
      <c r="H4031" t="s">
        <v>392</v>
      </c>
      <c r="I4031" t="s">
        <v>3953</v>
      </c>
      <c r="L4031" t="s">
        <v>394</v>
      </c>
      <c r="M4031" t="s">
        <v>3947</v>
      </c>
    </row>
    <row r="4032" spans="1:27" x14ac:dyDescent="0.3">
      <c r="A4032" t="s">
        <v>3944</v>
      </c>
      <c r="B4032" t="s">
        <v>1138</v>
      </c>
      <c r="C4032" t="s">
        <v>11</v>
      </c>
      <c r="D4032" t="s">
        <v>12</v>
      </c>
      <c r="E4032" t="s">
        <v>391</v>
      </c>
      <c r="H4032" t="s">
        <v>392</v>
      </c>
      <c r="I4032" t="s">
        <v>3954</v>
      </c>
      <c r="L4032" t="s">
        <v>394</v>
      </c>
      <c r="M4032" t="s">
        <v>3947</v>
      </c>
    </row>
    <row r="4033" spans="1:27" x14ac:dyDescent="0.3">
      <c r="A4033" t="s">
        <v>3941</v>
      </c>
      <c r="B4033" t="s">
        <v>2077</v>
      </c>
      <c r="C4033" t="s">
        <v>11</v>
      </c>
      <c r="D4033" t="s">
        <v>12</v>
      </c>
      <c r="E4033" t="s">
        <v>391</v>
      </c>
      <c r="H4033" t="s">
        <v>392</v>
      </c>
      <c r="I4033" t="s">
        <v>2128</v>
      </c>
      <c r="L4033" t="s">
        <v>394</v>
      </c>
      <c r="M4033" t="s">
        <v>3947</v>
      </c>
    </row>
    <row r="4034" spans="1:27" x14ac:dyDescent="0.3">
      <c r="A4034" t="s">
        <v>3955</v>
      </c>
      <c r="B4034" t="s">
        <v>2733</v>
      </c>
      <c r="C4034" t="s">
        <v>280</v>
      </c>
      <c r="D4034" t="s">
        <v>3956</v>
      </c>
      <c r="E4034" t="s">
        <v>2735</v>
      </c>
      <c r="H4034" t="s">
        <v>25</v>
      </c>
      <c r="I4034" t="s">
        <v>2736</v>
      </c>
    </row>
    <row r="4035" spans="1:27" x14ac:dyDescent="0.3">
      <c r="A4035" t="s">
        <v>3955</v>
      </c>
      <c r="B4035" t="s">
        <v>2733</v>
      </c>
      <c r="C4035" t="s">
        <v>308</v>
      </c>
      <c r="D4035" t="s">
        <v>3957</v>
      </c>
      <c r="E4035" t="s">
        <v>2738</v>
      </c>
      <c r="H4035" t="s">
        <v>25</v>
      </c>
      <c r="I4035" t="s">
        <v>2739</v>
      </c>
      <c r="L4035" t="s">
        <v>312</v>
      </c>
      <c r="M4035" t="s">
        <v>327</v>
      </c>
    </row>
    <row r="4036" spans="1:27" x14ac:dyDescent="0.3">
      <c r="A4036" t="s">
        <v>3955</v>
      </c>
      <c r="B4036" t="s">
        <v>2733</v>
      </c>
      <c r="C4036" t="s">
        <v>308</v>
      </c>
      <c r="D4036" t="s">
        <v>3958</v>
      </c>
      <c r="E4036" t="s">
        <v>527</v>
      </c>
      <c r="H4036" t="s">
        <v>25</v>
      </c>
      <c r="I4036" t="s">
        <v>2741</v>
      </c>
      <c r="L4036" t="s">
        <v>312</v>
      </c>
      <c r="M4036" t="s">
        <v>343</v>
      </c>
    </row>
    <row r="4037" spans="1:27" x14ac:dyDescent="0.3">
      <c r="A4037" t="s">
        <v>3955</v>
      </c>
      <c r="B4037" t="s">
        <v>2733</v>
      </c>
      <c r="C4037" t="s">
        <v>308</v>
      </c>
      <c r="D4037" t="s">
        <v>3959</v>
      </c>
      <c r="E4037" t="s">
        <v>2077</v>
      </c>
      <c r="H4037" t="s">
        <v>25</v>
      </c>
      <c r="I4037" t="s">
        <v>2078</v>
      </c>
      <c r="L4037" t="s">
        <v>312</v>
      </c>
      <c r="M4037" t="s">
        <v>1687</v>
      </c>
    </row>
    <row r="4038" spans="1:27" x14ac:dyDescent="0.3">
      <c r="A4038" t="s">
        <v>3955</v>
      </c>
      <c r="B4038" t="s">
        <v>2733</v>
      </c>
      <c r="C4038" t="s">
        <v>308</v>
      </c>
      <c r="D4038" t="s">
        <v>3960</v>
      </c>
      <c r="E4038" t="s">
        <v>1138</v>
      </c>
      <c r="H4038" t="s">
        <v>25</v>
      </c>
      <c r="I4038" t="s">
        <v>2065</v>
      </c>
      <c r="L4038" t="s">
        <v>312</v>
      </c>
      <c r="M4038" t="s">
        <v>317</v>
      </c>
    </row>
    <row r="4039" spans="1:27" x14ac:dyDescent="0.3">
      <c r="A4039" t="s">
        <v>3955</v>
      </c>
      <c r="B4039" t="s">
        <v>2733</v>
      </c>
      <c r="C4039" t="s">
        <v>308</v>
      </c>
      <c r="D4039" t="s">
        <v>3961</v>
      </c>
      <c r="E4039" t="s">
        <v>1134</v>
      </c>
      <c r="H4039" t="s">
        <v>25</v>
      </c>
      <c r="I4039" t="s">
        <v>2069</v>
      </c>
      <c r="L4039" t="s">
        <v>312</v>
      </c>
      <c r="M4039" t="s">
        <v>317</v>
      </c>
    </row>
    <row r="4040" spans="1:27" x14ac:dyDescent="0.3">
      <c r="A4040" t="s">
        <v>3955</v>
      </c>
      <c r="B4040" t="s">
        <v>2733</v>
      </c>
      <c r="C4040" t="s">
        <v>308</v>
      </c>
      <c r="D4040" t="s">
        <v>3962</v>
      </c>
      <c r="E4040" t="s">
        <v>1138</v>
      </c>
      <c r="H4040" t="s">
        <v>25</v>
      </c>
      <c r="I4040" t="s">
        <v>2746</v>
      </c>
      <c r="L4040" t="s">
        <v>312</v>
      </c>
      <c r="M4040" t="s">
        <v>317</v>
      </c>
    </row>
    <row r="4041" spans="1:27" x14ac:dyDescent="0.3">
      <c r="A4041" t="s">
        <v>3955</v>
      </c>
      <c r="B4041" t="s">
        <v>2733</v>
      </c>
      <c r="C4041" t="s">
        <v>308</v>
      </c>
      <c r="D4041" t="s">
        <v>3963</v>
      </c>
      <c r="E4041" t="s">
        <v>341</v>
      </c>
      <c r="H4041" t="s">
        <v>25</v>
      </c>
      <c r="I4041" t="s">
        <v>342</v>
      </c>
      <c r="L4041" t="s">
        <v>312</v>
      </c>
      <c r="M4041" t="s">
        <v>343</v>
      </c>
    </row>
    <row r="4042" spans="1:27" x14ac:dyDescent="0.3">
      <c r="A4042" t="s">
        <v>3955</v>
      </c>
      <c r="B4042" t="s">
        <v>2733</v>
      </c>
      <c r="C4042" t="s">
        <v>22</v>
      </c>
      <c r="D4042" t="s">
        <v>23</v>
      </c>
      <c r="E4042" t="s">
        <v>28</v>
      </c>
    </row>
    <row r="4043" spans="1:27" x14ac:dyDescent="0.3">
      <c r="A4043" t="s">
        <v>3955</v>
      </c>
      <c r="B4043" t="s">
        <v>2733</v>
      </c>
      <c r="C4043" t="s">
        <v>2748</v>
      </c>
      <c r="D4043">
        <v>1.5</v>
      </c>
      <c r="H4043" t="s">
        <v>312</v>
      </c>
      <c r="I4043" t="s">
        <v>385</v>
      </c>
    </row>
    <row r="4044" spans="1:27" x14ac:dyDescent="0.3">
      <c r="A4044" t="s">
        <v>3955</v>
      </c>
      <c r="B4044" t="s">
        <v>2733</v>
      </c>
      <c r="C4044" t="s">
        <v>378</v>
      </c>
      <c r="D4044">
        <v>170</v>
      </c>
      <c r="H4044" t="s">
        <v>312</v>
      </c>
      <c r="I4044" t="s">
        <v>327</v>
      </c>
    </row>
    <row r="4045" spans="1:27" x14ac:dyDescent="0.3">
      <c r="A4045" t="s">
        <v>3955</v>
      </c>
      <c r="B4045" t="s">
        <v>2733</v>
      </c>
      <c r="C4045" t="s">
        <v>380</v>
      </c>
      <c r="D4045" t="s">
        <v>678</v>
      </c>
      <c r="E4045" t="s">
        <v>279</v>
      </c>
      <c r="F4045" t="s">
        <v>25</v>
      </c>
      <c r="G4045" t="s">
        <v>3964</v>
      </c>
      <c r="J4045" t="s">
        <v>2089</v>
      </c>
      <c r="K4045" t="s">
        <v>2750</v>
      </c>
      <c r="N4045" t="s">
        <v>2751</v>
      </c>
      <c r="O4045">
        <v>2</v>
      </c>
      <c r="R4045" t="s">
        <v>2752</v>
      </c>
      <c r="S4045">
        <v>158</v>
      </c>
      <c r="V4045" t="s">
        <v>2753</v>
      </c>
      <c r="W4045" t="s">
        <v>2754</v>
      </c>
      <c r="Z4045" t="s">
        <v>2755</v>
      </c>
      <c r="AA4045" t="s">
        <v>2756</v>
      </c>
    </row>
    <row r="4046" spans="1:27" x14ac:dyDescent="0.3">
      <c r="A4046" t="s">
        <v>3955</v>
      </c>
      <c r="B4046" t="s">
        <v>2733</v>
      </c>
      <c r="C4046" t="s">
        <v>16</v>
      </c>
      <c r="D4046" t="s">
        <v>172</v>
      </c>
      <c r="E4046" t="s">
        <v>37</v>
      </c>
    </row>
    <row r="4047" spans="1:27" x14ac:dyDescent="0.3">
      <c r="A4047" t="s">
        <v>3955</v>
      </c>
      <c r="B4047" t="s">
        <v>2733</v>
      </c>
      <c r="C4047" t="s">
        <v>11</v>
      </c>
      <c r="D4047" t="s">
        <v>12</v>
      </c>
      <c r="E4047" t="s">
        <v>13</v>
      </c>
      <c r="H4047" t="s">
        <v>382</v>
      </c>
      <c r="I4047" t="s">
        <v>3965</v>
      </c>
      <c r="L4047" t="s">
        <v>14</v>
      </c>
      <c r="M4047" t="s">
        <v>3965</v>
      </c>
    </row>
    <row r="4048" spans="1:27" x14ac:dyDescent="0.3">
      <c r="A4048" t="s">
        <v>3958</v>
      </c>
      <c r="B4048" t="s">
        <v>527</v>
      </c>
      <c r="C4048" t="s">
        <v>11</v>
      </c>
      <c r="D4048" t="s">
        <v>12</v>
      </c>
      <c r="E4048" t="s">
        <v>391</v>
      </c>
      <c r="H4048" t="s">
        <v>392</v>
      </c>
      <c r="I4048" t="s">
        <v>2758</v>
      </c>
      <c r="L4048" t="s">
        <v>394</v>
      </c>
      <c r="M4048" t="s">
        <v>3965</v>
      </c>
    </row>
    <row r="4049" spans="1:13" x14ac:dyDescent="0.3">
      <c r="A4049" t="s">
        <v>3957</v>
      </c>
      <c r="B4049" t="s">
        <v>2738</v>
      </c>
      <c r="C4049" t="s">
        <v>11</v>
      </c>
      <c r="D4049" t="s">
        <v>12</v>
      </c>
      <c r="E4049" t="s">
        <v>391</v>
      </c>
      <c r="H4049" t="s">
        <v>392</v>
      </c>
      <c r="I4049" t="s">
        <v>3966</v>
      </c>
      <c r="L4049" t="s">
        <v>394</v>
      </c>
      <c r="M4049" t="s">
        <v>3965</v>
      </c>
    </row>
    <row r="4050" spans="1:13" x14ac:dyDescent="0.3">
      <c r="A4050" t="s">
        <v>3956</v>
      </c>
      <c r="B4050" t="s">
        <v>2735</v>
      </c>
      <c r="C4050" t="s">
        <v>308</v>
      </c>
      <c r="D4050" t="s">
        <v>3967</v>
      </c>
      <c r="E4050" t="s">
        <v>406</v>
      </c>
      <c r="H4050" t="s">
        <v>25</v>
      </c>
      <c r="I4050" t="s">
        <v>2761</v>
      </c>
      <c r="L4050" t="s">
        <v>312</v>
      </c>
      <c r="M4050" t="s">
        <v>404</v>
      </c>
    </row>
    <row r="4051" spans="1:13" x14ac:dyDescent="0.3">
      <c r="A4051" t="s">
        <v>3967</v>
      </c>
      <c r="B4051" t="s">
        <v>406</v>
      </c>
      <c r="C4051" t="s">
        <v>11</v>
      </c>
      <c r="D4051" t="s">
        <v>12</v>
      </c>
      <c r="E4051" t="s">
        <v>391</v>
      </c>
      <c r="H4051" t="s">
        <v>392</v>
      </c>
      <c r="I4051" t="s">
        <v>3968</v>
      </c>
      <c r="L4051" t="s">
        <v>394</v>
      </c>
      <c r="M4051" t="s">
        <v>3965</v>
      </c>
    </row>
    <row r="4052" spans="1:13" x14ac:dyDescent="0.3">
      <c r="A4052" t="s">
        <v>3960</v>
      </c>
      <c r="B4052" t="s">
        <v>1138</v>
      </c>
      <c r="C4052" t="s">
        <v>11</v>
      </c>
      <c r="D4052" t="s">
        <v>12</v>
      </c>
      <c r="E4052" t="s">
        <v>391</v>
      </c>
      <c r="H4052" t="s">
        <v>392</v>
      </c>
      <c r="I4052" t="s">
        <v>3969</v>
      </c>
      <c r="L4052" t="s">
        <v>394</v>
      </c>
      <c r="M4052" t="s">
        <v>3965</v>
      </c>
    </row>
    <row r="4053" spans="1:13" x14ac:dyDescent="0.3">
      <c r="A4053" t="s">
        <v>3963</v>
      </c>
      <c r="B4053" t="s">
        <v>341</v>
      </c>
      <c r="C4053" t="s">
        <v>11</v>
      </c>
      <c r="D4053" t="s">
        <v>12</v>
      </c>
      <c r="E4053" t="s">
        <v>391</v>
      </c>
      <c r="H4053" t="s">
        <v>392</v>
      </c>
      <c r="I4053" t="s">
        <v>3970</v>
      </c>
      <c r="L4053" t="s">
        <v>394</v>
      </c>
      <c r="M4053" t="s">
        <v>3965</v>
      </c>
    </row>
    <row r="4054" spans="1:13" x14ac:dyDescent="0.3">
      <c r="A4054" t="s">
        <v>3961</v>
      </c>
      <c r="B4054" t="s">
        <v>1134</v>
      </c>
      <c r="C4054" t="s">
        <v>11</v>
      </c>
      <c r="D4054" t="s">
        <v>12</v>
      </c>
      <c r="E4054" t="s">
        <v>391</v>
      </c>
      <c r="H4054" t="s">
        <v>392</v>
      </c>
      <c r="I4054" t="s">
        <v>3971</v>
      </c>
      <c r="L4054" t="s">
        <v>394</v>
      </c>
      <c r="M4054" t="s">
        <v>3965</v>
      </c>
    </row>
    <row r="4055" spans="1:13" x14ac:dyDescent="0.3">
      <c r="A4055" t="s">
        <v>3962</v>
      </c>
      <c r="B4055" t="s">
        <v>1138</v>
      </c>
      <c r="C4055" t="s">
        <v>11</v>
      </c>
      <c r="D4055" t="s">
        <v>12</v>
      </c>
      <c r="E4055" t="s">
        <v>391</v>
      </c>
      <c r="H4055" t="s">
        <v>392</v>
      </c>
      <c r="I4055" t="s">
        <v>3972</v>
      </c>
      <c r="L4055" t="s">
        <v>394</v>
      </c>
      <c r="M4055" t="s">
        <v>3965</v>
      </c>
    </row>
    <row r="4056" spans="1:13" x14ac:dyDescent="0.3">
      <c r="A4056" t="s">
        <v>3959</v>
      </c>
      <c r="B4056" t="s">
        <v>2077</v>
      </c>
      <c r="C4056" t="s">
        <v>11</v>
      </c>
      <c r="D4056" t="s">
        <v>12</v>
      </c>
      <c r="E4056" t="s">
        <v>391</v>
      </c>
      <c r="H4056" t="s">
        <v>392</v>
      </c>
      <c r="I4056" t="s">
        <v>2128</v>
      </c>
      <c r="L4056" t="s">
        <v>394</v>
      </c>
      <c r="M4056" t="s">
        <v>3965</v>
      </c>
    </row>
    <row r="4057" spans="1:13" x14ac:dyDescent="0.3">
      <c r="A4057" t="s">
        <v>3973</v>
      </c>
      <c r="B4057" t="s">
        <v>2733</v>
      </c>
      <c r="C4057" t="s">
        <v>280</v>
      </c>
      <c r="D4057" t="s">
        <v>3974</v>
      </c>
      <c r="E4057" t="s">
        <v>2735</v>
      </c>
      <c r="H4057" t="s">
        <v>25</v>
      </c>
      <c r="I4057" t="s">
        <v>2736</v>
      </c>
    </row>
    <row r="4058" spans="1:13" x14ac:dyDescent="0.3">
      <c r="A4058" t="s">
        <v>3973</v>
      </c>
      <c r="B4058" t="s">
        <v>2733</v>
      </c>
      <c r="C4058" t="s">
        <v>308</v>
      </c>
      <c r="D4058" t="s">
        <v>3975</v>
      </c>
      <c r="E4058" t="s">
        <v>2738</v>
      </c>
      <c r="H4058" t="s">
        <v>25</v>
      </c>
      <c r="I4058" t="s">
        <v>2739</v>
      </c>
      <c r="L4058" t="s">
        <v>312</v>
      </c>
      <c r="M4058" t="s">
        <v>327</v>
      </c>
    </row>
    <row r="4059" spans="1:13" x14ac:dyDescent="0.3">
      <c r="A4059" t="s">
        <v>3973</v>
      </c>
      <c r="B4059" t="s">
        <v>2733</v>
      </c>
      <c r="C4059" t="s">
        <v>308</v>
      </c>
      <c r="D4059" t="s">
        <v>3976</v>
      </c>
      <c r="E4059" t="s">
        <v>527</v>
      </c>
      <c r="H4059" t="s">
        <v>25</v>
      </c>
      <c r="I4059" t="s">
        <v>2741</v>
      </c>
      <c r="L4059" t="s">
        <v>312</v>
      </c>
      <c r="M4059" t="s">
        <v>343</v>
      </c>
    </row>
    <row r="4060" spans="1:13" x14ac:dyDescent="0.3">
      <c r="A4060" t="s">
        <v>3973</v>
      </c>
      <c r="B4060" t="s">
        <v>2733</v>
      </c>
      <c r="C4060" t="s">
        <v>308</v>
      </c>
      <c r="D4060" t="s">
        <v>3977</v>
      </c>
      <c r="E4060" t="s">
        <v>2077</v>
      </c>
      <c r="H4060" t="s">
        <v>25</v>
      </c>
      <c r="I4060" t="s">
        <v>2078</v>
      </c>
      <c r="L4060" t="s">
        <v>312</v>
      </c>
      <c r="M4060" t="s">
        <v>1687</v>
      </c>
    </row>
    <row r="4061" spans="1:13" x14ac:dyDescent="0.3">
      <c r="A4061" t="s">
        <v>3973</v>
      </c>
      <c r="B4061" t="s">
        <v>2733</v>
      </c>
      <c r="C4061" t="s">
        <v>308</v>
      </c>
      <c r="D4061" t="s">
        <v>3978</v>
      </c>
      <c r="E4061" t="s">
        <v>1138</v>
      </c>
      <c r="H4061" t="s">
        <v>25</v>
      </c>
      <c r="I4061" t="s">
        <v>2065</v>
      </c>
      <c r="L4061" t="s">
        <v>312</v>
      </c>
      <c r="M4061" t="s">
        <v>317</v>
      </c>
    </row>
    <row r="4062" spans="1:13" x14ac:dyDescent="0.3">
      <c r="A4062" t="s">
        <v>3973</v>
      </c>
      <c r="B4062" t="s">
        <v>2733</v>
      </c>
      <c r="C4062" t="s">
        <v>308</v>
      </c>
      <c r="D4062" t="s">
        <v>3979</v>
      </c>
      <c r="E4062" t="s">
        <v>1134</v>
      </c>
      <c r="H4062" t="s">
        <v>25</v>
      </c>
      <c r="I4062" t="s">
        <v>2069</v>
      </c>
      <c r="L4062" t="s">
        <v>312</v>
      </c>
      <c r="M4062" t="s">
        <v>317</v>
      </c>
    </row>
    <row r="4063" spans="1:13" x14ac:dyDescent="0.3">
      <c r="A4063" t="s">
        <v>3973</v>
      </c>
      <c r="B4063" t="s">
        <v>2733</v>
      </c>
      <c r="C4063" t="s">
        <v>308</v>
      </c>
      <c r="D4063" t="s">
        <v>3980</v>
      </c>
      <c r="E4063" t="s">
        <v>1138</v>
      </c>
      <c r="H4063" t="s">
        <v>25</v>
      </c>
      <c r="I4063" t="s">
        <v>2746</v>
      </c>
      <c r="L4063" t="s">
        <v>312</v>
      </c>
      <c r="M4063" t="s">
        <v>317</v>
      </c>
    </row>
    <row r="4064" spans="1:13" x14ac:dyDescent="0.3">
      <c r="A4064" t="s">
        <v>3973</v>
      </c>
      <c r="B4064" t="s">
        <v>2733</v>
      </c>
      <c r="C4064" t="s">
        <v>308</v>
      </c>
      <c r="D4064" t="s">
        <v>3981</v>
      </c>
      <c r="E4064" t="s">
        <v>341</v>
      </c>
      <c r="H4064" t="s">
        <v>25</v>
      </c>
      <c r="I4064" t="s">
        <v>342</v>
      </c>
      <c r="L4064" t="s">
        <v>312</v>
      </c>
      <c r="M4064" t="s">
        <v>343</v>
      </c>
    </row>
    <row r="4065" spans="1:27" x14ac:dyDescent="0.3">
      <c r="A4065" t="s">
        <v>3973</v>
      </c>
      <c r="B4065" t="s">
        <v>2733</v>
      </c>
      <c r="C4065" t="s">
        <v>22</v>
      </c>
      <c r="D4065" t="s">
        <v>23</v>
      </c>
      <c r="E4065" t="s">
        <v>28</v>
      </c>
    </row>
    <row r="4066" spans="1:27" x14ac:dyDescent="0.3">
      <c r="A4066" t="s">
        <v>3973</v>
      </c>
      <c r="B4066" t="s">
        <v>2733</v>
      </c>
      <c r="C4066" t="s">
        <v>2748</v>
      </c>
      <c r="D4066">
        <v>2</v>
      </c>
      <c r="H4066" t="s">
        <v>312</v>
      </c>
      <c r="I4066" t="s">
        <v>385</v>
      </c>
    </row>
    <row r="4067" spans="1:27" x14ac:dyDescent="0.3">
      <c r="A4067" t="s">
        <v>3973</v>
      </c>
      <c r="B4067" t="s">
        <v>2733</v>
      </c>
      <c r="C4067" t="s">
        <v>378</v>
      </c>
      <c r="D4067">
        <v>170</v>
      </c>
      <c r="H4067" t="s">
        <v>312</v>
      </c>
      <c r="I4067" t="s">
        <v>327</v>
      </c>
    </row>
    <row r="4068" spans="1:27" x14ac:dyDescent="0.3">
      <c r="A4068" t="s">
        <v>3973</v>
      </c>
      <c r="B4068" t="s">
        <v>2733</v>
      </c>
      <c r="C4068" t="s">
        <v>380</v>
      </c>
      <c r="D4068" t="s">
        <v>678</v>
      </c>
      <c r="E4068" t="s">
        <v>279</v>
      </c>
      <c r="F4068" t="s">
        <v>25</v>
      </c>
      <c r="G4068" t="s">
        <v>3982</v>
      </c>
      <c r="J4068" t="s">
        <v>2089</v>
      </c>
      <c r="K4068" t="s">
        <v>2750</v>
      </c>
      <c r="N4068" t="s">
        <v>2751</v>
      </c>
      <c r="O4068">
        <v>3</v>
      </c>
      <c r="R4068" t="s">
        <v>2752</v>
      </c>
      <c r="S4068">
        <v>198</v>
      </c>
      <c r="V4068" t="s">
        <v>2753</v>
      </c>
      <c r="W4068" t="s">
        <v>2754</v>
      </c>
      <c r="Z4068" t="s">
        <v>2755</v>
      </c>
      <c r="AA4068" t="s">
        <v>2756</v>
      </c>
    </row>
    <row r="4069" spans="1:27" x14ac:dyDescent="0.3">
      <c r="A4069" t="s">
        <v>3973</v>
      </c>
      <c r="B4069" t="s">
        <v>2733</v>
      </c>
      <c r="C4069" t="s">
        <v>16</v>
      </c>
      <c r="D4069" t="s">
        <v>172</v>
      </c>
      <c r="E4069" t="s">
        <v>37</v>
      </c>
    </row>
    <row r="4070" spans="1:27" x14ac:dyDescent="0.3">
      <c r="A4070" t="s">
        <v>3973</v>
      </c>
      <c r="B4070" t="s">
        <v>2733</v>
      </c>
      <c r="C4070" t="s">
        <v>11</v>
      </c>
      <c r="D4070" t="s">
        <v>12</v>
      </c>
      <c r="E4070" t="s">
        <v>13</v>
      </c>
      <c r="H4070" t="s">
        <v>382</v>
      </c>
      <c r="I4070" t="s">
        <v>3983</v>
      </c>
      <c r="L4070" t="s">
        <v>14</v>
      </c>
      <c r="M4070" t="s">
        <v>3983</v>
      </c>
    </row>
    <row r="4071" spans="1:27" x14ac:dyDescent="0.3">
      <c r="A4071" t="s">
        <v>3976</v>
      </c>
      <c r="B4071" t="s">
        <v>527</v>
      </c>
      <c r="C4071" t="s">
        <v>11</v>
      </c>
      <c r="D4071" t="s">
        <v>12</v>
      </c>
      <c r="E4071" t="s">
        <v>391</v>
      </c>
      <c r="H4071" t="s">
        <v>392</v>
      </c>
      <c r="I4071" t="s">
        <v>2758</v>
      </c>
      <c r="L4071" t="s">
        <v>394</v>
      </c>
      <c r="M4071" t="s">
        <v>3983</v>
      </c>
    </row>
    <row r="4072" spans="1:27" x14ac:dyDescent="0.3">
      <c r="A4072" t="s">
        <v>3975</v>
      </c>
      <c r="B4072" t="s">
        <v>2738</v>
      </c>
      <c r="C4072" t="s">
        <v>11</v>
      </c>
      <c r="D4072" t="s">
        <v>12</v>
      </c>
      <c r="E4072" t="s">
        <v>391</v>
      </c>
      <c r="H4072" t="s">
        <v>392</v>
      </c>
      <c r="I4072" t="s">
        <v>3984</v>
      </c>
      <c r="L4072" t="s">
        <v>394</v>
      </c>
      <c r="M4072" t="s">
        <v>3983</v>
      </c>
    </row>
    <row r="4073" spans="1:27" x14ac:dyDescent="0.3">
      <c r="A4073" t="s">
        <v>3974</v>
      </c>
      <c r="B4073" t="s">
        <v>2735</v>
      </c>
      <c r="C4073" t="s">
        <v>308</v>
      </c>
      <c r="D4073" t="s">
        <v>3985</v>
      </c>
      <c r="E4073" t="s">
        <v>406</v>
      </c>
      <c r="H4073" t="s">
        <v>25</v>
      </c>
      <c r="I4073" t="s">
        <v>2761</v>
      </c>
      <c r="L4073" t="s">
        <v>312</v>
      </c>
      <c r="M4073" t="s">
        <v>404</v>
      </c>
    </row>
    <row r="4074" spans="1:27" x14ac:dyDescent="0.3">
      <c r="A4074" t="s">
        <v>3985</v>
      </c>
      <c r="B4074" t="s">
        <v>406</v>
      </c>
      <c r="C4074" t="s">
        <v>11</v>
      </c>
      <c r="D4074" t="s">
        <v>12</v>
      </c>
      <c r="E4074" t="s">
        <v>391</v>
      </c>
      <c r="H4074" t="s">
        <v>392</v>
      </c>
      <c r="I4074" t="s">
        <v>3986</v>
      </c>
      <c r="L4074" t="s">
        <v>394</v>
      </c>
      <c r="M4074" t="s">
        <v>3983</v>
      </c>
    </row>
    <row r="4075" spans="1:27" x14ac:dyDescent="0.3">
      <c r="A4075" t="s">
        <v>3978</v>
      </c>
      <c r="B4075" t="s">
        <v>1138</v>
      </c>
      <c r="C4075" t="s">
        <v>11</v>
      </c>
      <c r="D4075" t="s">
        <v>12</v>
      </c>
      <c r="E4075" t="s">
        <v>391</v>
      </c>
      <c r="H4075" t="s">
        <v>392</v>
      </c>
      <c r="I4075" t="s">
        <v>3987</v>
      </c>
      <c r="L4075" t="s">
        <v>394</v>
      </c>
      <c r="M4075" t="s">
        <v>3983</v>
      </c>
    </row>
    <row r="4076" spans="1:27" x14ac:dyDescent="0.3">
      <c r="A4076" t="s">
        <v>3981</v>
      </c>
      <c r="B4076" t="s">
        <v>341</v>
      </c>
      <c r="C4076" t="s">
        <v>11</v>
      </c>
      <c r="D4076" t="s">
        <v>12</v>
      </c>
      <c r="E4076" t="s">
        <v>391</v>
      </c>
      <c r="H4076" t="s">
        <v>392</v>
      </c>
      <c r="I4076" t="s">
        <v>3988</v>
      </c>
      <c r="L4076" t="s">
        <v>394</v>
      </c>
      <c r="M4076" t="s">
        <v>3983</v>
      </c>
    </row>
    <row r="4077" spans="1:27" x14ac:dyDescent="0.3">
      <c r="A4077" t="s">
        <v>3979</v>
      </c>
      <c r="B4077" t="s">
        <v>1134</v>
      </c>
      <c r="C4077" t="s">
        <v>11</v>
      </c>
      <c r="D4077" t="s">
        <v>12</v>
      </c>
      <c r="E4077" t="s">
        <v>391</v>
      </c>
      <c r="H4077" t="s">
        <v>392</v>
      </c>
      <c r="I4077" t="s">
        <v>3989</v>
      </c>
      <c r="L4077" t="s">
        <v>394</v>
      </c>
      <c r="M4077" t="s">
        <v>3983</v>
      </c>
    </row>
    <row r="4078" spans="1:27" x14ac:dyDescent="0.3">
      <c r="A4078" t="s">
        <v>3980</v>
      </c>
      <c r="B4078" t="s">
        <v>1138</v>
      </c>
      <c r="C4078" t="s">
        <v>11</v>
      </c>
      <c r="D4078" t="s">
        <v>12</v>
      </c>
      <c r="E4078" t="s">
        <v>391</v>
      </c>
      <c r="H4078" t="s">
        <v>392</v>
      </c>
      <c r="I4078" t="s">
        <v>3990</v>
      </c>
      <c r="L4078" t="s">
        <v>394</v>
      </c>
      <c r="M4078" t="s">
        <v>3983</v>
      </c>
    </row>
    <row r="4079" spans="1:27" x14ac:dyDescent="0.3">
      <c r="A4079" t="s">
        <v>3977</v>
      </c>
      <c r="B4079" t="s">
        <v>2077</v>
      </c>
      <c r="C4079" t="s">
        <v>11</v>
      </c>
      <c r="D4079" t="s">
        <v>12</v>
      </c>
      <c r="E4079" t="s">
        <v>391</v>
      </c>
      <c r="H4079" t="s">
        <v>392</v>
      </c>
      <c r="I4079" t="s">
        <v>2128</v>
      </c>
      <c r="L4079" t="s">
        <v>394</v>
      </c>
      <c r="M4079" t="s">
        <v>3983</v>
      </c>
    </row>
    <row r="4080" spans="1:27" x14ac:dyDescent="0.3">
      <c r="A4080" t="s">
        <v>3991</v>
      </c>
      <c r="B4080" t="s">
        <v>2733</v>
      </c>
      <c r="C4080" t="s">
        <v>280</v>
      </c>
      <c r="D4080" t="s">
        <v>3992</v>
      </c>
      <c r="E4080" t="s">
        <v>2735</v>
      </c>
      <c r="H4080" t="s">
        <v>25</v>
      </c>
      <c r="I4080" t="s">
        <v>2736</v>
      </c>
    </row>
    <row r="4081" spans="1:27" x14ac:dyDescent="0.3">
      <c r="A4081" t="s">
        <v>3991</v>
      </c>
      <c r="B4081" t="s">
        <v>2733</v>
      </c>
      <c r="C4081" t="s">
        <v>308</v>
      </c>
      <c r="D4081" t="s">
        <v>3993</v>
      </c>
      <c r="E4081" t="s">
        <v>2738</v>
      </c>
      <c r="H4081" t="s">
        <v>25</v>
      </c>
      <c r="I4081" t="s">
        <v>2739</v>
      </c>
      <c r="L4081" t="s">
        <v>312</v>
      </c>
      <c r="M4081" t="s">
        <v>327</v>
      </c>
    </row>
    <row r="4082" spans="1:27" x14ac:dyDescent="0.3">
      <c r="A4082" t="s">
        <v>3991</v>
      </c>
      <c r="B4082" t="s">
        <v>2733</v>
      </c>
      <c r="C4082" t="s">
        <v>308</v>
      </c>
      <c r="D4082" t="s">
        <v>3994</v>
      </c>
      <c r="E4082" t="s">
        <v>527</v>
      </c>
      <c r="H4082" t="s">
        <v>25</v>
      </c>
      <c r="I4082" t="s">
        <v>2741</v>
      </c>
      <c r="L4082" t="s">
        <v>312</v>
      </c>
      <c r="M4082" t="s">
        <v>343</v>
      </c>
    </row>
    <row r="4083" spans="1:27" x14ac:dyDescent="0.3">
      <c r="A4083" t="s">
        <v>3991</v>
      </c>
      <c r="B4083" t="s">
        <v>2733</v>
      </c>
      <c r="C4083" t="s">
        <v>308</v>
      </c>
      <c r="D4083" t="s">
        <v>3995</v>
      </c>
      <c r="E4083" t="s">
        <v>2077</v>
      </c>
      <c r="H4083" t="s">
        <v>25</v>
      </c>
      <c r="I4083" t="s">
        <v>2078</v>
      </c>
      <c r="L4083" t="s">
        <v>312</v>
      </c>
      <c r="M4083" t="s">
        <v>1687</v>
      </c>
    </row>
    <row r="4084" spans="1:27" x14ac:dyDescent="0.3">
      <c r="A4084" t="s">
        <v>3991</v>
      </c>
      <c r="B4084" t="s">
        <v>2733</v>
      </c>
      <c r="C4084" t="s">
        <v>308</v>
      </c>
      <c r="D4084" t="s">
        <v>3996</v>
      </c>
      <c r="E4084" t="s">
        <v>1138</v>
      </c>
      <c r="H4084" t="s">
        <v>25</v>
      </c>
      <c r="I4084" t="s">
        <v>2065</v>
      </c>
      <c r="L4084" t="s">
        <v>312</v>
      </c>
      <c r="M4084" t="s">
        <v>317</v>
      </c>
    </row>
    <row r="4085" spans="1:27" x14ac:dyDescent="0.3">
      <c r="A4085" t="s">
        <v>3991</v>
      </c>
      <c r="B4085" t="s">
        <v>2733</v>
      </c>
      <c r="C4085" t="s">
        <v>308</v>
      </c>
      <c r="D4085" t="s">
        <v>3997</v>
      </c>
      <c r="E4085" t="s">
        <v>1134</v>
      </c>
      <c r="H4085" t="s">
        <v>25</v>
      </c>
      <c r="I4085" t="s">
        <v>2069</v>
      </c>
      <c r="L4085" t="s">
        <v>312</v>
      </c>
      <c r="M4085" t="s">
        <v>317</v>
      </c>
    </row>
    <row r="4086" spans="1:27" x14ac:dyDescent="0.3">
      <c r="A4086" t="s">
        <v>3991</v>
      </c>
      <c r="B4086" t="s">
        <v>2733</v>
      </c>
      <c r="C4086" t="s">
        <v>308</v>
      </c>
      <c r="D4086" t="s">
        <v>3998</v>
      </c>
      <c r="E4086" t="s">
        <v>1138</v>
      </c>
      <c r="H4086" t="s">
        <v>25</v>
      </c>
      <c r="I4086" t="s">
        <v>2746</v>
      </c>
      <c r="L4086" t="s">
        <v>312</v>
      </c>
      <c r="M4086" t="s">
        <v>317</v>
      </c>
    </row>
    <row r="4087" spans="1:27" x14ac:dyDescent="0.3">
      <c r="A4087" t="s">
        <v>3991</v>
      </c>
      <c r="B4087" t="s">
        <v>2733</v>
      </c>
      <c r="C4087" t="s">
        <v>308</v>
      </c>
      <c r="D4087" t="s">
        <v>3999</v>
      </c>
      <c r="E4087" t="s">
        <v>341</v>
      </c>
      <c r="H4087" t="s">
        <v>25</v>
      </c>
      <c r="I4087" t="s">
        <v>342</v>
      </c>
      <c r="L4087" t="s">
        <v>312</v>
      </c>
      <c r="M4087" t="s">
        <v>343</v>
      </c>
    </row>
    <row r="4088" spans="1:27" x14ac:dyDescent="0.3">
      <c r="A4088" t="s">
        <v>3991</v>
      </c>
      <c r="B4088" t="s">
        <v>2733</v>
      </c>
      <c r="C4088" t="s">
        <v>22</v>
      </c>
      <c r="D4088" t="s">
        <v>23</v>
      </c>
      <c r="E4088" t="s">
        <v>28</v>
      </c>
    </row>
    <row r="4089" spans="1:27" x14ac:dyDescent="0.3">
      <c r="A4089" t="s">
        <v>3991</v>
      </c>
      <c r="B4089" t="s">
        <v>2733</v>
      </c>
      <c r="C4089" t="s">
        <v>2748</v>
      </c>
      <c r="D4089">
        <v>1.5</v>
      </c>
      <c r="H4089" t="s">
        <v>312</v>
      </c>
      <c r="I4089" t="s">
        <v>385</v>
      </c>
    </row>
    <row r="4090" spans="1:27" x14ac:dyDescent="0.3">
      <c r="A4090" t="s">
        <v>3991</v>
      </c>
      <c r="B4090" t="s">
        <v>2733</v>
      </c>
      <c r="C4090" t="s">
        <v>378</v>
      </c>
      <c r="D4090">
        <v>330</v>
      </c>
      <c r="H4090" t="s">
        <v>312</v>
      </c>
      <c r="I4090" t="s">
        <v>327</v>
      </c>
    </row>
    <row r="4091" spans="1:27" x14ac:dyDescent="0.3">
      <c r="A4091" t="s">
        <v>3991</v>
      </c>
      <c r="B4091" t="s">
        <v>2733</v>
      </c>
      <c r="C4091" t="s">
        <v>380</v>
      </c>
      <c r="D4091" t="s">
        <v>678</v>
      </c>
      <c r="E4091" t="s">
        <v>279</v>
      </c>
      <c r="F4091" t="s">
        <v>25</v>
      </c>
      <c r="G4091" t="s">
        <v>4000</v>
      </c>
      <c r="J4091" t="s">
        <v>2089</v>
      </c>
      <c r="K4091" t="s">
        <v>2750</v>
      </c>
      <c r="N4091" t="s">
        <v>2751</v>
      </c>
      <c r="O4091">
        <v>2</v>
      </c>
      <c r="R4091" t="s">
        <v>2752</v>
      </c>
      <c r="S4091">
        <v>158</v>
      </c>
      <c r="V4091" t="s">
        <v>2753</v>
      </c>
      <c r="W4091" t="s">
        <v>2754</v>
      </c>
      <c r="Z4091" t="s">
        <v>2755</v>
      </c>
      <c r="AA4091" t="s">
        <v>2756</v>
      </c>
    </row>
    <row r="4092" spans="1:27" x14ac:dyDescent="0.3">
      <c r="A4092" t="s">
        <v>3991</v>
      </c>
      <c r="B4092" t="s">
        <v>2733</v>
      </c>
      <c r="C4092" t="s">
        <v>16</v>
      </c>
      <c r="D4092" t="s">
        <v>169</v>
      </c>
      <c r="E4092" t="s">
        <v>37</v>
      </c>
    </row>
    <row r="4093" spans="1:27" x14ac:dyDescent="0.3">
      <c r="A4093" t="s">
        <v>3991</v>
      </c>
      <c r="B4093" t="s">
        <v>2733</v>
      </c>
      <c r="C4093" t="s">
        <v>11</v>
      </c>
      <c r="D4093" t="s">
        <v>12</v>
      </c>
      <c r="E4093" t="s">
        <v>13</v>
      </c>
      <c r="H4093" t="s">
        <v>382</v>
      </c>
      <c r="I4093" t="s">
        <v>4001</v>
      </c>
      <c r="L4093" t="s">
        <v>14</v>
      </c>
      <c r="M4093" t="s">
        <v>4001</v>
      </c>
    </row>
    <row r="4094" spans="1:27" x14ac:dyDescent="0.3">
      <c r="A4094" t="s">
        <v>3994</v>
      </c>
      <c r="B4094" t="s">
        <v>527</v>
      </c>
      <c r="C4094" t="s">
        <v>11</v>
      </c>
      <c r="D4094" t="s">
        <v>12</v>
      </c>
      <c r="E4094" t="s">
        <v>391</v>
      </c>
      <c r="H4094" t="s">
        <v>392</v>
      </c>
      <c r="I4094" t="s">
        <v>2758</v>
      </c>
      <c r="L4094" t="s">
        <v>394</v>
      </c>
      <c r="M4094" t="s">
        <v>4001</v>
      </c>
    </row>
    <row r="4095" spans="1:27" x14ac:dyDescent="0.3">
      <c r="A4095" t="s">
        <v>3993</v>
      </c>
      <c r="B4095" t="s">
        <v>2738</v>
      </c>
      <c r="C4095" t="s">
        <v>11</v>
      </c>
      <c r="D4095" t="s">
        <v>12</v>
      </c>
      <c r="E4095" t="s">
        <v>391</v>
      </c>
      <c r="H4095" t="s">
        <v>392</v>
      </c>
      <c r="I4095" t="s">
        <v>4002</v>
      </c>
      <c r="L4095" t="s">
        <v>394</v>
      </c>
      <c r="M4095" t="s">
        <v>4001</v>
      </c>
    </row>
    <row r="4096" spans="1:27" x14ac:dyDescent="0.3">
      <c r="A4096" t="s">
        <v>3992</v>
      </c>
      <c r="B4096" t="s">
        <v>2735</v>
      </c>
      <c r="C4096" t="s">
        <v>308</v>
      </c>
      <c r="D4096" t="s">
        <v>4003</v>
      </c>
      <c r="E4096" t="s">
        <v>406</v>
      </c>
      <c r="H4096" t="s">
        <v>25</v>
      </c>
      <c r="I4096" t="s">
        <v>2761</v>
      </c>
      <c r="L4096" t="s">
        <v>312</v>
      </c>
      <c r="M4096" t="s">
        <v>404</v>
      </c>
    </row>
    <row r="4097" spans="1:13" x14ac:dyDescent="0.3">
      <c r="A4097" t="s">
        <v>4003</v>
      </c>
      <c r="B4097" t="s">
        <v>406</v>
      </c>
      <c r="C4097" t="s">
        <v>11</v>
      </c>
      <c r="D4097" t="s">
        <v>12</v>
      </c>
      <c r="E4097" t="s">
        <v>391</v>
      </c>
      <c r="H4097" t="s">
        <v>392</v>
      </c>
      <c r="I4097" t="s">
        <v>4004</v>
      </c>
      <c r="L4097" t="s">
        <v>394</v>
      </c>
      <c r="M4097" t="s">
        <v>4001</v>
      </c>
    </row>
    <row r="4098" spans="1:13" x14ac:dyDescent="0.3">
      <c r="A4098" t="s">
        <v>3996</v>
      </c>
      <c r="B4098" t="s">
        <v>1138</v>
      </c>
      <c r="C4098" t="s">
        <v>11</v>
      </c>
      <c r="D4098" t="s">
        <v>12</v>
      </c>
      <c r="E4098" t="s">
        <v>391</v>
      </c>
      <c r="H4098" t="s">
        <v>392</v>
      </c>
      <c r="I4098" t="s">
        <v>4005</v>
      </c>
      <c r="L4098" t="s">
        <v>394</v>
      </c>
      <c r="M4098" t="s">
        <v>4001</v>
      </c>
    </row>
    <row r="4099" spans="1:13" x14ac:dyDescent="0.3">
      <c r="A4099" t="s">
        <v>3999</v>
      </c>
      <c r="B4099" t="s">
        <v>341</v>
      </c>
      <c r="C4099" t="s">
        <v>11</v>
      </c>
      <c r="D4099" t="s">
        <v>12</v>
      </c>
      <c r="E4099" t="s">
        <v>391</v>
      </c>
      <c r="H4099" t="s">
        <v>392</v>
      </c>
      <c r="I4099" t="s">
        <v>4006</v>
      </c>
      <c r="L4099" t="s">
        <v>394</v>
      </c>
      <c r="M4099" t="s">
        <v>4001</v>
      </c>
    </row>
    <row r="4100" spans="1:13" x14ac:dyDescent="0.3">
      <c r="A4100" t="s">
        <v>3997</v>
      </c>
      <c r="B4100" t="s">
        <v>1134</v>
      </c>
      <c r="C4100" t="s">
        <v>11</v>
      </c>
      <c r="D4100" t="s">
        <v>12</v>
      </c>
      <c r="E4100" t="s">
        <v>391</v>
      </c>
      <c r="H4100" t="s">
        <v>392</v>
      </c>
      <c r="I4100" t="s">
        <v>4007</v>
      </c>
      <c r="L4100" t="s">
        <v>394</v>
      </c>
      <c r="M4100" t="s">
        <v>4001</v>
      </c>
    </row>
    <row r="4101" spans="1:13" x14ac:dyDescent="0.3">
      <c r="A4101" t="s">
        <v>3998</v>
      </c>
      <c r="B4101" t="s">
        <v>1138</v>
      </c>
      <c r="C4101" t="s">
        <v>11</v>
      </c>
      <c r="D4101" t="s">
        <v>12</v>
      </c>
      <c r="E4101" t="s">
        <v>391</v>
      </c>
      <c r="H4101" t="s">
        <v>392</v>
      </c>
      <c r="I4101" t="s">
        <v>4008</v>
      </c>
      <c r="L4101" t="s">
        <v>394</v>
      </c>
      <c r="M4101" t="s">
        <v>4001</v>
      </c>
    </row>
    <row r="4102" spans="1:13" x14ac:dyDescent="0.3">
      <c r="A4102" t="s">
        <v>3995</v>
      </c>
      <c r="B4102" t="s">
        <v>2077</v>
      </c>
      <c r="C4102" t="s">
        <v>11</v>
      </c>
      <c r="D4102" t="s">
        <v>12</v>
      </c>
      <c r="E4102" t="s">
        <v>391</v>
      </c>
      <c r="H4102" t="s">
        <v>392</v>
      </c>
      <c r="I4102" t="s">
        <v>2128</v>
      </c>
      <c r="L4102" t="s">
        <v>394</v>
      </c>
      <c r="M4102" t="s">
        <v>4001</v>
      </c>
    </row>
    <row r="4103" spans="1:13" x14ac:dyDescent="0.3">
      <c r="A4103" t="s">
        <v>4009</v>
      </c>
      <c r="B4103" t="s">
        <v>2733</v>
      </c>
      <c r="C4103" t="s">
        <v>280</v>
      </c>
      <c r="D4103" t="s">
        <v>4010</v>
      </c>
      <c r="E4103" t="s">
        <v>2735</v>
      </c>
      <c r="H4103" t="s">
        <v>25</v>
      </c>
      <c r="I4103" t="s">
        <v>2736</v>
      </c>
    </row>
    <row r="4104" spans="1:13" x14ac:dyDescent="0.3">
      <c r="A4104" t="s">
        <v>4009</v>
      </c>
      <c r="B4104" t="s">
        <v>2733</v>
      </c>
      <c r="C4104" t="s">
        <v>308</v>
      </c>
      <c r="D4104" t="s">
        <v>4011</v>
      </c>
      <c r="E4104" t="s">
        <v>2738</v>
      </c>
      <c r="H4104" t="s">
        <v>25</v>
      </c>
      <c r="I4104" t="s">
        <v>2739</v>
      </c>
      <c r="L4104" t="s">
        <v>312</v>
      </c>
      <c r="M4104" t="s">
        <v>327</v>
      </c>
    </row>
    <row r="4105" spans="1:13" x14ac:dyDescent="0.3">
      <c r="A4105" t="s">
        <v>4009</v>
      </c>
      <c r="B4105" t="s">
        <v>2733</v>
      </c>
      <c r="C4105" t="s">
        <v>308</v>
      </c>
      <c r="D4105" t="s">
        <v>4012</v>
      </c>
      <c r="E4105" t="s">
        <v>527</v>
      </c>
      <c r="H4105" t="s">
        <v>25</v>
      </c>
      <c r="I4105" t="s">
        <v>2741</v>
      </c>
      <c r="L4105" t="s">
        <v>312</v>
      </c>
      <c r="M4105" t="s">
        <v>343</v>
      </c>
    </row>
    <row r="4106" spans="1:13" x14ac:dyDescent="0.3">
      <c r="A4106" t="s">
        <v>4009</v>
      </c>
      <c r="B4106" t="s">
        <v>2733</v>
      </c>
      <c r="C4106" t="s">
        <v>308</v>
      </c>
      <c r="D4106" t="s">
        <v>4013</v>
      </c>
      <c r="E4106" t="s">
        <v>2077</v>
      </c>
      <c r="H4106" t="s">
        <v>25</v>
      </c>
      <c r="I4106" t="s">
        <v>2078</v>
      </c>
      <c r="L4106" t="s">
        <v>312</v>
      </c>
      <c r="M4106" t="s">
        <v>1687</v>
      </c>
    </row>
    <row r="4107" spans="1:13" x14ac:dyDescent="0.3">
      <c r="A4107" t="s">
        <v>4009</v>
      </c>
      <c r="B4107" t="s">
        <v>2733</v>
      </c>
      <c r="C4107" t="s">
        <v>308</v>
      </c>
      <c r="D4107" t="s">
        <v>4014</v>
      </c>
      <c r="E4107" t="s">
        <v>1138</v>
      </c>
      <c r="H4107" t="s">
        <v>25</v>
      </c>
      <c r="I4107" t="s">
        <v>2065</v>
      </c>
      <c r="L4107" t="s">
        <v>312</v>
      </c>
      <c r="M4107" t="s">
        <v>317</v>
      </c>
    </row>
    <row r="4108" spans="1:13" x14ac:dyDescent="0.3">
      <c r="A4108" t="s">
        <v>4009</v>
      </c>
      <c r="B4108" t="s">
        <v>2733</v>
      </c>
      <c r="C4108" t="s">
        <v>308</v>
      </c>
      <c r="D4108" t="s">
        <v>4015</v>
      </c>
      <c r="E4108" t="s">
        <v>1134</v>
      </c>
      <c r="H4108" t="s">
        <v>25</v>
      </c>
      <c r="I4108" t="s">
        <v>2069</v>
      </c>
      <c r="L4108" t="s">
        <v>312</v>
      </c>
      <c r="M4108" t="s">
        <v>317</v>
      </c>
    </row>
    <row r="4109" spans="1:13" x14ac:dyDescent="0.3">
      <c r="A4109" t="s">
        <v>4009</v>
      </c>
      <c r="B4109" t="s">
        <v>2733</v>
      </c>
      <c r="C4109" t="s">
        <v>308</v>
      </c>
      <c r="D4109" t="s">
        <v>4016</v>
      </c>
      <c r="E4109" t="s">
        <v>1138</v>
      </c>
      <c r="H4109" t="s">
        <v>25</v>
      </c>
      <c r="I4109" t="s">
        <v>2746</v>
      </c>
      <c r="L4109" t="s">
        <v>312</v>
      </c>
      <c r="M4109" t="s">
        <v>317</v>
      </c>
    </row>
    <row r="4110" spans="1:13" x14ac:dyDescent="0.3">
      <c r="A4110" t="s">
        <v>4009</v>
      </c>
      <c r="B4110" t="s">
        <v>2733</v>
      </c>
      <c r="C4110" t="s">
        <v>308</v>
      </c>
      <c r="D4110" t="s">
        <v>4017</v>
      </c>
      <c r="E4110" t="s">
        <v>341</v>
      </c>
      <c r="H4110" t="s">
        <v>25</v>
      </c>
      <c r="I4110" t="s">
        <v>342</v>
      </c>
      <c r="L4110" t="s">
        <v>312</v>
      </c>
      <c r="M4110" t="s">
        <v>343</v>
      </c>
    </row>
    <row r="4111" spans="1:13" x14ac:dyDescent="0.3">
      <c r="A4111" t="s">
        <v>4009</v>
      </c>
      <c r="B4111" t="s">
        <v>2733</v>
      </c>
      <c r="C4111" t="s">
        <v>22</v>
      </c>
      <c r="D4111" t="s">
        <v>23</v>
      </c>
      <c r="E4111" t="s">
        <v>28</v>
      </c>
    </row>
    <row r="4112" spans="1:13" x14ac:dyDescent="0.3">
      <c r="A4112" t="s">
        <v>4009</v>
      </c>
      <c r="B4112" t="s">
        <v>2733</v>
      </c>
      <c r="C4112" t="s">
        <v>2748</v>
      </c>
      <c r="D4112">
        <v>1.5</v>
      </c>
      <c r="H4112" t="s">
        <v>312</v>
      </c>
      <c r="I4112" t="s">
        <v>385</v>
      </c>
    </row>
    <row r="4113" spans="1:27" x14ac:dyDescent="0.3">
      <c r="A4113" t="s">
        <v>4009</v>
      </c>
      <c r="B4113" t="s">
        <v>2733</v>
      </c>
      <c r="C4113" t="s">
        <v>378</v>
      </c>
      <c r="D4113">
        <v>170</v>
      </c>
      <c r="H4113" t="s">
        <v>312</v>
      </c>
      <c r="I4113" t="s">
        <v>327</v>
      </c>
    </row>
    <row r="4114" spans="1:27" x14ac:dyDescent="0.3">
      <c r="A4114" t="s">
        <v>4009</v>
      </c>
      <c r="B4114" t="s">
        <v>2733</v>
      </c>
      <c r="C4114" t="s">
        <v>380</v>
      </c>
      <c r="D4114" t="s">
        <v>678</v>
      </c>
      <c r="E4114" t="s">
        <v>279</v>
      </c>
      <c r="F4114" t="s">
        <v>25</v>
      </c>
      <c r="G4114" t="s">
        <v>4018</v>
      </c>
      <c r="J4114" t="s">
        <v>2089</v>
      </c>
      <c r="K4114" t="s">
        <v>2750</v>
      </c>
      <c r="N4114" t="s">
        <v>2751</v>
      </c>
      <c r="O4114">
        <v>2</v>
      </c>
      <c r="R4114" t="s">
        <v>2752</v>
      </c>
      <c r="S4114">
        <v>158</v>
      </c>
      <c r="V4114" t="s">
        <v>2753</v>
      </c>
      <c r="W4114" t="s">
        <v>2754</v>
      </c>
      <c r="Z4114" t="s">
        <v>2755</v>
      </c>
      <c r="AA4114" t="s">
        <v>2756</v>
      </c>
    </row>
    <row r="4115" spans="1:27" x14ac:dyDescent="0.3">
      <c r="A4115" t="s">
        <v>4009</v>
      </c>
      <c r="B4115" t="s">
        <v>2733</v>
      </c>
      <c r="C4115" t="s">
        <v>16</v>
      </c>
      <c r="D4115" t="s">
        <v>172</v>
      </c>
      <c r="E4115" t="s">
        <v>37</v>
      </c>
    </row>
    <row r="4116" spans="1:27" x14ac:dyDescent="0.3">
      <c r="A4116" t="s">
        <v>4009</v>
      </c>
      <c r="B4116" t="s">
        <v>2733</v>
      </c>
      <c r="C4116" t="s">
        <v>11</v>
      </c>
      <c r="D4116" t="s">
        <v>12</v>
      </c>
      <c r="E4116" t="s">
        <v>13</v>
      </c>
      <c r="H4116" t="s">
        <v>382</v>
      </c>
      <c r="I4116" t="s">
        <v>4019</v>
      </c>
      <c r="L4116" t="s">
        <v>14</v>
      </c>
      <c r="M4116" t="s">
        <v>4019</v>
      </c>
    </row>
    <row r="4117" spans="1:27" x14ac:dyDescent="0.3">
      <c r="A4117" t="s">
        <v>4012</v>
      </c>
      <c r="B4117" t="s">
        <v>527</v>
      </c>
      <c r="C4117" t="s">
        <v>11</v>
      </c>
      <c r="D4117" t="s">
        <v>12</v>
      </c>
      <c r="E4117" t="s">
        <v>391</v>
      </c>
      <c r="H4117" t="s">
        <v>392</v>
      </c>
      <c r="I4117" t="s">
        <v>2758</v>
      </c>
      <c r="L4117" t="s">
        <v>394</v>
      </c>
      <c r="M4117" t="s">
        <v>4019</v>
      </c>
    </row>
    <row r="4118" spans="1:27" x14ac:dyDescent="0.3">
      <c r="A4118" t="s">
        <v>4011</v>
      </c>
      <c r="B4118" t="s">
        <v>2738</v>
      </c>
      <c r="C4118" t="s">
        <v>11</v>
      </c>
      <c r="D4118" t="s">
        <v>12</v>
      </c>
      <c r="E4118" t="s">
        <v>391</v>
      </c>
      <c r="H4118" t="s">
        <v>392</v>
      </c>
      <c r="I4118" t="s">
        <v>4020</v>
      </c>
      <c r="L4118" t="s">
        <v>394</v>
      </c>
      <c r="M4118" t="s">
        <v>4019</v>
      </c>
    </row>
    <row r="4119" spans="1:27" x14ac:dyDescent="0.3">
      <c r="A4119" t="s">
        <v>4010</v>
      </c>
      <c r="B4119" t="s">
        <v>2735</v>
      </c>
      <c r="C4119" t="s">
        <v>308</v>
      </c>
      <c r="D4119" t="s">
        <v>4021</v>
      </c>
      <c r="E4119" t="s">
        <v>406</v>
      </c>
      <c r="H4119" t="s">
        <v>25</v>
      </c>
      <c r="I4119" t="s">
        <v>2761</v>
      </c>
      <c r="L4119" t="s">
        <v>312</v>
      </c>
      <c r="M4119" t="s">
        <v>404</v>
      </c>
    </row>
    <row r="4120" spans="1:27" x14ac:dyDescent="0.3">
      <c r="A4120" t="s">
        <v>4021</v>
      </c>
      <c r="B4120" t="s">
        <v>406</v>
      </c>
      <c r="C4120" t="s">
        <v>11</v>
      </c>
      <c r="D4120" t="s">
        <v>12</v>
      </c>
      <c r="E4120" t="s">
        <v>391</v>
      </c>
      <c r="H4120" t="s">
        <v>392</v>
      </c>
      <c r="I4120" t="s">
        <v>4022</v>
      </c>
      <c r="L4120" t="s">
        <v>394</v>
      </c>
      <c r="M4120" t="s">
        <v>4019</v>
      </c>
    </row>
    <row r="4121" spans="1:27" x14ac:dyDescent="0.3">
      <c r="A4121" t="s">
        <v>4014</v>
      </c>
      <c r="B4121" t="s">
        <v>1138</v>
      </c>
      <c r="C4121" t="s">
        <v>11</v>
      </c>
      <c r="D4121" t="s">
        <v>12</v>
      </c>
      <c r="E4121" t="s">
        <v>391</v>
      </c>
      <c r="H4121" t="s">
        <v>392</v>
      </c>
      <c r="I4121" t="s">
        <v>4023</v>
      </c>
      <c r="L4121" t="s">
        <v>394</v>
      </c>
      <c r="M4121" t="s">
        <v>4019</v>
      </c>
    </row>
    <row r="4122" spans="1:27" x14ac:dyDescent="0.3">
      <c r="A4122" t="s">
        <v>4017</v>
      </c>
      <c r="B4122" t="s">
        <v>341</v>
      </c>
      <c r="C4122" t="s">
        <v>11</v>
      </c>
      <c r="D4122" t="s">
        <v>12</v>
      </c>
      <c r="E4122" t="s">
        <v>391</v>
      </c>
      <c r="H4122" t="s">
        <v>392</v>
      </c>
      <c r="I4122" t="s">
        <v>4024</v>
      </c>
      <c r="L4122" t="s">
        <v>394</v>
      </c>
      <c r="M4122" t="s">
        <v>4019</v>
      </c>
    </row>
    <row r="4123" spans="1:27" x14ac:dyDescent="0.3">
      <c r="A4123" t="s">
        <v>4015</v>
      </c>
      <c r="B4123" t="s">
        <v>1134</v>
      </c>
      <c r="C4123" t="s">
        <v>11</v>
      </c>
      <c r="D4123" t="s">
        <v>12</v>
      </c>
      <c r="E4123" t="s">
        <v>391</v>
      </c>
      <c r="H4123" t="s">
        <v>392</v>
      </c>
      <c r="I4123" t="s">
        <v>4025</v>
      </c>
      <c r="L4123" t="s">
        <v>394</v>
      </c>
      <c r="M4123" t="s">
        <v>4019</v>
      </c>
    </row>
    <row r="4124" spans="1:27" x14ac:dyDescent="0.3">
      <c r="A4124" t="s">
        <v>4016</v>
      </c>
      <c r="B4124" t="s">
        <v>1138</v>
      </c>
      <c r="C4124" t="s">
        <v>11</v>
      </c>
      <c r="D4124" t="s">
        <v>12</v>
      </c>
      <c r="E4124" t="s">
        <v>391</v>
      </c>
      <c r="H4124" t="s">
        <v>392</v>
      </c>
      <c r="I4124" t="s">
        <v>4026</v>
      </c>
      <c r="L4124" t="s">
        <v>394</v>
      </c>
      <c r="M4124" t="s">
        <v>4019</v>
      </c>
    </row>
    <row r="4125" spans="1:27" x14ac:dyDescent="0.3">
      <c r="A4125" t="s">
        <v>4013</v>
      </c>
      <c r="B4125" t="s">
        <v>2077</v>
      </c>
      <c r="C4125" t="s">
        <v>11</v>
      </c>
      <c r="D4125" t="s">
        <v>12</v>
      </c>
      <c r="E4125" t="s">
        <v>391</v>
      </c>
      <c r="H4125" t="s">
        <v>392</v>
      </c>
      <c r="I4125" t="s">
        <v>2128</v>
      </c>
      <c r="L4125" t="s">
        <v>394</v>
      </c>
      <c r="M4125" t="s">
        <v>4019</v>
      </c>
    </row>
    <row r="4126" spans="1:27" x14ac:dyDescent="0.3">
      <c r="A4126" t="s">
        <v>4027</v>
      </c>
      <c r="B4126" t="s">
        <v>2733</v>
      </c>
      <c r="C4126" t="s">
        <v>280</v>
      </c>
      <c r="D4126" t="s">
        <v>4028</v>
      </c>
      <c r="E4126" t="s">
        <v>2735</v>
      </c>
      <c r="H4126" t="s">
        <v>25</v>
      </c>
      <c r="I4126" t="s">
        <v>2736</v>
      </c>
    </row>
    <row r="4127" spans="1:27" x14ac:dyDescent="0.3">
      <c r="A4127" t="s">
        <v>4027</v>
      </c>
      <c r="B4127" t="s">
        <v>2733</v>
      </c>
      <c r="C4127" t="s">
        <v>308</v>
      </c>
      <c r="D4127" t="s">
        <v>4029</v>
      </c>
      <c r="E4127" t="s">
        <v>2738</v>
      </c>
      <c r="H4127" t="s">
        <v>25</v>
      </c>
      <c r="I4127" t="s">
        <v>2739</v>
      </c>
      <c r="L4127" t="s">
        <v>312</v>
      </c>
      <c r="M4127" t="s">
        <v>327</v>
      </c>
    </row>
    <row r="4128" spans="1:27" x14ac:dyDescent="0.3">
      <c r="A4128" t="s">
        <v>4027</v>
      </c>
      <c r="B4128" t="s">
        <v>2733</v>
      </c>
      <c r="C4128" t="s">
        <v>308</v>
      </c>
      <c r="D4128" t="s">
        <v>4030</v>
      </c>
      <c r="E4128" t="s">
        <v>527</v>
      </c>
      <c r="H4128" t="s">
        <v>25</v>
      </c>
      <c r="I4128" t="s">
        <v>2741</v>
      </c>
      <c r="L4128" t="s">
        <v>312</v>
      </c>
      <c r="M4128" t="s">
        <v>343</v>
      </c>
    </row>
    <row r="4129" spans="1:27" x14ac:dyDescent="0.3">
      <c r="A4129" t="s">
        <v>4027</v>
      </c>
      <c r="B4129" t="s">
        <v>2733</v>
      </c>
      <c r="C4129" t="s">
        <v>308</v>
      </c>
      <c r="D4129" t="s">
        <v>4031</v>
      </c>
      <c r="E4129" t="s">
        <v>2077</v>
      </c>
      <c r="H4129" t="s">
        <v>25</v>
      </c>
      <c r="I4129" t="s">
        <v>2078</v>
      </c>
      <c r="L4129" t="s">
        <v>312</v>
      </c>
      <c r="M4129" t="s">
        <v>1687</v>
      </c>
    </row>
    <row r="4130" spans="1:27" x14ac:dyDescent="0.3">
      <c r="A4130" t="s">
        <v>4027</v>
      </c>
      <c r="B4130" t="s">
        <v>2733</v>
      </c>
      <c r="C4130" t="s">
        <v>308</v>
      </c>
      <c r="D4130" t="s">
        <v>4032</v>
      </c>
      <c r="E4130" t="s">
        <v>1138</v>
      </c>
      <c r="H4130" t="s">
        <v>25</v>
      </c>
      <c r="I4130" t="s">
        <v>2065</v>
      </c>
      <c r="L4130" t="s">
        <v>312</v>
      </c>
      <c r="M4130" t="s">
        <v>317</v>
      </c>
    </row>
    <row r="4131" spans="1:27" x14ac:dyDescent="0.3">
      <c r="A4131" t="s">
        <v>4027</v>
      </c>
      <c r="B4131" t="s">
        <v>2733</v>
      </c>
      <c r="C4131" t="s">
        <v>308</v>
      </c>
      <c r="D4131" t="s">
        <v>4033</v>
      </c>
      <c r="E4131" t="s">
        <v>1134</v>
      </c>
      <c r="H4131" t="s">
        <v>25</v>
      </c>
      <c r="I4131" t="s">
        <v>2069</v>
      </c>
      <c r="L4131" t="s">
        <v>312</v>
      </c>
      <c r="M4131" t="s">
        <v>317</v>
      </c>
    </row>
    <row r="4132" spans="1:27" x14ac:dyDescent="0.3">
      <c r="A4132" t="s">
        <v>4027</v>
      </c>
      <c r="B4132" t="s">
        <v>2733</v>
      </c>
      <c r="C4132" t="s">
        <v>308</v>
      </c>
      <c r="D4132" t="s">
        <v>4034</v>
      </c>
      <c r="E4132" t="s">
        <v>1138</v>
      </c>
      <c r="H4132" t="s">
        <v>25</v>
      </c>
      <c r="I4132" t="s">
        <v>2746</v>
      </c>
      <c r="L4132" t="s">
        <v>312</v>
      </c>
      <c r="M4132" t="s">
        <v>317</v>
      </c>
    </row>
    <row r="4133" spans="1:27" x14ac:dyDescent="0.3">
      <c r="A4133" t="s">
        <v>4027</v>
      </c>
      <c r="B4133" t="s">
        <v>2733</v>
      </c>
      <c r="C4133" t="s">
        <v>308</v>
      </c>
      <c r="D4133" t="s">
        <v>4035</v>
      </c>
      <c r="E4133" t="s">
        <v>341</v>
      </c>
      <c r="H4133" t="s">
        <v>25</v>
      </c>
      <c r="I4133" t="s">
        <v>342</v>
      </c>
      <c r="L4133" t="s">
        <v>312</v>
      </c>
      <c r="M4133" t="s">
        <v>343</v>
      </c>
    </row>
    <row r="4134" spans="1:27" x14ac:dyDescent="0.3">
      <c r="A4134" t="s">
        <v>4027</v>
      </c>
      <c r="B4134" t="s">
        <v>2733</v>
      </c>
      <c r="C4134" t="s">
        <v>22</v>
      </c>
      <c r="D4134" t="s">
        <v>23</v>
      </c>
      <c r="E4134" t="s">
        <v>28</v>
      </c>
    </row>
    <row r="4135" spans="1:27" x14ac:dyDescent="0.3">
      <c r="A4135" t="s">
        <v>4027</v>
      </c>
      <c r="B4135" t="s">
        <v>2733</v>
      </c>
      <c r="C4135" t="s">
        <v>2748</v>
      </c>
      <c r="D4135">
        <v>1.5</v>
      </c>
      <c r="H4135" t="s">
        <v>312</v>
      </c>
      <c r="I4135" t="s">
        <v>385</v>
      </c>
    </row>
    <row r="4136" spans="1:27" x14ac:dyDescent="0.3">
      <c r="A4136" t="s">
        <v>4027</v>
      </c>
      <c r="B4136" t="s">
        <v>2733</v>
      </c>
      <c r="C4136" t="s">
        <v>378</v>
      </c>
      <c r="D4136">
        <v>170</v>
      </c>
      <c r="H4136" t="s">
        <v>312</v>
      </c>
      <c r="I4136" t="s">
        <v>327</v>
      </c>
    </row>
    <row r="4137" spans="1:27" x14ac:dyDescent="0.3">
      <c r="A4137" t="s">
        <v>4027</v>
      </c>
      <c r="B4137" t="s">
        <v>2733</v>
      </c>
      <c r="C4137" t="s">
        <v>380</v>
      </c>
      <c r="D4137" t="s">
        <v>678</v>
      </c>
      <c r="E4137" t="s">
        <v>279</v>
      </c>
      <c r="F4137" t="s">
        <v>25</v>
      </c>
      <c r="G4137" t="s">
        <v>4036</v>
      </c>
      <c r="J4137" t="s">
        <v>2089</v>
      </c>
      <c r="K4137" t="s">
        <v>2750</v>
      </c>
      <c r="N4137" t="s">
        <v>2751</v>
      </c>
      <c r="O4137">
        <v>2</v>
      </c>
      <c r="R4137" t="s">
        <v>2752</v>
      </c>
      <c r="S4137">
        <v>158</v>
      </c>
      <c r="V4137" t="s">
        <v>2753</v>
      </c>
      <c r="W4137" t="s">
        <v>2754</v>
      </c>
      <c r="Z4137" t="s">
        <v>2755</v>
      </c>
      <c r="AA4137" t="s">
        <v>2756</v>
      </c>
    </row>
    <row r="4138" spans="1:27" x14ac:dyDescent="0.3">
      <c r="A4138" t="s">
        <v>4027</v>
      </c>
      <c r="B4138" t="s">
        <v>2733</v>
      </c>
      <c r="C4138" t="s">
        <v>16</v>
      </c>
      <c r="D4138" t="s">
        <v>172</v>
      </c>
      <c r="E4138" t="s">
        <v>37</v>
      </c>
    </row>
    <row r="4139" spans="1:27" x14ac:dyDescent="0.3">
      <c r="A4139" t="s">
        <v>4027</v>
      </c>
      <c r="B4139" t="s">
        <v>2733</v>
      </c>
      <c r="C4139" t="s">
        <v>11</v>
      </c>
      <c r="D4139" t="s">
        <v>12</v>
      </c>
      <c r="E4139" t="s">
        <v>13</v>
      </c>
      <c r="H4139" t="s">
        <v>382</v>
      </c>
      <c r="I4139" t="s">
        <v>4037</v>
      </c>
      <c r="L4139" t="s">
        <v>14</v>
      </c>
      <c r="M4139" t="s">
        <v>4037</v>
      </c>
    </row>
    <row r="4140" spans="1:27" x14ac:dyDescent="0.3">
      <c r="A4140" t="s">
        <v>4030</v>
      </c>
      <c r="B4140" t="s">
        <v>527</v>
      </c>
      <c r="C4140" t="s">
        <v>11</v>
      </c>
      <c r="D4140" t="s">
        <v>12</v>
      </c>
      <c r="E4140" t="s">
        <v>391</v>
      </c>
      <c r="H4140" t="s">
        <v>392</v>
      </c>
      <c r="I4140" t="s">
        <v>2758</v>
      </c>
      <c r="L4140" t="s">
        <v>394</v>
      </c>
      <c r="M4140" t="s">
        <v>4037</v>
      </c>
    </row>
    <row r="4141" spans="1:27" x14ac:dyDescent="0.3">
      <c r="A4141" t="s">
        <v>4029</v>
      </c>
      <c r="B4141" t="s">
        <v>2738</v>
      </c>
      <c r="C4141" t="s">
        <v>11</v>
      </c>
      <c r="D4141" t="s">
        <v>12</v>
      </c>
      <c r="E4141" t="s">
        <v>391</v>
      </c>
      <c r="H4141" t="s">
        <v>392</v>
      </c>
      <c r="I4141" t="s">
        <v>4038</v>
      </c>
      <c r="L4141" t="s">
        <v>394</v>
      </c>
      <c r="M4141" t="s">
        <v>4037</v>
      </c>
    </row>
    <row r="4142" spans="1:27" x14ac:dyDescent="0.3">
      <c r="A4142" t="s">
        <v>4028</v>
      </c>
      <c r="B4142" t="s">
        <v>2735</v>
      </c>
      <c r="C4142" t="s">
        <v>308</v>
      </c>
      <c r="D4142" t="s">
        <v>4039</v>
      </c>
      <c r="E4142" t="s">
        <v>406</v>
      </c>
      <c r="H4142" t="s">
        <v>25</v>
      </c>
      <c r="I4142" t="s">
        <v>2761</v>
      </c>
      <c r="L4142" t="s">
        <v>312</v>
      </c>
      <c r="M4142" t="s">
        <v>404</v>
      </c>
    </row>
    <row r="4143" spans="1:27" x14ac:dyDescent="0.3">
      <c r="A4143" t="s">
        <v>4039</v>
      </c>
      <c r="B4143" t="s">
        <v>406</v>
      </c>
      <c r="C4143" t="s">
        <v>11</v>
      </c>
      <c r="D4143" t="s">
        <v>12</v>
      </c>
      <c r="E4143" t="s">
        <v>391</v>
      </c>
      <c r="H4143" t="s">
        <v>392</v>
      </c>
      <c r="I4143" t="s">
        <v>4040</v>
      </c>
      <c r="L4143" t="s">
        <v>394</v>
      </c>
      <c r="M4143" t="s">
        <v>4037</v>
      </c>
    </row>
    <row r="4144" spans="1:27" x14ac:dyDescent="0.3">
      <c r="A4144" t="s">
        <v>4032</v>
      </c>
      <c r="B4144" t="s">
        <v>1138</v>
      </c>
      <c r="C4144" t="s">
        <v>11</v>
      </c>
      <c r="D4144" t="s">
        <v>12</v>
      </c>
      <c r="E4144" t="s">
        <v>391</v>
      </c>
      <c r="H4144" t="s">
        <v>392</v>
      </c>
      <c r="I4144" t="s">
        <v>4041</v>
      </c>
      <c r="L4144" t="s">
        <v>394</v>
      </c>
      <c r="M4144" t="s">
        <v>4037</v>
      </c>
    </row>
    <row r="4145" spans="1:27" x14ac:dyDescent="0.3">
      <c r="A4145" t="s">
        <v>4035</v>
      </c>
      <c r="B4145" t="s">
        <v>341</v>
      </c>
      <c r="C4145" t="s">
        <v>11</v>
      </c>
      <c r="D4145" t="s">
        <v>12</v>
      </c>
      <c r="E4145" t="s">
        <v>391</v>
      </c>
      <c r="H4145" t="s">
        <v>392</v>
      </c>
      <c r="I4145" t="s">
        <v>4042</v>
      </c>
      <c r="L4145" t="s">
        <v>394</v>
      </c>
      <c r="M4145" t="s">
        <v>4037</v>
      </c>
    </row>
    <row r="4146" spans="1:27" x14ac:dyDescent="0.3">
      <c r="A4146" t="s">
        <v>4033</v>
      </c>
      <c r="B4146" t="s">
        <v>1134</v>
      </c>
      <c r="C4146" t="s">
        <v>11</v>
      </c>
      <c r="D4146" t="s">
        <v>12</v>
      </c>
      <c r="E4146" t="s">
        <v>391</v>
      </c>
      <c r="H4146" t="s">
        <v>392</v>
      </c>
      <c r="I4146" t="s">
        <v>4043</v>
      </c>
      <c r="L4146" t="s">
        <v>394</v>
      </c>
      <c r="M4146" t="s">
        <v>4037</v>
      </c>
    </row>
    <row r="4147" spans="1:27" x14ac:dyDescent="0.3">
      <c r="A4147" t="s">
        <v>4034</v>
      </c>
      <c r="B4147" t="s">
        <v>1138</v>
      </c>
      <c r="C4147" t="s">
        <v>11</v>
      </c>
      <c r="D4147" t="s">
        <v>12</v>
      </c>
      <c r="E4147" t="s">
        <v>391</v>
      </c>
      <c r="H4147" t="s">
        <v>392</v>
      </c>
      <c r="I4147" t="s">
        <v>4044</v>
      </c>
      <c r="L4147" t="s">
        <v>394</v>
      </c>
      <c r="M4147" t="s">
        <v>4037</v>
      </c>
    </row>
    <row r="4148" spans="1:27" x14ac:dyDescent="0.3">
      <c r="A4148" t="s">
        <v>4031</v>
      </c>
      <c r="B4148" t="s">
        <v>2077</v>
      </c>
      <c r="C4148" t="s">
        <v>11</v>
      </c>
      <c r="D4148" t="s">
        <v>12</v>
      </c>
      <c r="E4148" t="s">
        <v>391</v>
      </c>
      <c r="H4148" t="s">
        <v>392</v>
      </c>
      <c r="I4148" t="s">
        <v>2128</v>
      </c>
      <c r="L4148" t="s">
        <v>394</v>
      </c>
      <c r="M4148" t="s">
        <v>4037</v>
      </c>
    </row>
    <row r="4149" spans="1:27" x14ac:dyDescent="0.3">
      <c r="A4149" t="s">
        <v>4045</v>
      </c>
      <c r="B4149" t="s">
        <v>2733</v>
      </c>
      <c r="C4149" t="s">
        <v>280</v>
      </c>
      <c r="D4149" t="s">
        <v>4046</v>
      </c>
      <c r="E4149" t="s">
        <v>2735</v>
      </c>
      <c r="H4149" t="s">
        <v>25</v>
      </c>
      <c r="I4149" t="s">
        <v>2736</v>
      </c>
    </row>
    <row r="4150" spans="1:27" x14ac:dyDescent="0.3">
      <c r="A4150" t="s">
        <v>4045</v>
      </c>
      <c r="B4150" t="s">
        <v>2733</v>
      </c>
      <c r="C4150" t="s">
        <v>308</v>
      </c>
      <c r="D4150" t="s">
        <v>4047</v>
      </c>
      <c r="E4150" t="s">
        <v>2738</v>
      </c>
      <c r="H4150" t="s">
        <v>25</v>
      </c>
      <c r="I4150" t="s">
        <v>2739</v>
      </c>
      <c r="L4150" t="s">
        <v>312</v>
      </c>
      <c r="M4150" t="s">
        <v>327</v>
      </c>
    </row>
    <row r="4151" spans="1:27" x14ac:dyDescent="0.3">
      <c r="A4151" t="s">
        <v>4045</v>
      </c>
      <c r="B4151" t="s">
        <v>2733</v>
      </c>
      <c r="C4151" t="s">
        <v>308</v>
      </c>
      <c r="D4151" t="s">
        <v>4048</v>
      </c>
      <c r="E4151" t="s">
        <v>527</v>
      </c>
      <c r="H4151" t="s">
        <v>25</v>
      </c>
      <c r="I4151" t="s">
        <v>2741</v>
      </c>
      <c r="L4151" t="s">
        <v>312</v>
      </c>
      <c r="M4151" t="s">
        <v>343</v>
      </c>
    </row>
    <row r="4152" spans="1:27" x14ac:dyDescent="0.3">
      <c r="A4152" t="s">
        <v>4045</v>
      </c>
      <c r="B4152" t="s">
        <v>2733</v>
      </c>
      <c r="C4152" t="s">
        <v>308</v>
      </c>
      <c r="D4152" t="s">
        <v>4049</v>
      </c>
      <c r="E4152" t="s">
        <v>2077</v>
      </c>
      <c r="H4152" t="s">
        <v>25</v>
      </c>
      <c r="I4152" t="s">
        <v>2078</v>
      </c>
      <c r="L4152" t="s">
        <v>312</v>
      </c>
      <c r="M4152" t="s">
        <v>1687</v>
      </c>
    </row>
    <row r="4153" spans="1:27" x14ac:dyDescent="0.3">
      <c r="A4153" t="s">
        <v>4045</v>
      </c>
      <c r="B4153" t="s">
        <v>2733</v>
      </c>
      <c r="C4153" t="s">
        <v>308</v>
      </c>
      <c r="D4153" t="s">
        <v>4050</v>
      </c>
      <c r="E4153" t="s">
        <v>1138</v>
      </c>
      <c r="H4153" t="s">
        <v>25</v>
      </c>
      <c r="I4153" t="s">
        <v>2065</v>
      </c>
      <c r="L4153" t="s">
        <v>312</v>
      </c>
      <c r="M4153" t="s">
        <v>317</v>
      </c>
    </row>
    <row r="4154" spans="1:27" x14ac:dyDescent="0.3">
      <c r="A4154" t="s">
        <v>4045</v>
      </c>
      <c r="B4154" t="s">
        <v>2733</v>
      </c>
      <c r="C4154" t="s">
        <v>308</v>
      </c>
      <c r="D4154" t="s">
        <v>4051</v>
      </c>
      <c r="E4154" t="s">
        <v>1134</v>
      </c>
      <c r="H4154" t="s">
        <v>25</v>
      </c>
      <c r="I4154" t="s">
        <v>2069</v>
      </c>
      <c r="L4154" t="s">
        <v>312</v>
      </c>
      <c r="M4154" t="s">
        <v>317</v>
      </c>
    </row>
    <row r="4155" spans="1:27" x14ac:dyDescent="0.3">
      <c r="A4155" t="s">
        <v>4045</v>
      </c>
      <c r="B4155" t="s">
        <v>2733</v>
      </c>
      <c r="C4155" t="s">
        <v>308</v>
      </c>
      <c r="D4155" t="s">
        <v>4052</v>
      </c>
      <c r="E4155" t="s">
        <v>1138</v>
      </c>
      <c r="H4155" t="s">
        <v>25</v>
      </c>
      <c r="I4155" t="s">
        <v>2746</v>
      </c>
      <c r="L4155" t="s">
        <v>312</v>
      </c>
      <c r="M4155" t="s">
        <v>317</v>
      </c>
    </row>
    <row r="4156" spans="1:27" x14ac:dyDescent="0.3">
      <c r="A4156" t="s">
        <v>4045</v>
      </c>
      <c r="B4156" t="s">
        <v>2733</v>
      </c>
      <c r="C4156" t="s">
        <v>308</v>
      </c>
      <c r="D4156" t="s">
        <v>4053</v>
      </c>
      <c r="E4156" t="s">
        <v>341</v>
      </c>
      <c r="H4156" t="s">
        <v>25</v>
      </c>
      <c r="I4156" t="s">
        <v>342</v>
      </c>
      <c r="L4156" t="s">
        <v>312</v>
      </c>
      <c r="M4156" t="s">
        <v>343</v>
      </c>
    </row>
    <row r="4157" spans="1:27" x14ac:dyDescent="0.3">
      <c r="A4157" t="s">
        <v>4045</v>
      </c>
      <c r="B4157" t="s">
        <v>2733</v>
      </c>
      <c r="C4157" t="s">
        <v>22</v>
      </c>
      <c r="D4157" t="s">
        <v>23</v>
      </c>
      <c r="E4157" t="s">
        <v>28</v>
      </c>
    </row>
    <row r="4158" spans="1:27" x14ac:dyDescent="0.3">
      <c r="A4158" t="s">
        <v>4045</v>
      </c>
      <c r="B4158" t="s">
        <v>2733</v>
      </c>
      <c r="C4158" t="s">
        <v>2748</v>
      </c>
      <c r="D4158">
        <v>1.5</v>
      </c>
      <c r="H4158" t="s">
        <v>312</v>
      </c>
      <c r="I4158" t="s">
        <v>385</v>
      </c>
    </row>
    <row r="4159" spans="1:27" x14ac:dyDescent="0.3">
      <c r="A4159" t="s">
        <v>4045</v>
      </c>
      <c r="B4159" t="s">
        <v>2733</v>
      </c>
      <c r="C4159" t="s">
        <v>378</v>
      </c>
      <c r="D4159">
        <v>170</v>
      </c>
      <c r="H4159" t="s">
        <v>312</v>
      </c>
      <c r="I4159" t="s">
        <v>327</v>
      </c>
    </row>
    <row r="4160" spans="1:27" x14ac:dyDescent="0.3">
      <c r="A4160" t="s">
        <v>4045</v>
      </c>
      <c r="B4160" t="s">
        <v>2733</v>
      </c>
      <c r="C4160" t="s">
        <v>380</v>
      </c>
      <c r="D4160" t="s">
        <v>798</v>
      </c>
      <c r="E4160" t="s">
        <v>279</v>
      </c>
      <c r="F4160" t="s">
        <v>25</v>
      </c>
      <c r="G4160" t="s">
        <v>4054</v>
      </c>
      <c r="J4160" t="s">
        <v>2089</v>
      </c>
      <c r="K4160" t="s">
        <v>2750</v>
      </c>
      <c r="N4160" t="s">
        <v>2751</v>
      </c>
      <c r="O4160">
        <v>2</v>
      </c>
      <c r="R4160" t="s">
        <v>2752</v>
      </c>
      <c r="S4160">
        <v>158</v>
      </c>
      <c r="V4160" t="s">
        <v>2753</v>
      </c>
      <c r="W4160" t="s">
        <v>2754</v>
      </c>
      <c r="Z4160" t="s">
        <v>2755</v>
      </c>
      <c r="AA4160" t="s">
        <v>2756</v>
      </c>
    </row>
    <row r="4161" spans="1:13" x14ac:dyDescent="0.3">
      <c r="A4161" t="s">
        <v>4045</v>
      </c>
      <c r="B4161" t="s">
        <v>2733</v>
      </c>
      <c r="C4161" t="s">
        <v>16</v>
      </c>
      <c r="D4161" t="s">
        <v>172</v>
      </c>
      <c r="E4161" t="s">
        <v>37</v>
      </c>
    </row>
    <row r="4162" spans="1:13" x14ac:dyDescent="0.3">
      <c r="A4162" t="s">
        <v>4045</v>
      </c>
      <c r="B4162" t="s">
        <v>2733</v>
      </c>
      <c r="C4162" t="s">
        <v>11</v>
      </c>
      <c r="D4162" t="s">
        <v>12</v>
      </c>
      <c r="E4162" t="s">
        <v>13</v>
      </c>
      <c r="H4162" t="s">
        <v>382</v>
      </c>
      <c r="I4162" t="s">
        <v>4055</v>
      </c>
      <c r="L4162" t="s">
        <v>14</v>
      </c>
      <c r="M4162" t="s">
        <v>4055</v>
      </c>
    </row>
    <row r="4163" spans="1:13" x14ac:dyDescent="0.3">
      <c r="A4163" t="s">
        <v>4048</v>
      </c>
      <c r="B4163" t="s">
        <v>527</v>
      </c>
      <c r="C4163" t="s">
        <v>11</v>
      </c>
      <c r="D4163" t="s">
        <v>12</v>
      </c>
      <c r="E4163" t="s">
        <v>391</v>
      </c>
      <c r="H4163" t="s">
        <v>392</v>
      </c>
      <c r="I4163" t="s">
        <v>2758</v>
      </c>
      <c r="L4163" t="s">
        <v>394</v>
      </c>
      <c r="M4163" t="s">
        <v>4055</v>
      </c>
    </row>
    <row r="4164" spans="1:13" x14ac:dyDescent="0.3">
      <c r="A4164" t="s">
        <v>4047</v>
      </c>
      <c r="B4164" t="s">
        <v>2738</v>
      </c>
      <c r="C4164" t="s">
        <v>11</v>
      </c>
      <c r="D4164" t="s">
        <v>12</v>
      </c>
      <c r="E4164" t="s">
        <v>391</v>
      </c>
      <c r="H4164" t="s">
        <v>392</v>
      </c>
      <c r="I4164" t="s">
        <v>4056</v>
      </c>
      <c r="L4164" t="s">
        <v>394</v>
      </c>
      <c r="M4164" t="s">
        <v>4055</v>
      </c>
    </row>
    <row r="4165" spans="1:13" x14ac:dyDescent="0.3">
      <c r="A4165" t="s">
        <v>4046</v>
      </c>
      <c r="B4165" t="s">
        <v>2735</v>
      </c>
      <c r="C4165" t="s">
        <v>308</v>
      </c>
      <c r="D4165" t="s">
        <v>4057</v>
      </c>
      <c r="E4165" t="s">
        <v>406</v>
      </c>
      <c r="H4165" t="s">
        <v>25</v>
      </c>
      <c r="I4165" t="s">
        <v>2761</v>
      </c>
      <c r="L4165" t="s">
        <v>312</v>
      </c>
      <c r="M4165" t="s">
        <v>404</v>
      </c>
    </row>
    <row r="4166" spans="1:13" x14ac:dyDescent="0.3">
      <c r="A4166" t="s">
        <v>4057</v>
      </c>
      <c r="B4166" t="s">
        <v>406</v>
      </c>
      <c r="C4166" t="s">
        <v>11</v>
      </c>
      <c r="D4166" t="s">
        <v>12</v>
      </c>
      <c r="E4166" t="s">
        <v>391</v>
      </c>
      <c r="H4166" t="s">
        <v>392</v>
      </c>
      <c r="I4166" t="s">
        <v>4058</v>
      </c>
      <c r="L4166" t="s">
        <v>394</v>
      </c>
      <c r="M4166" t="s">
        <v>4055</v>
      </c>
    </row>
    <row r="4167" spans="1:13" x14ac:dyDescent="0.3">
      <c r="A4167" t="s">
        <v>4050</v>
      </c>
      <c r="B4167" t="s">
        <v>1138</v>
      </c>
      <c r="C4167" t="s">
        <v>11</v>
      </c>
      <c r="D4167" t="s">
        <v>12</v>
      </c>
      <c r="E4167" t="s">
        <v>391</v>
      </c>
      <c r="H4167" t="s">
        <v>392</v>
      </c>
      <c r="I4167" t="s">
        <v>4059</v>
      </c>
      <c r="L4167" t="s">
        <v>394</v>
      </c>
      <c r="M4167" t="s">
        <v>4055</v>
      </c>
    </row>
    <row r="4168" spans="1:13" x14ac:dyDescent="0.3">
      <c r="A4168" t="s">
        <v>4053</v>
      </c>
      <c r="B4168" t="s">
        <v>341</v>
      </c>
      <c r="C4168" t="s">
        <v>11</v>
      </c>
      <c r="D4168" t="s">
        <v>12</v>
      </c>
      <c r="E4168" t="s">
        <v>391</v>
      </c>
      <c r="H4168" t="s">
        <v>392</v>
      </c>
      <c r="I4168" t="s">
        <v>4060</v>
      </c>
      <c r="L4168" t="s">
        <v>394</v>
      </c>
      <c r="M4168" t="s">
        <v>4055</v>
      </c>
    </row>
    <row r="4169" spans="1:13" x14ac:dyDescent="0.3">
      <c r="A4169" t="s">
        <v>4051</v>
      </c>
      <c r="B4169" t="s">
        <v>1134</v>
      </c>
      <c r="C4169" t="s">
        <v>11</v>
      </c>
      <c r="D4169" t="s">
        <v>12</v>
      </c>
      <c r="E4169" t="s">
        <v>391</v>
      </c>
      <c r="H4169" t="s">
        <v>392</v>
      </c>
      <c r="I4169" t="s">
        <v>4061</v>
      </c>
      <c r="L4169" t="s">
        <v>394</v>
      </c>
      <c r="M4169" t="s">
        <v>4055</v>
      </c>
    </row>
    <row r="4170" spans="1:13" x14ac:dyDescent="0.3">
      <c r="A4170" t="s">
        <v>4052</v>
      </c>
      <c r="B4170" t="s">
        <v>1138</v>
      </c>
      <c r="C4170" t="s">
        <v>11</v>
      </c>
      <c r="D4170" t="s">
        <v>12</v>
      </c>
      <c r="E4170" t="s">
        <v>391</v>
      </c>
      <c r="H4170" t="s">
        <v>392</v>
      </c>
      <c r="I4170" t="s">
        <v>4062</v>
      </c>
      <c r="L4170" t="s">
        <v>394</v>
      </c>
      <c r="M4170" t="s">
        <v>4055</v>
      </c>
    </row>
    <row r="4171" spans="1:13" x14ac:dyDescent="0.3">
      <c r="A4171" t="s">
        <v>4049</v>
      </c>
      <c r="B4171" t="s">
        <v>2077</v>
      </c>
      <c r="C4171" t="s">
        <v>11</v>
      </c>
      <c r="D4171" t="s">
        <v>12</v>
      </c>
      <c r="E4171" t="s">
        <v>391</v>
      </c>
      <c r="H4171" t="s">
        <v>392</v>
      </c>
      <c r="I4171" t="s">
        <v>2128</v>
      </c>
      <c r="L4171" t="s">
        <v>394</v>
      </c>
      <c r="M4171" t="s">
        <v>4055</v>
      </c>
    </row>
    <row r="4172" spans="1:13" x14ac:dyDescent="0.3">
      <c r="A4172" t="s">
        <v>4063</v>
      </c>
      <c r="B4172" t="s">
        <v>2733</v>
      </c>
      <c r="C4172" t="s">
        <v>280</v>
      </c>
      <c r="D4172" t="s">
        <v>4064</v>
      </c>
      <c r="E4172" t="s">
        <v>2735</v>
      </c>
      <c r="H4172" t="s">
        <v>25</v>
      </c>
      <c r="I4172" t="s">
        <v>2736</v>
      </c>
    </row>
    <row r="4173" spans="1:13" x14ac:dyDescent="0.3">
      <c r="A4173" t="s">
        <v>4063</v>
      </c>
      <c r="B4173" t="s">
        <v>2733</v>
      </c>
      <c r="C4173" t="s">
        <v>308</v>
      </c>
      <c r="D4173" t="s">
        <v>4065</v>
      </c>
      <c r="E4173" t="s">
        <v>2738</v>
      </c>
      <c r="H4173" t="s">
        <v>25</v>
      </c>
      <c r="I4173" t="s">
        <v>2739</v>
      </c>
      <c r="L4173" t="s">
        <v>312</v>
      </c>
      <c r="M4173" t="s">
        <v>327</v>
      </c>
    </row>
    <row r="4174" spans="1:13" x14ac:dyDescent="0.3">
      <c r="A4174" t="s">
        <v>4063</v>
      </c>
      <c r="B4174" t="s">
        <v>2733</v>
      </c>
      <c r="C4174" t="s">
        <v>308</v>
      </c>
      <c r="D4174" t="s">
        <v>4066</v>
      </c>
      <c r="E4174" t="s">
        <v>527</v>
      </c>
      <c r="H4174" t="s">
        <v>25</v>
      </c>
      <c r="I4174" t="s">
        <v>2741</v>
      </c>
      <c r="L4174" t="s">
        <v>312</v>
      </c>
      <c r="M4174" t="s">
        <v>343</v>
      </c>
    </row>
    <row r="4175" spans="1:13" x14ac:dyDescent="0.3">
      <c r="A4175" t="s">
        <v>4063</v>
      </c>
      <c r="B4175" t="s">
        <v>2733</v>
      </c>
      <c r="C4175" t="s">
        <v>308</v>
      </c>
      <c r="D4175" t="s">
        <v>4067</v>
      </c>
      <c r="E4175" t="s">
        <v>2077</v>
      </c>
      <c r="H4175" t="s">
        <v>25</v>
      </c>
      <c r="I4175" t="s">
        <v>2078</v>
      </c>
      <c r="L4175" t="s">
        <v>312</v>
      </c>
      <c r="M4175" t="s">
        <v>1687</v>
      </c>
    </row>
    <row r="4176" spans="1:13" x14ac:dyDescent="0.3">
      <c r="A4176" t="s">
        <v>4063</v>
      </c>
      <c r="B4176" t="s">
        <v>2733</v>
      </c>
      <c r="C4176" t="s">
        <v>308</v>
      </c>
      <c r="D4176" t="s">
        <v>4068</v>
      </c>
      <c r="E4176" t="s">
        <v>1138</v>
      </c>
      <c r="H4176" t="s">
        <v>25</v>
      </c>
      <c r="I4176" t="s">
        <v>2065</v>
      </c>
      <c r="L4176" t="s">
        <v>312</v>
      </c>
      <c r="M4176" t="s">
        <v>317</v>
      </c>
    </row>
    <row r="4177" spans="1:27" x14ac:dyDescent="0.3">
      <c r="A4177" t="s">
        <v>4063</v>
      </c>
      <c r="B4177" t="s">
        <v>2733</v>
      </c>
      <c r="C4177" t="s">
        <v>308</v>
      </c>
      <c r="D4177" t="s">
        <v>4069</v>
      </c>
      <c r="E4177" t="s">
        <v>1134</v>
      </c>
      <c r="H4177" t="s">
        <v>25</v>
      </c>
      <c r="I4177" t="s">
        <v>2069</v>
      </c>
      <c r="L4177" t="s">
        <v>312</v>
      </c>
      <c r="M4177" t="s">
        <v>317</v>
      </c>
    </row>
    <row r="4178" spans="1:27" x14ac:dyDescent="0.3">
      <c r="A4178" t="s">
        <v>4063</v>
      </c>
      <c r="B4178" t="s">
        <v>2733</v>
      </c>
      <c r="C4178" t="s">
        <v>308</v>
      </c>
      <c r="D4178" t="s">
        <v>4070</v>
      </c>
      <c r="E4178" t="s">
        <v>1138</v>
      </c>
      <c r="H4178" t="s">
        <v>25</v>
      </c>
      <c r="I4178" t="s">
        <v>2746</v>
      </c>
      <c r="L4178" t="s">
        <v>312</v>
      </c>
      <c r="M4178" t="s">
        <v>317</v>
      </c>
    </row>
    <row r="4179" spans="1:27" x14ac:dyDescent="0.3">
      <c r="A4179" t="s">
        <v>4063</v>
      </c>
      <c r="B4179" t="s">
        <v>2733</v>
      </c>
      <c r="C4179" t="s">
        <v>308</v>
      </c>
      <c r="D4179" t="s">
        <v>4071</v>
      </c>
      <c r="E4179" t="s">
        <v>341</v>
      </c>
      <c r="H4179" t="s">
        <v>25</v>
      </c>
      <c r="I4179" t="s">
        <v>342</v>
      </c>
      <c r="L4179" t="s">
        <v>312</v>
      </c>
      <c r="M4179" t="s">
        <v>343</v>
      </c>
    </row>
    <row r="4180" spans="1:27" x14ac:dyDescent="0.3">
      <c r="A4180" t="s">
        <v>4063</v>
      </c>
      <c r="B4180" t="s">
        <v>2733</v>
      </c>
      <c r="C4180" t="s">
        <v>22</v>
      </c>
      <c r="D4180" t="s">
        <v>23</v>
      </c>
      <c r="E4180" t="s">
        <v>28</v>
      </c>
    </row>
    <row r="4181" spans="1:27" x14ac:dyDescent="0.3">
      <c r="A4181" t="s">
        <v>4063</v>
      </c>
      <c r="B4181" t="s">
        <v>2733</v>
      </c>
      <c r="C4181" t="s">
        <v>2748</v>
      </c>
      <c r="D4181">
        <v>1.5</v>
      </c>
      <c r="H4181" t="s">
        <v>312</v>
      </c>
      <c r="I4181" t="s">
        <v>385</v>
      </c>
    </row>
    <row r="4182" spans="1:27" x14ac:dyDescent="0.3">
      <c r="A4182" t="s">
        <v>4063</v>
      </c>
      <c r="B4182" t="s">
        <v>2733</v>
      </c>
      <c r="C4182" t="s">
        <v>378</v>
      </c>
      <c r="D4182">
        <v>170</v>
      </c>
      <c r="H4182" t="s">
        <v>312</v>
      </c>
      <c r="I4182" t="s">
        <v>327</v>
      </c>
    </row>
    <row r="4183" spans="1:27" x14ac:dyDescent="0.3">
      <c r="A4183" t="s">
        <v>4063</v>
      </c>
      <c r="B4183" t="s">
        <v>2733</v>
      </c>
      <c r="C4183" t="s">
        <v>380</v>
      </c>
      <c r="D4183" t="s">
        <v>798</v>
      </c>
      <c r="E4183" t="s">
        <v>279</v>
      </c>
      <c r="F4183" t="s">
        <v>25</v>
      </c>
      <c r="G4183" t="s">
        <v>4072</v>
      </c>
      <c r="J4183" t="s">
        <v>2089</v>
      </c>
      <c r="K4183" t="s">
        <v>2750</v>
      </c>
      <c r="N4183" t="s">
        <v>2751</v>
      </c>
      <c r="O4183">
        <v>2</v>
      </c>
      <c r="R4183" t="s">
        <v>2752</v>
      </c>
      <c r="S4183">
        <v>158</v>
      </c>
      <c r="V4183" t="s">
        <v>2753</v>
      </c>
      <c r="W4183" t="s">
        <v>2754</v>
      </c>
      <c r="Z4183" t="s">
        <v>2755</v>
      </c>
      <c r="AA4183" t="s">
        <v>2756</v>
      </c>
    </row>
    <row r="4184" spans="1:27" x14ac:dyDescent="0.3">
      <c r="A4184" t="s">
        <v>4063</v>
      </c>
      <c r="B4184" t="s">
        <v>2733</v>
      </c>
      <c r="C4184" t="s">
        <v>16</v>
      </c>
      <c r="D4184" t="s">
        <v>172</v>
      </c>
      <c r="E4184" t="s">
        <v>37</v>
      </c>
    </row>
    <row r="4185" spans="1:27" x14ac:dyDescent="0.3">
      <c r="A4185" t="s">
        <v>4063</v>
      </c>
      <c r="B4185" t="s">
        <v>2733</v>
      </c>
      <c r="C4185" t="s">
        <v>11</v>
      </c>
      <c r="D4185" t="s">
        <v>12</v>
      </c>
      <c r="E4185" t="s">
        <v>13</v>
      </c>
      <c r="H4185" t="s">
        <v>382</v>
      </c>
      <c r="I4185" t="s">
        <v>4073</v>
      </c>
      <c r="L4185" t="s">
        <v>14</v>
      </c>
      <c r="M4185" t="s">
        <v>4073</v>
      </c>
    </row>
    <row r="4186" spans="1:27" x14ac:dyDescent="0.3">
      <c r="A4186" t="s">
        <v>4066</v>
      </c>
      <c r="B4186" t="s">
        <v>527</v>
      </c>
      <c r="C4186" t="s">
        <v>11</v>
      </c>
      <c r="D4186" t="s">
        <v>12</v>
      </c>
      <c r="E4186" t="s">
        <v>391</v>
      </c>
      <c r="H4186" t="s">
        <v>392</v>
      </c>
      <c r="I4186" t="s">
        <v>2758</v>
      </c>
      <c r="L4186" t="s">
        <v>394</v>
      </c>
      <c r="M4186" t="s">
        <v>4073</v>
      </c>
    </row>
    <row r="4187" spans="1:27" x14ac:dyDescent="0.3">
      <c r="A4187" t="s">
        <v>4065</v>
      </c>
      <c r="B4187" t="s">
        <v>2738</v>
      </c>
      <c r="C4187" t="s">
        <v>11</v>
      </c>
      <c r="D4187" t="s">
        <v>12</v>
      </c>
      <c r="E4187" t="s">
        <v>391</v>
      </c>
      <c r="H4187" t="s">
        <v>392</v>
      </c>
      <c r="I4187" t="s">
        <v>4074</v>
      </c>
      <c r="L4187" t="s">
        <v>394</v>
      </c>
      <c r="M4187" t="s">
        <v>4073</v>
      </c>
    </row>
    <row r="4188" spans="1:27" x14ac:dyDescent="0.3">
      <c r="A4188" t="s">
        <v>4064</v>
      </c>
      <c r="B4188" t="s">
        <v>2735</v>
      </c>
      <c r="C4188" t="s">
        <v>308</v>
      </c>
      <c r="D4188" t="s">
        <v>4075</v>
      </c>
      <c r="E4188" t="s">
        <v>406</v>
      </c>
      <c r="H4188" t="s">
        <v>25</v>
      </c>
      <c r="I4188" t="s">
        <v>2761</v>
      </c>
      <c r="L4188" t="s">
        <v>312</v>
      </c>
      <c r="M4188" t="s">
        <v>404</v>
      </c>
    </row>
    <row r="4189" spans="1:27" x14ac:dyDescent="0.3">
      <c r="A4189" t="s">
        <v>4075</v>
      </c>
      <c r="B4189" t="s">
        <v>406</v>
      </c>
      <c r="C4189" t="s">
        <v>11</v>
      </c>
      <c r="D4189" t="s">
        <v>12</v>
      </c>
      <c r="E4189" t="s">
        <v>391</v>
      </c>
      <c r="H4189" t="s">
        <v>392</v>
      </c>
      <c r="I4189" t="s">
        <v>4076</v>
      </c>
      <c r="L4189" t="s">
        <v>394</v>
      </c>
      <c r="M4189" t="s">
        <v>4073</v>
      </c>
    </row>
    <row r="4190" spans="1:27" x14ac:dyDescent="0.3">
      <c r="A4190" t="s">
        <v>4068</v>
      </c>
      <c r="B4190" t="s">
        <v>1138</v>
      </c>
      <c r="C4190" t="s">
        <v>11</v>
      </c>
      <c r="D4190" t="s">
        <v>12</v>
      </c>
      <c r="E4190" t="s">
        <v>391</v>
      </c>
      <c r="H4190" t="s">
        <v>392</v>
      </c>
      <c r="I4190" t="s">
        <v>4077</v>
      </c>
      <c r="L4190" t="s">
        <v>394</v>
      </c>
      <c r="M4190" t="s">
        <v>4073</v>
      </c>
    </row>
    <row r="4191" spans="1:27" x14ac:dyDescent="0.3">
      <c r="A4191" t="s">
        <v>4071</v>
      </c>
      <c r="B4191" t="s">
        <v>341</v>
      </c>
      <c r="C4191" t="s">
        <v>11</v>
      </c>
      <c r="D4191" t="s">
        <v>12</v>
      </c>
      <c r="E4191" t="s">
        <v>391</v>
      </c>
      <c r="H4191" t="s">
        <v>392</v>
      </c>
      <c r="I4191" t="s">
        <v>4078</v>
      </c>
      <c r="L4191" t="s">
        <v>394</v>
      </c>
      <c r="M4191" t="s">
        <v>4073</v>
      </c>
    </row>
    <row r="4192" spans="1:27" x14ac:dyDescent="0.3">
      <c r="A4192" t="s">
        <v>4069</v>
      </c>
      <c r="B4192" t="s">
        <v>1134</v>
      </c>
      <c r="C4192" t="s">
        <v>11</v>
      </c>
      <c r="D4192" t="s">
        <v>12</v>
      </c>
      <c r="E4192" t="s">
        <v>391</v>
      </c>
      <c r="H4192" t="s">
        <v>392</v>
      </c>
      <c r="I4192" t="s">
        <v>4079</v>
      </c>
      <c r="L4192" t="s">
        <v>394</v>
      </c>
      <c r="M4192" t="s">
        <v>4073</v>
      </c>
    </row>
    <row r="4193" spans="1:27" x14ac:dyDescent="0.3">
      <c r="A4193" t="s">
        <v>4070</v>
      </c>
      <c r="B4193" t="s">
        <v>1138</v>
      </c>
      <c r="C4193" t="s">
        <v>11</v>
      </c>
      <c r="D4193" t="s">
        <v>12</v>
      </c>
      <c r="E4193" t="s">
        <v>391</v>
      </c>
      <c r="H4193" t="s">
        <v>392</v>
      </c>
      <c r="I4193" t="s">
        <v>4080</v>
      </c>
      <c r="L4193" t="s">
        <v>394</v>
      </c>
      <c r="M4193" t="s">
        <v>4073</v>
      </c>
    </row>
    <row r="4194" spans="1:27" x14ac:dyDescent="0.3">
      <c r="A4194" t="s">
        <v>4067</v>
      </c>
      <c r="B4194" t="s">
        <v>2077</v>
      </c>
      <c r="C4194" t="s">
        <v>11</v>
      </c>
      <c r="D4194" t="s">
        <v>12</v>
      </c>
      <c r="E4194" t="s">
        <v>391</v>
      </c>
      <c r="H4194" t="s">
        <v>392</v>
      </c>
      <c r="I4194" t="s">
        <v>2128</v>
      </c>
      <c r="L4194" t="s">
        <v>394</v>
      </c>
      <c r="M4194" t="s">
        <v>4073</v>
      </c>
    </row>
    <row r="4195" spans="1:27" x14ac:dyDescent="0.3">
      <c r="A4195" t="s">
        <v>4081</v>
      </c>
      <c r="B4195" t="s">
        <v>2733</v>
      </c>
      <c r="C4195" t="s">
        <v>280</v>
      </c>
      <c r="D4195" t="s">
        <v>4082</v>
      </c>
      <c r="E4195" t="s">
        <v>2735</v>
      </c>
      <c r="H4195" t="s">
        <v>25</v>
      </c>
      <c r="I4195" t="s">
        <v>2736</v>
      </c>
    </row>
    <row r="4196" spans="1:27" x14ac:dyDescent="0.3">
      <c r="A4196" t="s">
        <v>4081</v>
      </c>
      <c r="B4196" t="s">
        <v>2733</v>
      </c>
      <c r="C4196" t="s">
        <v>308</v>
      </c>
      <c r="D4196" t="s">
        <v>4083</v>
      </c>
      <c r="E4196" t="s">
        <v>2738</v>
      </c>
      <c r="H4196" t="s">
        <v>25</v>
      </c>
      <c r="I4196" t="s">
        <v>2739</v>
      </c>
      <c r="L4196" t="s">
        <v>312</v>
      </c>
      <c r="M4196" t="s">
        <v>327</v>
      </c>
    </row>
    <row r="4197" spans="1:27" x14ac:dyDescent="0.3">
      <c r="A4197" t="s">
        <v>4081</v>
      </c>
      <c r="B4197" t="s">
        <v>2733</v>
      </c>
      <c r="C4197" t="s">
        <v>308</v>
      </c>
      <c r="D4197" t="s">
        <v>4084</v>
      </c>
      <c r="E4197" t="s">
        <v>527</v>
      </c>
      <c r="H4197" t="s">
        <v>25</v>
      </c>
      <c r="I4197" t="s">
        <v>2741</v>
      </c>
      <c r="L4197" t="s">
        <v>312</v>
      </c>
      <c r="M4197" t="s">
        <v>343</v>
      </c>
    </row>
    <row r="4198" spans="1:27" x14ac:dyDescent="0.3">
      <c r="A4198" t="s">
        <v>4081</v>
      </c>
      <c r="B4198" t="s">
        <v>2733</v>
      </c>
      <c r="C4198" t="s">
        <v>308</v>
      </c>
      <c r="D4198" t="s">
        <v>4085</v>
      </c>
      <c r="E4198" t="s">
        <v>2077</v>
      </c>
      <c r="H4198" t="s">
        <v>25</v>
      </c>
      <c r="I4198" t="s">
        <v>2078</v>
      </c>
      <c r="L4198" t="s">
        <v>312</v>
      </c>
      <c r="M4198" t="s">
        <v>1687</v>
      </c>
    </row>
    <row r="4199" spans="1:27" x14ac:dyDescent="0.3">
      <c r="A4199" t="s">
        <v>4081</v>
      </c>
      <c r="B4199" t="s">
        <v>2733</v>
      </c>
      <c r="C4199" t="s">
        <v>308</v>
      </c>
      <c r="D4199" t="s">
        <v>4086</v>
      </c>
      <c r="E4199" t="s">
        <v>1138</v>
      </c>
      <c r="H4199" t="s">
        <v>25</v>
      </c>
      <c r="I4199" t="s">
        <v>2065</v>
      </c>
      <c r="L4199" t="s">
        <v>312</v>
      </c>
      <c r="M4199" t="s">
        <v>317</v>
      </c>
    </row>
    <row r="4200" spans="1:27" x14ac:dyDescent="0.3">
      <c r="A4200" t="s">
        <v>4081</v>
      </c>
      <c r="B4200" t="s">
        <v>2733</v>
      </c>
      <c r="C4200" t="s">
        <v>308</v>
      </c>
      <c r="D4200" t="s">
        <v>4087</v>
      </c>
      <c r="E4200" t="s">
        <v>1134</v>
      </c>
      <c r="H4200" t="s">
        <v>25</v>
      </c>
      <c r="I4200" t="s">
        <v>2069</v>
      </c>
      <c r="L4200" t="s">
        <v>312</v>
      </c>
      <c r="M4200" t="s">
        <v>317</v>
      </c>
    </row>
    <row r="4201" spans="1:27" x14ac:dyDescent="0.3">
      <c r="A4201" t="s">
        <v>4081</v>
      </c>
      <c r="B4201" t="s">
        <v>2733</v>
      </c>
      <c r="C4201" t="s">
        <v>308</v>
      </c>
      <c r="D4201" t="s">
        <v>4088</v>
      </c>
      <c r="E4201" t="s">
        <v>1138</v>
      </c>
      <c r="H4201" t="s">
        <v>25</v>
      </c>
      <c r="I4201" t="s">
        <v>2746</v>
      </c>
      <c r="L4201" t="s">
        <v>312</v>
      </c>
      <c r="M4201" t="s">
        <v>317</v>
      </c>
    </row>
    <row r="4202" spans="1:27" x14ac:dyDescent="0.3">
      <c r="A4202" t="s">
        <v>4081</v>
      </c>
      <c r="B4202" t="s">
        <v>2733</v>
      </c>
      <c r="C4202" t="s">
        <v>308</v>
      </c>
      <c r="D4202" t="s">
        <v>4089</v>
      </c>
      <c r="E4202" t="s">
        <v>341</v>
      </c>
      <c r="H4202" t="s">
        <v>25</v>
      </c>
      <c r="I4202" t="s">
        <v>342</v>
      </c>
      <c r="L4202" t="s">
        <v>312</v>
      </c>
      <c r="M4202" t="s">
        <v>343</v>
      </c>
    </row>
    <row r="4203" spans="1:27" x14ac:dyDescent="0.3">
      <c r="A4203" t="s">
        <v>4081</v>
      </c>
      <c r="B4203" t="s">
        <v>2733</v>
      </c>
      <c r="C4203" t="s">
        <v>22</v>
      </c>
      <c r="D4203" t="s">
        <v>23</v>
      </c>
      <c r="E4203" t="s">
        <v>28</v>
      </c>
    </row>
    <row r="4204" spans="1:27" x14ac:dyDescent="0.3">
      <c r="A4204" t="s">
        <v>4081</v>
      </c>
      <c r="B4204" t="s">
        <v>2733</v>
      </c>
      <c r="C4204" t="s">
        <v>2748</v>
      </c>
      <c r="D4204">
        <v>1.5</v>
      </c>
      <c r="H4204" t="s">
        <v>312</v>
      </c>
      <c r="I4204" t="s">
        <v>385</v>
      </c>
    </row>
    <row r="4205" spans="1:27" x14ac:dyDescent="0.3">
      <c r="A4205" t="s">
        <v>4081</v>
      </c>
      <c r="B4205" t="s">
        <v>2733</v>
      </c>
      <c r="C4205" t="s">
        <v>378</v>
      </c>
      <c r="D4205">
        <v>170</v>
      </c>
      <c r="H4205" t="s">
        <v>312</v>
      </c>
      <c r="I4205" t="s">
        <v>327</v>
      </c>
    </row>
    <row r="4206" spans="1:27" x14ac:dyDescent="0.3">
      <c r="A4206" t="s">
        <v>4081</v>
      </c>
      <c r="B4206" t="s">
        <v>2733</v>
      </c>
      <c r="C4206" t="s">
        <v>380</v>
      </c>
      <c r="D4206" t="s">
        <v>678</v>
      </c>
      <c r="E4206" t="s">
        <v>279</v>
      </c>
      <c r="F4206" t="s">
        <v>25</v>
      </c>
      <c r="G4206" t="s">
        <v>4090</v>
      </c>
      <c r="J4206" t="s">
        <v>2089</v>
      </c>
      <c r="K4206" t="s">
        <v>2750</v>
      </c>
      <c r="N4206" t="s">
        <v>2751</v>
      </c>
      <c r="O4206">
        <v>2</v>
      </c>
      <c r="R4206" t="s">
        <v>2752</v>
      </c>
      <c r="S4206">
        <v>158</v>
      </c>
      <c r="V4206" t="s">
        <v>2753</v>
      </c>
      <c r="W4206" t="s">
        <v>2754</v>
      </c>
      <c r="Z4206" t="s">
        <v>2755</v>
      </c>
      <c r="AA4206" t="s">
        <v>2756</v>
      </c>
    </row>
    <row r="4207" spans="1:27" x14ac:dyDescent="0.3">
      <c r="A4207" t="s">
        <v>4081</v>
      </c>
      <c r="B4207" t="s">
        <v>2733</v>
      </c>
      <c r="C4207" t="s">
        <v>16</v>
      </c>
      <c r="D4207" t="s">
        <v>172</v>
      </c>
      <c r="E4207" t="s">
        <v>37</v>
      </c>
    </row>
    <row r="4208" spans="1:27" x14ac:dyDescent="0.3">
      <c r="A4208" t="s">
        <v>4081</v>
      </c>
      <c r="B4208" t="s">
        <v>2733</v>
      </c>
      <c r="C4208" t="s">
        <v>11</v>
      </c>
      <c r="D4208" t="s">
        <v>12</v>
      </c>
      <c r="E4208" t="s">
        <v>13</v>
      </c>
      <c r="H4208" t="s">
        <v>382</v>
      </c>
      <c r="I4208" t="s">
        <v>4091</v>
      </c>
      <c r="L4208" t="s">
        <v>14</v>
      </c>
      <c r="M4208" t="s">
        <v>4091</v>
      </c>
    </row>
    <row r="4209" spans="1:13" x14ac:dyDescent="0.3">
      <c r="A4209" t="s">
        <v>4084</v>
      </c>
      <c r="B4209" t="s">
        <v>527</v>
      </c>
      <c r="C4209" t="s">
        <v>11</v>
      </c>
      <c r="D4209" t="s">
        <v>12</v>
      </c>
      <c r="E4209" t="s">
        <v>391</v>
      </c>
      <c r="H4209" t="s">
        <v>392</v>
      </c>
      <c r="I4209" t="s">
        <v>2758</v>
      </c>
      <c r="L4209" t="s">
        <v>394</v>
      </c>
      <c r="M4209" t="s">
        <v>4091</v>
      </c>
    </row>
    <row r="4210" spans="1:13" x14ac:dyDescent="0.3">
      <c r="A4210" t="s">
        <v>4083</v>
      </c>
      <c r="B4210" t="s">
        <v>2738</v>
      </c>
      <c r="C4210" t="s">
        <v>11</v>
      </c>
      <c r="D4210" t="s">
        <v>12</v>
      </c>
      <c r="E4210" t="s">
        <v>391</v>
      </c>
      <c r="H4210" t="s">
        <v>392</v>
      </c>
      <c r="I4210" t="s">
        <v>4092</v>
      </c>
      <c r="L4210" t="s">
        <v>394</v>
      </c>
      <c r="M4210" t="s">
        <v>4091</v>
      </c>
    </row>
    <row r="4211" spans="1:13" x14ac:dyDescent="0.3">
      <c r="A4211" t="s">
        <v>4082</v>
      </c>
      <c r="B4211" t="s">
        <v>2735</v>
      </c>
      <c r="C4211" t="s">
        <v>308</v>
      </c>
      <c r="D4211" t="s">
        <v>4093</v>
      </c>
      <c r="E4211" t="s">
        <v>406</v>
      </c>
      <c r="H4211" t="s">
        <v>25</v>
      </c>
      <c r="I4211" t="s">
        <v>2761</v>
      </c>
      <c r="L4211" t="s">
        <v>312</v>
      </c>
      <c r="M4211" t="s">
        <v>404</v>
      </c>
    </row>
    <row r="4212" spans="1:13" x14ac:dyDescent="0.3">
      <c r="A4212" t="s">
        <v>4093</v>
      </c>
      <c r="B4212" t="s">
        <v>406</v>
      </c>
      <c r="C4212" t="s">
        <v>11</v>
      </c>
      <c r="D4212" t="s">
        <v>12</v>
      </c>
      <c r="E4212" t="s">
        <v>391</v>
      </c>
      <c r="H4212" t="s">
        <v>392</v>
      </c>
      <c r="I4212" t="s">
        <v>4094</v>
      </c>
      <c r="L4212" t="s">
        <v>394</v>
      </c>
      <c r="M4212" t="s">
        <v>4091</v>
      </c>
    </row>
    <row r="4213" spans="1:13" x14ac:dyDescent="0.3">
      <c r="A4213" t="s">
        <v>4086</v>
      </c>
      <c r="B4213" t="s">
        <v>1138</v>
      </c>
      <c r="C4213" t="s">
        <v>11</v>
      </c>
      <c r="D4213" t="s">
        <v>12</v>
      </c>
      <c r="E4213" t="s">
        <v>391</v>
      </c>
      <c r="H4213" t="s">
        <v>392</v>
      </c>
      <c r="I4213" t="s">
        <v>4095</v>
      </c>
      <c r="L4213" t="s">
        <v>394</v>
      </c>
      <c r="M4213" t="s">
        <v>4091</v>
      </c>
    </row>
    <row r="4214" spans="1:13" x14ac:dyDescent="0.3">
      <c r="A4214" t="s">
        <v>4089</v>
      </c>
      <c r="B4214" t="s">
        <v>341</v>
      </c>
      <c r="C4214" t="s">
        <v>11</v>
      </c>
      <c r="D4214" t="s">
        <v>12</v>
      </c>
      <c r="E4214" t="s">
        <v>391</v>
      </c>
      <c r="H4214" t="s">
        <v>392</v>
      </c>
      <c r="I4214" t="s">
        <v>4096</v>
      </c>
      <c r="L4214" t="s">
        <v>394</v>
      </c>
      <c r="M4214" t="s">
        <v>4091</v>
      </c>
    </row>
    <row r="4215" spans="1:13" x14ac:dyDescent="0.3">
      <c r="A4215" t="s">
        <v>4087</v>
      </c>
      <c r="B4215" t="s">
        <v>1134</v>
      </c>
      <c r="C4215" t="s">
        <v>11</v>
      </c>
      <c r="D4215" t="s">
        <v>12</v>
      </c>
      <c r="E4215" t="s">
        <v>391</v>
      </c>
      <c r="H4215" t="s">
        <v>392</v>
      </c>
      <c r="I4215" t="s">
        <v>4097</v>
      </c>
      <c r="L4215" t="s">
        <v>394</v>
      </c>
      <c r="M4215" t="s">
        <v>4091</v>
      </c>
    </row>
    <row r="4216" spans="1:13" x14ac:dyDescent="0.3">
      <c r="A4216" t="s">
        <v>4088</v>
      </c>
      <c r="B4216" t="s">
        <v>1138</v>
      </c>
      <c r="C4216" t="s">
        <v>11</v>
      </c>
      <c r="D4216" t="s">
        <v>12</v>
      </c>
      <c r="E4216" t="s">
        <v>391</v>
      </c>
      <c r="H4216" t="s">
        <v>392</v>
      </c>
      <c r="I4216" t="s">
        <v>4098</v>
      </c>
      <c r="L4216" t="s">
        <v>394</v>
      </c>
      <c r="M4216" t="s">
        <v>4091</v>
      </c>
    </row>
    <row r="4217" spans="1:13" x14ac:dyDescent="0.3">
      <c r="A4217" t="s">
        <v>4085</v>
      </c>
      <c r="B4217" t="s">
        <v>2077</v>
      </c>
      <c r="C4217" t="s">
        <v>11</v>
      </c>
      <c r="D4217" t="s">
        <v>12</v>
      </c>
      <c r="E4217" t="s">
        <v>391</v>
      </c>
      <c r="H4217" t="s">
        <v>392</v>
      </c>
      <c r="I4217" t="s">
        <v>2128</v>
      </c>
      <c r="L4217" t="s">
        <v>394</v>
      </c>
      <c r="M4217" t="s">
        <v>4091</v>
      </c>
    </row>
    <row r="4218" spans="1:13" x14ac:dyDescent="0.3">
      <c r="A4218" t="s">
        <v>4099</v>
      </c>
      <c r="B4218" t="s">
        <v>2733</v>
      </c>
      <c r="C4218" t="s">
        <v>280</v>
      </c>
      <c r="D4218" t="s">
        <v>4100</v>
      </c>
      <c r="E4218" t="s">
        <v>2735</v>
      </c>
      <c r="H4218" t="s">
        <v>25</v>
      </c>
      <c r="I4218" t="s">
        <v>2736</v>
      </c>
    </row>
    <row r="4219" spans="1:13" x14ac:dyDescent="0.3">
      <c r="A4219" t="s">
        <v>4099</v>
      </c>
      <c r="B4219" t="s">
        <v>2733</v>
      </c>
      <c r="C4219" t="s">
        <v>308</v>
      </c>
      <c r="D4219" t="s">
        <v>4101</v>
      </c>
      <c r="E4219" t="s">
        <v>2738</v>
      </c>
      <c r="H4219" t="s">
        <v>25</v>
      </c>
      <c r="I4219" t="s">
        <v>2739</v>
      </c>
      <c r="L4219" t="s">
        <v>312</v>
      </c>
      <c r="M4219" t="s">
        <v>327</v>
      </c>
    </row>
    <row r="4220" spans="1:13" x14ac:dyDescent="0.3">
      <c r="A4220" t="s">
        <v>4099</v>
      </c>
      <c r="B4220" t="s">
        <v>2733</v>
      </c>
      <c r="C4220" t="s">
        <v>308</v>
      </c>
      <c r="D4220" t="s">
        <v>4102</v>
      </c>
      <c r="E4220" t="s">
        <v>527</v>
      </c>
      <c r="H4220" t="s">
        <v>25</v>
      </c>
      <c r="I4220" t="s">
        <v>2741</v>
      </c>
      <c r="L4220" t="s">
        <v>312</v>
      </c>
      <c r="M4220" t="s">
        <v>343</v>
      </c>
    </row>
    <row r="4221" spans="1:13" x14ac:dyDescent="0.3">
      <c r="A4221" t="s">
        <v>4099</v>
      </c>
      <c r="B4221" t="s">
        <v>2733</v>
      </c>
      <c r="C4221" t="s">
        <v>308</v>
      </c>
      <c r="D4221" t="s">
        <v>4103</v>
      </c>
      <c r="E4221" t="s">
        <v>2077</v>
      </c>
      <c r="H4221" t="s">
        <v>25</v>
      </c>
      <c r="I4221" t="s">
        <v>2078</v>
      </c>
      <c r="L4221" t="s">
        <v>312</v>
      </c>
      <c r="M4221" t="s">
        <v>1687</v>
      </c>
    </row>
    <row r="4222" spans="1:13" x14ac:dyDescent="0.3">
      <c r="A4222" t="s">
        <v>4099</v>
      </c>
      <c r="B4222" t="s">
        <v>2733</v>
      </c>
      <c r="C4222" t="s">
        <v>308</v>
      </c>
      <c r="D4222" t="s">
        <v>4104</v>
      </c>
      <c r="E4222" t="s">
        <v>1138</v>
      </c>
      <c r="H4222" t="s">
        <v>25</v>
      </c>
      <c r="I4222" t="s">
        <v>2065</v>
      </c>
      <c r="L4222" t="s">
        <v>312</v>
      </c>
      <c r="M4222" t="s">
        <v>317</v>
      </c>
    </row>
    <row r="4223" spans="1:13" x14ac:dyDescent="0.3">
      <c r="A4223" t="s">
        <v>4099</v>
      </c>
      <c r="B4223" t="s">
        <v>2733</v>
      </c>
      <c r="C4223" t="s">
        <v>308</v>
      </c>
      <c r="D4223" t="s">
        <v>4105</v>
      </c>
      <c r="E4223" t="s">
        <v>1134</v>
      </c>
      <c r="H4223" t="s">
        <v>25</v>
      </c>
      <c r="I4223" t="s">
        <v>2069</v>
      </c>
      <c r="L4223" t="s">
        <v>312</v>
      </c>
      <c r="M4223" t="s">
        <v>317</v>
      </c>
    </row>
    <row r="4224" spans="1:13" x14ac:dyDescent="0.3">
      <c r="A4224" t="s">
        <v>4099</v>
      </c>
      <c r="B4224" t="s">
        <v>2733</v>
      </c>
      <c r="C4224" t="s">
        <v>308</v>
      </c>
      <c r="D4224" t="s">
        <v>4106</v>
      </c>
      <c r="E4224" t="s">
        <v>1138</v>
      </c>
      <c r="H4224" t="s">
        <v>25</v>
      </c>
      <c r="I4224" t="s">
        <v>2746</v>
      </c>
      <c r="L4224" t="s">
        <v>312</v>
      </c>
      <c r="M4224" t="s">
        <v>317</v>
      </c>
    </row>
    <row r="4225" spans="1:27" x14ac:dyDescent="0.3">
      <c r="A4225" t="s">
        <v>4099</v>
      </c>
      <c r="B4225" t="s">
        <v>2733</v>
      </c>
      <c r="C4225" t="s">
        <v>308</v>
      </c>
      <c r="D4225" t="s">
        <v>4107</v>
      </c>
      <c r="E4225" t="s">
        <v>341</v>
      </c>
      <c r="H4225" t="s">
        <v>25</v>
      </c>
      <c r="I4225" t="s">
        <v>342</v>
      </c>
      <c r="L4225" t="s">
        <v>312</v>
      </c>
      <c r="M4225" t="s">
        <v>343</v>
      </c>
    </row>
    <row r="4226" spans="1:27" x14ac:dyDescent="0.3">
      <c r="A4226" t="s">
        <v>4099</v>
      </c>
      <c r="B4226" t="s">
        <v>2733</v>
      </c>
      <c r="C4226" t="s">
        <v>22</v>
      </c>
      <c r="D4226" t="s">
        <v>23</v>
      </c>
      <c r="E4226" t="s">
        <v>28</v>
      </c>
    </row>
    <row r="4227" spans="1:27" x14ac:dyDescent="0.3">
      <c r="A4227" t="s">
        <v>4099</v>
      </c>
      <c r="B4227" t="s">
        <v>2733</v>
      </c>
      <c r="C4227" t="s">
        <v>2748</v>
      </c>
      <c r="D4227">
        <v>1.5</v>
      </c>
      <c r="H4227" t="s">
        <v>312</v>
      </c>
      <c r="I4227" t="s">
        <v>385</v>
      </c>
    </row>
    <row r="4228" spans="1:27" x14ac:dyDescent="0.3">
      <c r="A4228" t="s">
        <v>4099</v>
      </c>
      <c r="B4228" t="s">
        <v>2733</v>
      </c>
      <c r="C4228" t="s">
        <v>378</v>
      </c>
      <c r="D4228">
        <v>170</v>
      </c>
      <c r="H4228" t="s">
        <v>312</v>
      </c>
      <c r="I4228" t="s">
        <v>327</v>
      </c>
    </row>
    <row r="4229" spans="1:27" x14ac:dyDescent="0.3">
      <c r="A4229" t="s">
        <v>4099</v>
      </c>
      <c r="B4229" t="s">
        <v>2733</v>
      </c>
      <c r="C4229" t="s">
        <v>380</v>
      </c>
      <c r="D4229" t="s">
        <v>798</v>
      </c>
      <c r="E4229" t="s">
        <v>279</v>
      </c>
      <c r="F4229" t="s">
        <v>25</v>
      </c>
      <c r="G4229" t="s">
        <v>4108</v>
      </c>
      <c r="J4229" t="s">
        <v>2089</v>
      </c>
      <c r="K4229" t="s">
        <v>2750</v>
      </c>
      <c r="N4229" t="s">
        <v>2751</v>
      </c>
      <c r="O4229">
        <v>2</v>
      </c>
      <c r="R4229" t="s">
        <v>2752</v>
      </c>
      <c r="S4229">
        <v>158</v>
      </c>
      <c r="V4229" t="s">
        <v>2753</v>
      </c>
      <c r="W4229" t="s">
        <v>2754</v>
      </c>
      <c r="Z4229" t="s">
        <v>2755</v>
      </c>
      <c r="AA4229" t="s">
        <v>2756</v>
      </c>
    </row>
    <row r="4230" spans="1:27" x14ac:dyDescent="0.3">
      <c r="A4230" t="s">
        <v>4099</v>
      </c>
      <c r="B4230" t="s">
        <v>2733</v>
      </c>
      <c r="C4230" t="s">
        <v>16</v>
      </c>
      <c r="D4230" t="s">
        <v>172</v>
      </c>
      <c r="E4230" t="s">
        <v>37</v>
      </c>
    </row>
    <row r="4231" spans="1:27" x14ac:dyDescent="0.3">
      <c r="A4231" t="s">
        <v>4099</v>
      </c>
      <c r="B4231" t="s">
        <v>2733</v>
      </c>
      <c r="C4231" t="s">
        <v>11</v>
      </c>
      <c r="D4231" t="s">
        <v>12</v>
      </c>
      <c r="E4231" t="s">
        <v>13</v>
      </c>
      <c r="H4231" t="s">
        <v>382</v>
      </c>
      <c r="I4231" t="s">
        <v>4109</v>
      </c>
      <c r="L4231" t="s">
        <v>14</v>
      </c>
      <c r="M4231" t="s">
        <v>4109</v>
      </c>
    </row>
    <row r="4232" spans="1:27" x14ac:dyDescent="0.3">
      <c r="A4232" t="s">
        <v>4102</v>
      </c>
      <c r="B4232" t="s">
        <v>527</v>
      </c>
      <c r="C4232" t="s">
        <v>11</v>
      </c>
      <c r="D4232" t="s">
        <v>12</v>
      </c>
      <c r="E4232" t="s">
        <v>391</v>
      </c>
      <c r="H4232" t="s">
        <v>392</v>
      </c>
      <c r="I4232" t="s">
        <v>2758</v>
      </c>
      <c r="L4232" t="s">
        <v>394</v>
      </c>
      <c r="M4232" t="s">
        <v>4109</v>
      </c>
    </row>
    <row r="4233" spans="1:27" x14ac:dyDescent="0.3">
      <c r="A4233" t="s">
        <v>4101</v>
      </c>
      <c r="B4233" t="s">
        <v>2738</v>
      </c>
      <c r="C4233" t="s">
        <v>11</v>
      </c>
      <c r="D4233" t="s">
        <v>12</v>
      </c>
      <c r="E4233" t="s">
        <v>391</v>
      </c>
      <c r="H4233" t="s">
        <v>392</v>
      </c>
      <c r="I4233" t="s">
        <v>4110</v>
      </c>
      <c r="L4233" t="s">
        <v>394</v>
      </c>
      <c r="M4233" t="s">
        <v>4109</v>
      </c>
    </row>
    <row r="4234" spans="1:27" x14ac:dyDescent="0.3">
      <c r="A4234" t="s">
        <v>4100</v>
      </c>
      <c r="B4234" t="s">
        <v>2735</v>
      </c>
      <c r="C4234" t="s">
        <v>308</v>
      </c>
      <c r="D4234" t="s">
        <v>4111</v>
      </c>
      <c r="E4234" t="s">
        <v>406</v>
      </c>
      <c r="H4234" t="s">
        <v>25</v>
      </c>
      <c r="I4234" t="s">
        <v>2761</v>
      </c>
      <c r="L4234" t="s">
        <v>312</v>
      </c>
      <c r="M4234" t="s">
        <v>404</v>
      </c>
    </row>
    <row r="4235" spans="1:27" x14ac:dyDescent="0.3">
      <c r="A4235" t="s">
        <v>4111</v>
      </c>
      <c r="B4235" t="s">
        <v>406</v>
      </c>
      <c r="C4235" t="s">
        <v>11</v>
      </c>
      <c r="D4235" t="s">
        <v>12</v>
      </c>
      <c r="E4235" t="s">
        <v>391</v>
      </c>
      <c r="H4235" t="s">
        <v>392</v>
      </c>
      <c r="I4235" t="s">
        <v>4112</v>
      </c>
      <c r="L4235" t="s">
        <v>394</v>
      </c>
      <c r="M4235" t="s">
        <v>4109</v>
      </c>
    </row>
    <row r="4236" spans="1:27" x14ac:dyDescent="0.3">
      <c r="A4236" t="s">
        <v>4104</v>
      </c>
      <c r="B4236" t="s">
        <v>1138</v>
      </c>
      <c r="C4236" t="s">
        <v>11</v>
      </c>
      <c r="D4236" t="s">
        <v>12</v>
      </c>
      <c r="E4236" t="s">
        <v>391</v>
      </c>
      <c r="H4236" t="s">
        <v>392</v>
      </c>
      <c r="I4236" t="s">
        <v>4113</v>
      </c>
      <c r="L4236" t="s">
        <v>394</v>
      </c>
      <c r="M4236" t="s">
        <v>4109</v>
      </c>
    </row>
    <row r="4237" spans="1:27" x14ac:dyDescent="0.3">
      <c r="A4237" t="s">
        <v>4107</v>
      </c>
      <c r="B4237" t="s">
        <v>341</v>
      </c>
      <c r="C4237" t="s">
        <v>11</v>
      </c>
      <c r="D4237" t="s">
        <v>12</v>
      </c>
      <c r="E4237" t="s">
        <v>391</v>
      </c>
      <c r="H4237" t="s">
        <v>392</v>
      </c>
      <c r="I4237" t="s">
        <v>4114</v>
      </c>
      <c r="L4237" t="s">
        <v>394</v>
      </c>
      <c r="M4237" t="s">
        <v>4109</v>
      </c>
    </row>
    <row r="4238" spans="1:27" x14ac:dyDescent="0.3">
      <c r="A4238" t="s">
        <v>4105</v>
      </c>
      <c r="B4238" t="s">
        <v>1134</v>
      </c>
      <c r="C4238" t="s">
        <v>11</v>
      </c>
      <c r="D4238" t="s">
        <v>12</v>
      </c>
      <c r="E4238" t="s">
        <v>391</v>
      </c>
      <c r="H4238" t="s">
        <v>392</v>
      </c>
      <c r="I4238" t="s">
        <v>4115</v>
      </c>
      <c r="L4238" t="s">
        <v>394</v>
      </c>
      <c r="M4238" t="s">
        <v>4109</v>
      </c>
    </row>
    <row r="4239" spans="1:27" x14ac:dyDescent="0.3">
      <c r="A4239" t="s">
        <v>4106</v>
      </c>
      <c r="B4239" t="s">
        <v>1138</v>
      </c>
      <c r="C4239" t="s">
        <v>11</v>
      </c>
      <c r="D4239" t="s">
        <v>12</v>
      </c>
      <c r="E4239" t="s">
        <v>391</v>
      </c>
      <c r="H4239" t="s">
        <v>392</v>
      </c>
      <c r="I4239" t="s">
        <v>4116</v>
      </c>
      <c r="L4239" t="s">
        <v>394</v>
      </c>
      <c r="M4239" t="s">
        <v>4109</v>
      </c>
    </row>
    <row r="4240" spans="1:27" x14ac:dyDescent="0.3">
      <c r="A4240" t="s">
        <v>4103</v>
      </c>
      <c r="B4240" t="s">
        <v>2077</v>
      </c>
      <c r="C4240" t="s">
        <v>11</v>
      </c>
      <c r="D4240" t="s">
        <v>12</v>
      </c>
      <c r="E4240" t="s">
        <v>391</v>
      </c>
      <c r="H4240" t="s">
        <v>392</v>
      </c>
      <c r="I4240" t="s">
        <v>2128</v>
      </c>
      <c r="L4240" t="s">
        <v>394</v>
      </c>
      <c r="M4240" t="s">
        <v>4109</v>
      </c>
    </row>
    <row r="4241" spans="1:27" x14ac:dyDescent="0.3">
      <c r="A4241" t="s">
        <v>4117</v>
      </c>
      <c r="B4241" t="s">
        <v>2733</v>
      </c>
      <c r="C4241" t="s">
        <v>280</v>
      </c>
      <c r="D4241" t="s">
        <v>4118</v>
      </c>
      <c r="E4241" t="s">
        <v>2735</v>
      </c>
      <c r="H4241" t="s">
        <v>25</v>
      </c>
      <c r="I4241" t="s">
        <v>2736</v>
      </c>
    </row>
    <row r="4242" spans="1:27" x14ac:dyDescent="0.3">
      <c r="A4242" t="s">
        <v>4117</v>
      </c>
      <c r="B4242" t="s">
        <v>2733</v>
      </c>
      <c r="C4242" t="s">
        <v>308</v>
      </c>
      <c r="D4242" t="s">
        <v>4119</v>
      </c>
      <c r="E4242" t="s">
        <v>2738</v>
      </c>
      <c r="H4242" t="s">
        <v>25</v>
      </c>
      <c r="I4242" t="s">
        <v>2739</v>
      </c>
      <c r="L4242" t="s">
        <v>312</v>
      </c>
      <c r="M4242" t="s">
        <v>327</v>
      </c>
    </row>
    <row r="4243" spans="1:27" x14ac:dyDescent="0.3">
      <c r="A4243" t="s">
        <v>4117</v>
      </c>
      <c r="B4243" t="s">
        <v>2733</v>
      </c>
      <c r="C4243" t="s">
        <v>308</v>
      </c>
      <c r="D4243" t="s">
        <v>4120</v>
      </c>
      <c r="E4243" t="s">
        <v>527</v>
      </c>
      <c r="H4243" t="s">
        <v>25</v>
      </c>
      <c r="I4243" t="s">
        <v>2741</v>
      </c>
      <c r="L4243" t="s">
        <v>312</v>
      </c>
      <c r="M4243" t="s">
        <v>343</v>
      </c>
    </row>
    <row r="4244" spans="1:27" x14ac:dyDescent="0.3">
      <c r="A4244" t="s">
        <v>4117</v>
      </c>
      <c r="B4244" t="s">
        <v>2733</v>
      </c>
      <c r="C4244" t="s">
        <v>308</v>
      </c>
      <c r="D4244" t="s">
        <v>4121</v>
      </c>
      <c r="E4244" t="s">
        <v>2077</v>
      </c>
      <c r="H4244" t="s">
        <v>25</v>
      </c>
      <c r="I4244" t="s">
        <v>2078</v>
      </c>
      <c r="L4244" t="s">
        <v>312</v>
      </c>
      <c r="M4244" t="s">
        <v>1687</v>
      </c>
    </row>
    <row r="4245" spans="1:27" x14ac:dyDescent="0.3">
      <c r="A4245" t="s">
        <v>4117</v>
      </c>
      <c r="B4245" t="s">
        <v>2733</v>
      </c>
      <c r="C4245" t="s">
        <v>308</v>
      </c>
      <c r="D4245" t="s">
        <v>4122</v>
      </c>
      <c r="E4245" t="s">
        <v>1138</v>
      </c>
      <c r="H4245" t="s">
        <v>25</v>
      </c>
      <c r="I4245" t="s">
        <v>2065</v>
      </c>
      <c r="L4245" t="s">
        <v>312</v>
      </c>
      <c r="M4245" t="s">
        <v>317</v>
      </c>
    </row>
    <row r="4246" spans="1:27" x14ac:dyDescent="0.3">
      <c r="A4246" t="s">
        <v>4117</v>
      </c>
      <c r="B4246" t="s">
        <v>2733</v>
      </c>
      <c r="C4246" t="s">
        <v>308</v>
      </c>
      <c r="D4246" t="s">
        <v>4123</v>
      </c>
      <c r="E4246" t="s">
        <v>1134</v>
      </c>
      <c r="H4246" t="s">
        <v>25</v>
      </c>
      <c r="I4246" t="s">
        <v>2069</v>
      </c>
      <c r="L4246" t="s">
        <v>312</v>
      </c>
      <c r="M4246" t="s">
        <v>317</v>
      </c>
    </row>
    <row r="4247" spans="1:27" x14ac:dyDescent="0.3">
      <c r="A4247" t="s">
        <v>4117</v>
      </c>
      <c r="B4247" t="s">
        <v>2733</v>
      </c>
      <c r="C4247" t="s">
        <v>308</v>
      </c>
      <c r="D4247" t="s">
        <v>4124</v>
      </c>
      <c r="E4247" t="s">
        <v>1138</v>
      </c>
      <c r="H4247" t="s">
        <v>25</v>
      </c>
      <c r="I4247" t="s">
        <v>2746</v>
      </c>
      <c r="L4247" t="s">
        <v>312</v>
      </c>
      <c r="M4247" t="s">
        <v>317</v>
      </c>
    </row>
    <row r="4248" spans="1:27" x14ac:dyDescent="0.3">
      <c r="A4248" t="s">
        <v>4117</v>
      </c>
      <c r="B4248" t="s">
        <v>2733</v>
      </c>
      <c r="C4248" t="s">
        <v>308</v>
      </c>
      <c r="D4248" t="s">
        <v>4125</v>
      </c>
      <c r="E4248" t="s">
        <v>341</v>
      </c>
      <c r="H4248" t="s">
        <v>25</v>
      </c>
      <c r="I4248" t="s">
        <v>342</v>
      </c>
      <c r="L4248" t="s">
        <v>312</v>
      </c>
      <c r="M4248" t="s">
        <v>343</v>
      </c>
    </row>
    <row r="4249" spans="1:27" x14ac:dyDescent="0.3">
      <c r="A4249" t="s">
        <v>4117</v>
      </c>
      <c r="B4249" t="s">
        <v>2733</v>
      </c>
      <c r="C4249" t="s">
        <v>22</v>
      </c>
      <c r="D4249" t="s">
        <v>23</v>
      </c>
      <c r="E4249" t="s">
        <v>28</v>
      </c>
    </row>
    <row r="4250" spans="1:27" x14ac:dyDescent="0.3">
      <c r="A4250" t="s">
        <v>4117</v>
      </c>
      <c r="B4250" t="s">
        <v>2733</v>
      </c>
      <c r="C4250" t="s">
        <v>2748</v>
      </c>
      <c r="D4250">
        <v>2</v>
      </c>
      <c r="H4250" t="s">
        <v>312</v>
      </c>
      <c r="I4250" t="s">
        <v>385</v>
      </c>
    </row>
    <row r="4251" spans="1:27" x14ac:dyDescent="0.3">
      <c r="A4251" t="s">
        <v>4117</v>
      </c>
      <c r="B4251" t="s">
        <v>2733</v>
      </c>
      <c r="C4251" t="s">
        <v>378</v>
      </c>
      <c r="D4251">
        <v>170</v>
      </c>
      <c r="H4251" t="s">
        <v>312</v>
      </c>
      <c r="I4251" t="s">
        <v>327</v>
      </c>
    </row>
    <row r="4252" spans="1:27" x14ac:dyDescent="0.3">
      <c r="A4252" t="s">
        <v>4117</v>
      </c>
      <c r="B4252" t="s">
        <v>2733</v>
      </c>
      <c r="C4252" t="s">
        <v>380</v>
      </c>
      <c r="D4252" t="s">
        <v>798</v>
      </c>
      <c r="E4252" t="s">
        <v>279</v>
      </c>
      <c r="F4252" t="s">
        <v>25</v>
      </c>
      <c r="G4252" t="s">
        <v>4126</v>
      </c>
      <c r="J4252" t="s">
        <v>2089</v>
      </c>
      <c r="K4252" t="s">
        <v>2750</v>
      </c>
      <c r="N4252" t="s">
        <v>2751</v>
      </c>
      <c r="O4252">
        <v>3</v>
      </c>
      <c r="R4252" t="s">
        <v>2752</v>
      </c>
      <c r="S4252">
        <v>198</v>
      </c>
      <c r="V4252" t="s">
        <v>2753</v>
      </c>
      <c r="W4252" t="s">
        <v>2754</v>
      </c>
      <c r="Z4252" t="s">
        <v>2755</v>
      </c>
      <c r="AA4252" t="s">
        <v>2756</v>
      </c>
    </row>
    <row r="4253" spans="1:27" x14ac:dyDescent="0.3">
      <c r="A4253" t="s">
        <v>4117</v>
      </c>
      <c r="B4253" t="s">
        <v>2733</v>
      </c>
      <c r="C4253" t="s">
        <v>16</v>
      </c>
      <c r="D4253" t="s">
        <v>172</v>
      </c>
      <c r="E4253" t="s">
        <v>37</v>
      </c>
    </row>
    <row r="4254" spans="1:27" x14ac:dyDescent="0.3">
      <c r="A4254" t="s">
        <v>4117</v>
      </c>
      <c r="B4254" t="s">
        <v>2733</v>
      </c>
      <c r="C4254" t="s">
        <v>11</v>
      </c>
      <c r="D4254" t="s">
        <v>12</v>
      </c>
      <c r="E4254" t="s">
        <v>13</v>
      </c>
      <c r="H4254" t="s">
        <v>382</v>
      </c>
      <c r="I4254" t="s">
        <v>4127</v>
      </c>
      <c r="L4254" t="s">
        <v>14</v>
      </c>
      <c r="M4254" t="s">
        <v>4127</v>
      </c>
    </row>
    <row r="4255" spans="1:27" x14ac:dyDescent="0.3">
      <c r="A4255" t="s">
        <v>4120</v>
      </c>
      <c r="B4255" t="s">
        <v>527</v>
      </c>
      <c r="C4255" t="s">
        <v>11</v>
      </c>
      <c r="D4255" t="s">
        <v>12</v>
      </c>
      <c r="E4255" t="s">
        <v>391</v>
      </c>
      <c r="H4255" t="s">
        <v>392</v>
      </c>
      <c r="I4255" t="s">
        <v>2758</v>
      </c>
      <c r="L4255" t="s">
        <v>394</v>
      </c>
      <c r="M4255" t="s">
        <v>4127</v>
      </c>
    </row>
    <row r="4256" spans="1:27" x14ac:dyDescent="0.3">
      <c r="A4256" t="s">
        <v>4119</v>
      </c>
      <c r="B4256" t="s">
        <v>2738</v>
      </c>
      <c r="C4256" t="s">
        <v>11</v>
      </c>
      <c r="D4256" t="s">
        <v>12</v>
      </c>
      <c r="E4256" t="s">
        <v>391</v>
      </c>
      <c r="H4256" t="s">
        <v>392</v>
      </c>
      <c r="I4256" t="s">
        <v>4128</v>
      </c>
      <c r="L4256" t="s">
        <v>394</v>
      </c>
      <c r="M4256" t="s">
        <v>4127</v>
      </c>
    </row>
    <row r="4257" spans="1:13" x14ac:dyDescent="0.3">
      <c r="A4257" t="s">
        <v>4118</v>
      </c>
      <c r="B4257" t="s">
        <v>2735</v>
      </c>
      <c r="C4257" t="s">
        <v>308</v>
      </c>
      <c r="D4257" t="s">
        <v>4129</v>
      </c>
      <c r="E4257" t="s">
        <v>406</v>
      </c>
      <c r="H4257" t="s">
        <v>25</v>
      </c>
      <c r="I4257" t="s">
        <v>2761</v>
      </c>
      <c r="L4257" t="s">
        <v>312</v>
      </c>
      <c r="M4257" t="s">
        <v>404</v>
      </c>
    </row>
    <row r="4258" spans="1:13" x14ac:dyDescent="0.3">
      <c r="A4258" t="s">
        <v>4129</v>
      </c>
      <c r="B4258" t="s">
        <v>406</v>
      </c>
      <c r="C4258" t="s">
        <v>11</v>
      </c>
      <c r="D4258" t="s">
        <v>12</v>
      </c>
      <c r="E4258" t="s">
        <v>391</v>
      </c>
      <c r="H4258" t="s">
        <v>392</v>
      </c>
      <c r="I4258" t="s">
        <v>4130</v>
      </c>
      <c r="L4258" t="s">
        <v>394</v>
      </c>
      <c r="M4258" t="s">
        <v>4127</v>
      </c>
    </row>
    <row r="4259" spans="1:13" x14ac:dyDescent="0.3">
      <c r="A4259" t="s">
        <v>4122</v>
      </c>
      <c r="B4259" t="s">
        <v>1138</v>
      </c>
      <c r="C4259" t="s">
        <v>11</v>
      </c>
      <c r="D4259" t="s">
        <v>12</v>
      </c>
      <c r="E4259" t="s">
        <v>391</v>
      </c>
      <c r="H4259" t="s">
        <v>392</v>
      </c>
      <c r="I4259" t="s">
        <v>4131</v>
      </c>
      <c r="L4259" t="s">
        <v>394</v>
      </c>
      <c r="M4259" t="s">
        <v>4127</v>
      </c>
    </row>
    <row r="4260" spans="1:13" x14ac:dyDescent="0.3">
      <c r="A4260" t="s">
        <v>4125</v>
      </c>
      <c r="B4260" t="s">
        <v>341</v>
      </c>
      <c r="C4260" t="s">
        <v>11</v>
      </c>
      <c r="D4260" t="s">
        <v>12</v>
      </c>
      <c r="E4260" t="s">
        <v>391</v>
      </c>
      <c r="H4260" t="s">
        <v>392</v>
      </c>
      <c r="I4260" t="s">
        <v>4132</v>
      </c>
      <c r="L4260" t="s">
        <v>394</v>
      </c>
      <c r="M4260" t="s">
        <v>4127</v>
      </c>
    </row>
    <row r="4261" spans="1:13" x14ac:dyDescent="0.3">
      <c r="A4261" t="s">
        <v>4123</v>
      </c>
      <c r="B4261" t="s">
        <v>1134</v>
      </c>
      <c r="C4261" t="s">
        <v>11</v>
      </c>
      <c r="D4261" t="s">
        <v>12</v>
      </c>
      <c r="E4261" t="s">
        <v>391</v>
      </c>
      <c r="H4261" t="s">
        <v>392</v>
      </c>
      <c r="I4261" t="s">
        <v>4133</v>
      </c>
      <c r="L4261" t="s">
        <v>394</v>
      </c>
      <c r="M4261" t="s">
        <v>4127</v>
      </c>
    </row>
    <row r="4262" spans="1:13" x14ac:dyDescent="0.3">
      <c r="A4262" t="s">
        <v>4124</v>
      </c>
      <c r="B4262" t="s">
        <v>1138</v>
      </c>
      <c r="C4262" t="s">
        <v>11</v>
      </c>
      <c r="D4262" t="s">
        <v>12</v>
      </c>
      <c r="E4262" t="s">
        <v>391</v>
      </c>
      <c r="H4262" t="s">
        <v>392</v>
      </c>
      <c r="I4262" t="s">
        <v>4134</v>
      </c>
      <c r="L4262" t="s">
        <v>394</v>
      </c>
      <c r="M4262" t="s">
        <v>4127</v>
      </c>
    </row>
    <row r="4263" spans="1:13" x14ac:dyDescent="0.3">
      <c r="A4263" t="s">
        <v>4121</v>
      </c>
      <c r="B4263" t="s">
        <v>2077</v>
      </c>
      <c r="C4263" t="s">
        <v>11</v>
      </c>
      <c r="D4263" t="s">
        <v>12</v>
      </c>
      <c r="E4263" t="s">
        <v>391</v>
      </c>
      <c r="H4263" t="s">
        <v>392</v>
      </c>
      <c r="I4263" t="s">
        <v>2128</v>
      </c>
      <c r="L4263" t="s">
        <v>394</v>
      </c>
      <c r="M4263" t="s">
        <v>4127</v>
      </c>
    </row>
    <row r="4264" spans="1:13" x14ac:dyDescent="0.3">
      <c r="A4264" t="s">
        <v>4135</v>
      </c>
      <c r="B4264" t="s">
        <v>2733</v>
      </c>
      <c r="C4264" t="s">
        <v>280</v>
      </c>
      <c r="D4264" t="s">
        <v>4136</v>
      </c>
      <c r="E4264" t="s">
        <v>2735</v>
      </c>
      <c r="H4264" t="s">
        <v>25</v>
      </c>
      <c r="I4264" t="s">
        <v>2736</v>
      </c>
    </row>
    <row r="4265" spans="1:13" x14ac:dyDescent="0.3">
      <c r="A4265" t="s">
        <v>4135</v>
      </c>
      <c r="B4265" t="s">
        <v>2733</v>
      </c>
      <c r="C4265" t="s">
        <v>308</v>
      </c>
      <c r="D4265" t="s">
        <v>4137</v>
      </c>
      <c r="E4265" t="s">
        <v>2738</v>
      </c>
      <c r="H4265" t="s">
        <v>25</v>
      </c>
      <c r="I4265" t="s">
        <v>2739</v>
      </c>
      <c r="L4265" t="s">
        <v>312</v>
      </c>
      <c r="M4265" t="s">
        <v>327</v>
      </c>
    </row>
    <row r="4266" spans="1:13" x14ac:dyDescent="0.3">
      <c r="A4266" t="s">
        <v>4135</v>
      </c>
      <c r="B4266" t="s">
        <v>2733</v>
      </c>
      <c r="C4266" t="s">
        <v>308</v>
      </c>
      <c r="D4266" t="s">
        <v>4138</v>
      </c>
      <c r="E4266" t="s">
        <v>527</v>
      </c>
      <c r="H4266" t="s">
        <v>25</v>
      </c>
      <c r="I4266" t="s">
        <v>2741</v>
      </c>
      <c r="L4266" t="s">
        <v>312</v>
      </c>
      <c r="M4266" t="s">
        <v>343</v>
      </c>
    </row>
    <row r="4267" spans="1:13" x14ac:dyDescent="0.3">
      <c r="A4267" t="s">
        <v>4135</v>
      </c>
      <c r="B4267" t="s">
        <v>2733</v>
      </c>
      <c r="C4267" t="s">
        <v>308</v>
      </c>
      <c r="D4267" t="s">
        <v>4139</v>
      </c>
      <c r="E4267" t="s">
        <v>2077</v>
      </c>
      <c r="H4267" t="s">
        <v>25</v>
      </c>
      <c r="I4267" t="s">
        <v>2078</v>
      </c>
      <c r="L4267" t="s">
        <v>312</v>
      </c>
      <c r="M4267" t="s">
        <v>1687</v>
      </c>
    </row>
    <row r="4268" spans="1:13" x14ac:dyDescent="0.3">
      <c r="A4268" t="s">
        <v>4135</v>
      </c>
      <c r="B4268" t="s">
        <v>2733</v>
      </c>
      <c r="C4268" t="s">
        <v>308</v>
      </c>
      <c r="D4268" t="s">
        <v>4140</v>
      </c>
      <c r="E4268" t="s">
        <v>1138</v>
      </c>
      <c r="H4268" t="s">
        <v>25</v>
      </c>
      <c r="I4268" t="s">
        <v>2065</v>
      </c>
      <c r="L4268" t="s">
        <v>312</v>
      </c>
      <c r="M4268" t="s">
        <v>317</v>
      </c>
    </row>
    <row r="4269" spans="1:13" x14ac:dyDescent="0.3">
      <c r="A4269" t="s">
        <v>4135</v>
      </c>
      <c r="B4269" t="s">
        <v>2733</v>
      </c>
      <c r="C4269" t="s">
        <v>308</v>
      </c>
      <c r="D4269" t="s">
        <v>4141</v>
      </c>
      <c r="E4269" t="s">
        <v>1134</v>
      </c>
      <c r="H4269" t="s">
        <v>25</v>
      </c>
      <c r="I4269" t="s">
        <v>2069</v>
      </c>
      <c r="L4269" t="s">
        <v>312</v>
      </c>
      <c r="M4269" t="s">
        <v>317</v>
      </c>
    </row>
    <row r="4270" spans="1:13" x14ac:dyDescent="0.3">
      <c r="A4270" t="s">
        <v>4135</v>
      </c>
      <c r="B4270" t="s">
        <v>2733</v>
      </c>
      <c r="C4270" t="s">
        <v>308</v>
      </c>
      <c r="D4270" t="s">
        <v>4142</v>
      </c>
      <c r="E4270" t="s">
        <v>1138</v>
      </c>
      <c r="H4270" t="s">
        <v>25</v>
      </c>
      <c r="I4270" t="s">
        <v>2746</v>
      </c>
      <c r="L4270" t="s">
        <v>312</v>
      </c>
      <c r="M4270" t="s">
        <v>317</v>
      </c>
    </row>
    <row r="4271" spans="1:13" x14ac:dyDescent="0.3">
      <c r="A4271" t="s">
        <v>4135</v>
      </c>
      <c r="B4271" t="s">
        <v>2733</v>
      </c>
      <c r="C4271" t="s">
        <v>308</v>
      </c>
      <c r="D4271" t="s">
        <v>4143</v>
      </c>
      <c r="E4271" t="s">
        <v>341</v>
      </c>
      <c r="H4271" t="s">
        <v>25</v>
      </c>
      <c r="I4271" t="s">
        <v>342</v>
      </c>
      <c r="L4271" t="s">
        <v>312</v>
      </c>
      <c r="M4271" t="s">
        <v>343</v>
      </c>
    </row>
    <row r="4272" spans="1:13" x14ac:dyDescent="0.3">
      <c r="A4272" t="s">
        <v>4135</v>
      </c>
      <c r="B4272" t="s">
        <v>2733</v>
      </c>
      <c r="C4272" t="s">
        <v>22</v>
      </c>
      <c r="D4272" t="s">
        <v>23</v>
      </c>
      <c r="E4272" t="s">
        <v>28</v>
      </c>
    </row>
    <row r="4273" spans="1:27" x14ac:dyDescent="0.3">
      <c r="A4273" t="s">
        <v>4135</v>
      </c>
      <c r="B4273" t="s">
        <v>2733</v>
      </c>
      <c r="C4273" t="s">
        <v>2748</v>
      </c>
      <c r="D4273">
        <v>1.5</v>
      </c>
      <c r="H4273" t="s">
        <v>312</v>
      </c>
      <c r="I4273" t="s">
        <v>385</v>
      </c>
    </row>
    <row r="4274" spans="1:27" x14ac:dyDescent="0.3">
      <c r="A4274" t="s">
        <v>4135</v>
      </c>
      <c r="B4274" t="s">
        <v>2733</v>
      </c>
      <c r="C4274" t="s">
        <v>378</v>
      </c>
      <c r="D4274">
        <v>320</v>
      </c>
      <c r="H4274" t="s">
        <v>312</v>
      </c>
      <c r="I4274" t="s">
        <v>327</v>
      </c>
    </row>
    <row r="4275" spans="1:27" x14ac:dyDescent="0.3">
      <c r="A4275" t="s">
        <v>4135</v>
      </c>
      <c r="B4275" t="s">
        <v>2733</v>
      </c>
      <c r="C4275" t="s">
        <v>380</v>
      </c>
      <c r="D4275" t="s">
        <v>798</v>
      </c>
      <c r="E4275" t="s">
        <v>279</v>
      </c>
      <c r="F4275" t="s">
        <v>25</v>
      </c>
      <c r="G4275" t="s">
        <v>4144</v>
      </c>
      <c r="J4275" t="s">
        <v>2089</v>
      </c>
      <c r="K4275" t="s">
        <v>2750</v>
      </c>
      <c r="N4275" t="s">
        <v>2751</v>
      </c>
      <c r="O4275">
        <v>2</v>
      </c>
      <c r="R4275" t="s">
        <v>2752</v>
      </c>
      <c r="S4275">
        <v>158</v>
      </c>
      <c r="V4275" t="s">
        <v>2753</v>
      </c>
      <c r="W4275" t="s">
        <v>2754</v>
      </c>
      <c r="Z4275" t="s">
        <v>2755</v>
      </c>
      <c r="AA4275" t="s">
        <v>2756</v>
      </c>
    </row>
    <row r="4276" spans="1:27" x14ac:dyDescent="0.3">
      <c r="A4276" t="s">
        <v>4135</v>
      </c>
      <c r="B4276" t="s">
        <v>2733</v>
      </c>
      <c r="C4276" t="s">
        <v>16</v>
      </c>
      <c r="D4276" t="s">
        <v>230</v>
      </c>
      <c r="E4276" t="s">
        <v>37</v>
      </c>
    </row>
    <row r="4277" spans="1:27" x14ac:dyDescent="0.3">
      <c r="A4277" t="s">
        <v>4135</v>
      </c>
      <c r="B4277" t="s">
        <v>2733</v>
      </c>
      <c r="C4277" t="s">
        <v>11</v>
      </c>
      <c r="D4277" t="s">
        <v>12</v>
      </c>
      <c r="E4277" t="s">
        <v>13</v>
      </c>
      <c r="H4277" t="s">
        <v>382</v>
      </c>
      <c r="I4277" t="s">
        <v>4145</v>
      </c>
      <c r="L4277" t="s">
        <v>14</v>
      </c>
      <c r="M4277" t="s">
        <v>4145</v>
      </c>
    </row>
    <row r="4278" spans="1:27" x14ac:dyDescent="0.3">
      <c r="A4278" t="s">
        <v>4138</v>
      </c>
      <c r="B4278" t="s">
        <v>527</v>
      </c>
      <c r="C4278" t="s">
        <v>11</v>
      </c>
      <c r="D4278" t="s">
        <v>12</v>
      </c>
      <c r="E4278" t="s">
        <v>391</v>
      </c>
      <c r="H4278" t="s">
        <v>392</v>
      </c>
      <c r="I4278" t="s">
        <v>2758</v>
      </c>
      <c r="L4278" t="s">
        <v>394</v>
      </c>
      <c r="M4278" t="s">
        <v>4145</v>
      </c>
    </row>
    <row r="4279" spans="1:27" x14ac:dyDescent="0.3">
      <c r="A4279" t="s">
        <v>4137</v>
      </c>
      <c r="B4279" t="s">
        <v>2738</v>
      </c>
      <c r="C4279" t="s">
        <v>11</v>
      </c>
      <c r="D4279" t="s">
        <v>12</v>
      </c>
      <c r="E4279" t="s">
        <v>391</v>
      </c>
      <c r="H4279" t="s">
        <v>392</v>
      </c>
      <c r="I4279" t="s">
        <v>4146</v>
      </c>
      <c r="L4279" t="s">
        <v>394</v>
      </c>
      <c r="M4279" t="s">
        <v>4145</v>
      </c>
    </row>
    <row r="4280" spans="1:27" x14ac:dyDescent="0.3">
      <c r="A4280" t="s">
        <v>4136</v>
      </c>
      <c r="B4280" t="s">
        <v>2735</v>
      </c>
      <c r="C4280" t="s">
        <v>308</v>
      </c>
      <c r="D4280" t="s">
        <v>4147</v>
      </c>
      <c r="E4280" t="s">
        <v>406</v>
      </c>
      <c r="H4280" t="s">
        <v>25</v>
      </c>
      <c r="I4280" t="s">
        <v>2761</v>
      </c>
      <c r="L4280" t="s">
        <v>312</v>
      </c>
      <c r="M4280" t="s">
        <v>404</v>
      </c>
    </row>
    <row r="4281" spans="1:27" x14ac:dyDescent="0.3">
      <c r="A4281" t="s">
        <v>4147</v>
      </c>
      <c r="B4281" t="s">
        <v>406</v>
      </c>
      <c r="C4281" t="s">
        <v>11</v>
      </c>
      <c r="D4281" t="s">
        <v>12</v>
      </c>
      <c r="E4281" t="s">
        <v>391</v>
      </c>
      <c r="H4281" t="s">
        <v>392</v>
      </c>
      <c r="I4281" t="s">
        <v>4148</v>
      </c>
      <c r="L4281" t="s">
        <v>394</v>
      </c>
      <c r="M4281" t="s">
        <v>4145</v>
      </c>
    </row>
    <row r="4282" spans="1:27" x14ac:dyDescent="0.3">
      <c r="A4282" t="s">
        <v>4140</v>
      </c>
      <c r="B4282" t="s">
        <v>1138</v>
      </c>
      <c r="C4282" t="s">
        <v>11</v>
      </c>
      <c r="D4282" t="s">
        <v>12</v>
      </c>
      <c r="E4282" t="s">
        <v>391</v>
      </c>
      <c r="H4282" t="s">
        <v>392</v>
      </c>
      <c r="I4282" t="s">
        <v>4149</v>
      </c>
      <c r="L4282" t="s">
        <v>394</v>
      </c>
      <c r="M4282" t="s">
        <v>4145</v>
      </c>
    </row>
    <row r="4283" spans="1:27" x14ac:dyDescent="0.3">
      <c r="A4283" t="s">
        <v>4143</v>
      </c>
      <c r="B4283" t="s">
        <v>341</v>
      </c>
      <c r="C4283" t="s">
        <v>11</v>
      </c>
      <c r="D4283" t="s">
        <v>12</v>
      </c>
      <c r="E4283" t="s">
        <v>391</v>
      </c>
      <c r="H4283" t="s">
        <v>392</v>
      </c>
      <c r="I4283" t="s">
        <v>4150</v>
      </c>
      <c r="L4283" t="s">
        <v>394</v>
      </c>
      <c r="M4283" t="s">
        <v>4145</v>
      </c>
    </row>
    <row r="4284" spans="1:27" x14ac:dyDescent="0.3">
      <c r="A4284" t="s">
        <v>4141</v>
      </c>
      <c r="B4284" t="s">
        <v>1134</v>
      </c>
      <c r="C4284" t="s">
        <v>11</v>
      </c>
      <c r="D4284" t="s">
        <v>12</v>
      </c>
      <c r="E4284" t="s">
        <v>391</v>
      </c>
      <c r="H4284" t="s">
        <v>392</v>
      </c>
      <c r="I4284" t="s">
        <v>4151</v>
      </c>
      <c r="L4284" t="s">
        <v>394</v>
      </c>
      <c r="M4284" t="s">
        <v>4145</v>
      </c>
    </row>
    <row r="4285" spans="1:27" x14ac:dyDescent="0.3">
      <c r="A4285" t="s">
        <v>4142</v>
      </c>
      <c r="B4285" t="s">
        <v>1138</v>
      </c>
      <c r="C4285" t="s">
        <v>11</v>
      </c>
      <c r="D4285" t="s">
        <v>12</v>
      </c>
      <c r="E4285" t="s">
        <v>391</v>
      </c>
      <c r="H4285" t="s">
        <v>392</v>
      </c>
      <c r="I4285" t="s">
        <v>4152</v>
      </c>
      <c r="L4285" t="s">
        <v>394</v>
      </c>
      <c r="M4285" t="s">
        <v>4145</v>
      </c>
    </row>
    <row r="4286" spans="1:27" x14ac:dyDescent="0.3">
      <c r="A4286" t="s">
        <v>4139</v>
      </c>
      <c r="B4286" t="s">
        <v>2077</v>
      </c>
      <c r="C4286" t="s">
        <v>11</v>
      </c>
      <c r="D4286" t="s">
        <v>12</v>
      </c>
      <c r="E4286" t="s">
        <v>391</v>
      </c>
      <c r="H4286" t="s">
        <v>392</v>
      </c>
      <c r="I4286" t="s">
        <v>2128</v>
      </c>
      <c r="L4286" t="s">
        <v>394</v>
      </c>
      <c r="M4286" t="s">
        <v>4145</v>
      </c>
    </row>
    <row r="4287" spans="1:27" x14ac:dyDescent="0.3">
      <c r="A4287" t="s">
        <v>4153</v>
      </c>
      <c r="B4287" t="s">
        <v>2733</v>
      </c>
      <c r="C4287" t="s">
        <v>280</v>
      </c>
      <c r="D4287" t="s">
        <v>4154</v>
      </c>
      <c r="E4287" t="s">
        <v>2735</v>
      </c>
      <c r="H4287" t="s">
        <v>25</v>
      </c>
      <c r="I4287" t="s">
        <v>2736</v>
      </c>
    </row>
    <row r="4288" spans="1:27" x14ac:dyDescent="0.3">
      <c r="A4288" t="s">
        <v>4153</v>
      </c>
      <c r="B4288" t="s">
        <v>2733</v>
      </c>
      <c r="C4288" t="s">
        <v>308</v>
      </c>
      <c r="D4288" t="s">
        <v>4155</v>
      </c>
      <c r="E4288" t="s">
        <v>2738</v>
      </c>
      <c r="H4288" t="s">
        <v>25</v>
      </c>
      <c r="I4288" t="s">
        <v>2739</v>
      </c>
      <c r="L4288" t="s">
        <v>312</v>
      </c>
      <c r="M4288" t="s">
        <v>327</v>
      </c>
    </row>
    <row r="4289" spans="1:27" x14ac:dyDescent="0.3">
      <c r="A4289" t="s">
        <v>4153</v>
      </c>
      <c r="B4289" t="s">
        <v>2733</v>
      </c>
      <c r="C4289" t="s">
        <v>308</v>
      </c>
      <c r="D4289" t="s">
        <v>4156</v>
      </c>
      <c r="E4289" t="s">
        <v>527</v>
      </c>
      <c r="H4289" t="s">
        <v>25</v>
      </c>
      <c r="I4289" t="s">
        <v>2741</v>
      </c>
      <c r="L4289" t="s">
        <v>312</v>
      </c>
      <c r="M4289" t="s">
        <v>343</v>
      </c>
    </row>
    <row r="4290" spans="1:27" x14ac:dyDescent="0.3">
      <c r="A4290" t="s">
        <v>4153</v>
      </c>
      <c r="B4290" t="s">
        <v>2733</v>
      </c>
      <c r="C4290" t="s">
        <v>308</v>
      </c>
      <c r="D4290" t="s">
        <v>4157</v>
      </c>
      <c r="E4290" t="s">
        <v>2077</v>
      </c>
      <c r="H4290" t="s">
        <v>25</v>
      </c>
      <c r="I4290" t="s">
        <v>2078</v>
      </c>
      <c r="L4290" t="s">
        <v>312</v>
      </c>
      <c r="M4290" t="s">
        <v>1687</v>
      </c>
    </row>
    <row r="4291" spans="1:27" x14ac:dyDescent="0.3">
      <c r="A4291" t="s">
        <v>4153</v>
      </c>
      <c r="B4291" t="s">
        <v>2733</v>
      </c>
      <c r="C4291" t="s">
        <v>308</v>
      </c>
      <c r="D4291" t="s">
        <v>4158</v>
      </c>
      <c r="E4291" t="s">
        <v>1138</v>
      </c>
      <c r="H4291" t="s">
        <v>25</v>
      </c>
      <c r="I4291" t="s">
        <v>2065</v>
      </c>
      <c r="L4291" t="s">
        <v>312</v>
      </c>
      <c r="M4291" t="s">
        <v>317</v>
      </c>
    </row>
    <row r="4292" spans="1:27" x14ac:dyDescent="0.3">
      <c r="A4292" t="s">
        <v>4153</v>
      </c>
      <c r="B4292" t="s">
        <v>2733</v>
      </c>
      <c r="C4292" t="s">
        <v>308</v>
      </c>
      <c r="D4292" t="s">
        <v>4159</v>
      </c>
      <c r="E4292" t="s">
        <v>1134</v>
      </c>
      <c r="H4292" t="s">
        <v>25</v>
      </c>
      <c r="I4292" t="s">
        <v>2069</v>
      </c>
      <c r="L4292" t="s">
        <v>312</v>
      </c>
      <c r="M4292" t="s">
        <v>317</v>
      </c>
    </row>
    <row r="4293" spans="1:27" x14ac:dyDescent="0.3">
      <c r="A4293" t="s">
        <v>4153</v>
      </c>
      <c r="B4293" t="s">
        <v>2733</v>
      </c>
      <c r="C4293" t="s">
        <v>308</v>
      </c>
      <c r="D4293" t="s">
        <v>4160</v>
      </c>
      <c r="E4293" t="s">
        <v>1138</v>
      </c>
      <c r="H4293" t="s">
        <v>25</v>
      </c>
      <c r="I4293" t="s">
        <v>2746</v>
      </c>
      <c r="L4293" t="s">
        <v>312</v>
      </c>
      <c r="M4293" t="s">
        <v>317</v>
      </c>
    </row>
    <row r="4294" spans="1:27" x14ac:dyDescent="0.3">
      <c r="A4294" t="s">
        <v>4153</v>
      </c>
      <c r="B4294" t="s">
        <v>2733</v>
      </c>
      <c r="C4294" t="s">
        <v>308</v>
      </c>
      <c r="D4294" t="s">
        <v>4161</v>
      </c>
      <c r="E4294" t="s">
        <v>341</v>
      </c>
      <c r="H4294" t="s">
        <v>25</v>
      </c>
      <c r="I4294" t="s">
        <v>342</v>
      </c>
      <c r="L4294" t="s">
        <v>312</v>
      </c>
      <c r="M4294" t="s">
        <v>343</v>
      </c>
    </row>
    <row r="4295" spans="1:27" x14ac:dyDescent="0.3">
      <c r="A4295" t="s">
        <v>4153</v>
      </c>
      <c r="B4295" t="s">
        <v>2733</v>
      </c>
      <c r="C4295" t="s">
        <v>22</v>
      </c>
      <c r="D4295" t="s">
        <v>23</v>
      </c>
      <c r="E4295" t="s">
        <v>28</v>
      </c>
    </row>
    <row r="4296" spans="1:27" x14ac:dyDescent="0.3">
      <c r="A4296" t="s">
        <v>4153</v>
      </c>
      <c r="B4296" t="s">
        <v>2733</v>
      </c>
      <c r="C4296" t="s">
        <v>2748</v>
      </c>
      <c r="D4296">
        <v>1.5</v>
      </c>
      <c r="H4296" t="s">
        <v>312</v>
      </c>
      <c r="I4296" t="s">
        <v>385</v>
      </c>
    </row>
    <row r="4297" spans="1:27" x14ac:dyDescent="0.3">
      <c r="A4297" t="s">
        <v>4153</v>
      </c>
      <c r="B4297" t="s">
        <v>2733</v>
      </c>
      <c r="C4297" t="s">
        <v>378</v>
      </c>
      <c r="D4297">
        <v>170</v>
      </c>
      <c r="H4297" t="s">
        <v>312</v>
      </c>
      <c r="I4297" t="s">
        <v>327</v>
      </c>
    </row>
    <row r="4298" spans="1:27" x14ac:dyDescent="0.3">
      <c r="A4298" t="s">
        <v>4153</v>
      </c>
      <c r="B4298" t="s">
        <v>2733</v>
      </c>
      <c r="C4298" t="s">
        <v>380</v>
      </c>
      <c r="D4298" t="s">
        <v>798</v>
      </c>
      <c r="E4298" t="s">
        <v>279</v>
      </c>
      <c r="F4298" t="s">
        <v>25</v>
      </c>
      <c r="G4298" t="s">
        <v>4162</v>
      </c>
      <c r="J4298" t="s">
        <v>2089</v>
      </c>
      <c r="K4298" t="s">
        <v>2750</v>
      </c>
      <c r="N4298" t="s">
        <v>2751</v>
      </c>
      <c r="O4298">
        <v>2</v>
      </c>
      <c r="R4298" t="s">
        <v>2752</v>
      </c>
      <c r="S4298">
        <v>158</v>
      </c>
      <c r="V4298" t="s">
        <v>2753</v>
      </c>
      <c r="W4298" t="s">
        <v>2754</v>
      </c>
      <c r="Z4298" t="s">
        <v>2755</v>
      </c>
      <c r="AA4298" t="s">
        <v>2756</v>
      </c>
    </row>
    <row r="4299" spans="1:27" x14ac:dyDescent="0.3">
      <c r="A4299" t="s">
        <v>4153</v>
      </c>
      <c r="B4299" t="s">
        <v>2733</v>
      </c>
      <c r="C4299" t="s">
        <v>16</v>
      </c>
      <c r="D4299" t="s">
        <v>228</v>
      </c>
      <c r="E4299" t="s">
        <v>37</v>
      </c>
    </row>
    <row r="4300" spans="1:27" x14ac:dyDescent="0.3">
      <c r="A4300" t="s">
        <v>4153</v>
      </c>
      <c r="B4300" t="s">
        <v>2733</v>
      </c>
      <c r="C4300" t="s">
        <v>11</v>
      </c>
      <c r="D4300" t="s">
        <v>12</v>
      </c>
      <c r="E4300" t="s">
        <v>13</v>
      </c>
      <c r="H4300" t="s">
        <v>382</v>
      </c>
      <c r="I4300" t="s">
        <v>4163</v>
      </c>
      <c r="L4300" t="s">
        <v>14</v>
      </c>
      <c r="M4300" t="s">
        <v>4163</v>
      </c>
    </row>
    <row r="4301" spans="1:27" x14ac:dyDescent="0.3">
      <c r="A4301" t="s">
        <v>4156</v>
      </c>
      <c r="B4301" t="s">
        <v>527</v>
      </c>
      <c r="C4301" t="s">
        <v>11</v>
      </c>
      <c r="D4301" t="s">
        <v>12</v>
      </c>
      <c r="E4301" t="s">
        <v>391</v>
      </c>
      <c r="H4301" t="s">
        <v>392</v>
      </c>
      <c r="I4301" t="s">
        <v>2758</v>
      </c>
      <c r="L4301" t="s">
        <v>394</v>
      </c>
      <c r="M4301" t="s">
        <v>4163</v>
      </c>
    </row>
    <row r="4302" spans="1:27" x14ac:dyDescent="0.3">
      <c r="A4302" t="s">
        <v>4155</v>
      </c>
      <c r="B4302" t="s">
        <v>2738</v>
      </c>
      <c r="C4302" t="s">
        <v>11</v>
      </c>
      <c r="D4302" t="s">
        <v>12</v>
      </c>
      <c r="E4302" t="s">
        <v>391</v>
      </c>
      <c r="H4302" t="s">
        <v>392</v>
      </c>
      <c r="I4302" t="s">
        <v>4164</v>
      </c>
      <c r="L4302" t="s">
        <v>394</v>
      </c>
      <c r="M4302" t="s">
        <v>4163</v>
      </c>
    </row>
    <row r="4303" spans="1:27" x14ac:dyDescent="0.3">
      <c r="A4303" t="s">
        <v>4154</v>
      </c>
      <c r="B4303" t="s">
        <v>2735</v>
      </c>
      <c r="C4303" t="s">
        <v>308</v>
      </c>
      <c r="D4303" t="s">
        <v>4165</v>
      </c>
      <c r="E4303" t="s">
        <v>406</v>
      </c>
      <c r="H4303" t="s">
        <v>25</v>
      </c>
      <c r="I4303" t="s">
        <v>2761</v>
      </c>
      <c r="L4303" t="s">
        <v>312</v>
      </c>
      <c r="M4303" t="s">
        <v>404</v>
      </c>
    </row>
    <row r="4304" spans="1:27" x14ac:dyDescent="0.3">
      <c r="A4304" t="s">
        <v>4165</v>
      </c>
      <c r="B4304" t="s">
        <v>406</v>
      </c>
      <c r="C4304" t="s">
        <v>11</v>
      </c>
      <c r="D4304" t="s">
        <v>12</v>
      </c>
      <c r="E4304" t="s">
        <v>391</v>
      </c>
      <c r="H4304" t="s">
        <v>392</v>
      </c>
      <c r="I4304" t="s">
        <v>4166</v>
      </c>
      <c r="L4304" t="s">
        <v>394</v>
      </c>
      <c r="M4304" t="s">
        <v>4163</v>
      </c>
    </row>
    <row r="4305" spans="1:13" x14ac:dyDescent="0.3">
      <c r="A4305" t="s">
        <v>4158</v>
      </c>
      <c r="B4305" t="s">
        <v>1138</v>
      </c>
      <c r="C4305" t="s">
        <v>11</v>
      </c>
      <c r="D4305" t="s">
        <v>12</v>
      </c>
      <c r="E4305" t="s">
        <v>391</v>
      </c>
      <c r="H4305" t="s">
        <v>392</v>
      </c>
      <c r="I4305" t="s">
        <v>4167</v>
      </c>
      <c r="L4305" t="s">
        <v>394</v>
      </c>
      <c r="M4305" t="s">
        <v>4163</v>
      </c>
    </row>
    <row r="4306" spans="1:13" x14ac:dyDescent="0.3">
      <c r="A4306" t="s">
        <v>4161</v>
      </c>
      <c r="B4306" t="s">
        <v>341</v>
      </c>
      <c r="C4306" t="s">
        <v>11</v>
      </c>
      <c r="D4306" t="s">
        <v>12</v>
      </c>
      <c r="E4306" t="s">
        <v>391</v>
      </c>
      <c r="H4306" t="s">
        <v>392</v>
      </c>
      <c r="I4306" t="s">
        <v>4168</v>
      </c>
      <c r="L4306" t="s">
        <v>394</v>
      </c>
      <c r="M4306" t="s">
        <v>4163</v>
      </c>
    </row>
    <row r="4307" spans="1:13" x14ac:dyDescent="0.3">
      <c r="A4307" t="s">
        <v>4159</v>
      </c>
      <c r="B4307" t="s">
        <v>1134</v>
      </c>
      <c r="C4307" t="s">
        <v>11</v>
      </c>
      <c r="D4307" t="s">
        <v>12</v>
      </c>
      <c r="E4307" t="s">
        <v>391</v>
      </c>
      <c r="H4307" t="s">
        <v>392</v>
      </c>
      <c r="I4307" t="s">
        <v>4169</v>
      </c>
      <c r="L4307" t="s">
        <v>394</v>
      </c>
      <c r="M4307" t="s">
        <v>4163</v>
      </c>
    </row>
    <row r="4308" spans="1:13" x14ac:dyDescent="0.3">
      <c r="A4308" t="s">
        <v>4160</v>
      </c>
      <c r="B4308" t="s">
        <v>1138</v>
      </c>
      <c r="C4308" t="s">
        <v>11</v>
      </c>
      <c r="D4308" t="s">
        <v>12</v>
      </c>
      <c r="E4308" t="s">
        <v>391</v>
      </c>
      <c r="H4308" t="s">
        <v>392</v>
      </c>
      <c r="I4308" t="s">
        <v>4170</v>
      </c>
      <c r="L4308" t="s">
        <v>394</v>
      </c>
      <c r="M4308" t="s">
        <v>4163</v>
      </c>
    </row>
    <row r="4309" spans="1:13" x14ac:dyDescent="0.3">
      <c r="A4309" t="s">
        <v>4157</v>
      </c>
      <c r="B4309" t="s">
        <v>2077</v>
      </c>
      <c r="C4309" t="s">
        <v>11</v>
      </c>
      <c r="D4309" t="s">
        <v>12</v>
      </c>
      <c r="E4309" t="s">
        <v>391</v>
      </c>
      <c r="H4309" t="s">
        <v>392</v>
      </c>
      <c r="I4309" t="s">
        <v>2128</v>
      </c>
      <c r="L4309" t="s">
        <v>394</v>
      </c>
      <c r="M4309" t="s">
        <v>4163</v>
      </c>
    </row>
    <row r="4310" spans="1:13" x14ac:dyDescent="0.3">
      <c r="A4310" t="s">
        <v>4171</v>
      </c>
      <c r="B4310" t="s">
        <v>2733</v>
      </c>
      <c r="C4310" t="s">
        <v>280</v>
      </c>
      <c r="D4310" t="s">
        <v>4172</v>
      </c>
      <c r="E4310" t="s">
        <v>2735</v>
      </c>
      <c r="H4310" t="s">
        <v>25</v>
      </c>
      <c r="I4310" t="s">
        <v>2736</v>
      </c>
    </row>
    <row r="4311" spans="1:13" x14ac:dyDescent="0.3">
      <c r="A4311" t="s">
        <v>4171</v>
      </c>
      <c r="B4311" t="s">
        <v>2733</v>
      </c>
      <c r="C4311" t="s">
        <v>308</v>
      </c>
      <c r="D4311" t="s">
        <v>4173</v>
      </c>
      <c r="E4311" t="s">
        <v>2738</v>
      </c>
      <c r="H4311" t="s">
        <v>25</v>
      </c>
      <c r="I4311" t="s">
        <v>2739</v>
      </c>
      <c r="L4311" t="s">
        <v>312</v>
      </c>
      <c r="M4311" t="s">
        <v>327</v>
      </c>
    </row>
    <row r="4312" spans="1:13" x14ac:dyDescent="0.3">
      <c r="A4312" t="s">
        <v>4171</v>
      </c>
      <c r="B4312" t="s">
        <v>2733</v>
      </c>
      <c r="C4312" t="s">
        <v>308</v>
      </c>
      <c r="D4312" t="s">
        <v>4174</v>
      </c>
      <c r="E4312" t="s">
        <v>527</v>
      </c>
      <c r="H4312" t="s">
        <v>25</v>
      </c>
      <c r="I4312" t="s">
        <v>2741</v>
      </c>
      <c r="L4312" t="s">
        <v>312</v>
      </c>
      <c r="M4312" t="s">
        <v>343</v>
      </c>
    </row>
    <row r="4313" spans="1:13" x14ac:dyDescent="0.3">
      <c r="A4313" t="s">
        <v>4171</v>
      </c>
      <c r="B4313" t="s">
        <v>2733</v>
      </c>
      <c r="C4313" t="s">
        <v>308</v>
      </c>
      <c r="D4313" t="s">
        <v>4175</v>
      </c>
      <c r="E4313" t="s">
        <v>2077</v>
      </c>
      <c r="H4313" t="s">
        <v>25</v>
      </c>
      <c r="I4313" t="s">
        <v>2078</v>
      </c>
      <c r="L4313" t="s">
        <v>312</v>
      </c>
      <c r="M4313" t="s">
        <v>1687</v>
      </c>
    </row>
    <row r="4314" spans="1:13" x14ac:dyDescent="0.3">
      <c r="A4314" t="s">
        <v>4171</v>
      </c>
      <c r="B4314" t="s">
        <v>2733</v>
      </c>
      <c r="C4314" t="s">
        <v>308</v>
      </c>
      <c r="D4314" t="s">
        <v>4176</v>
      </c>
      <c r="E4314" t="s">
        <v>1138</v>
      </c>
      <c r="H4314" t="s">
        <v>25</v>
      </c>
      <c r="I4314" t="s">
        <v>2065</v>
      </c>
      <c r="L4314" t="s">
        <v>312</v>
      </c>
      <c r="M4314" t="s">
        <v>317</v>
      </c>
    </row>
    <row r="4315" spans="1:13" x14ac:dyDescent="0.3">
      <c r="A4315" t="s">
        <v>4171</v>
      </c>
      <c r="B4315" t="s">
        <v>2733</v>
      </c>
      <c r="C4315" t="s">
        <v>308</v>
      </c>
      <c r="D4315" t="s">
        <v>4177</v>
      </c>
      <c r="E4315" t="s">
        <v>1134</v>
      </c>
      <c r="H4315" t="s">
        <v>25</v>
      </c>
      <c r="I4315" t="s">
        <v>2069</v>
      </c>
      <c r="L4315" t="s">
        <v>312</v>
      </c>
      <c r="M4315" t="s">
        <v>317</v>
      </c>
    </row>
    <row r="4316" spans="1:13" x14ac:dyDescent="0.3">
      <c r="A4316" t="s">
        <v>4171</v>
      </c>
      <c r="B4316" t="s">
        <v>2733</v>
      </c>
      <c r="C4316" t="s">
        <v>308</v>
      </c>
      <c r="D4316" t="s">
        <v>4178</v>
      </c>
      <c r="E4316" t="s">
        <v>1138</v>
      </c>
      <c r="H4316" t="s">
        <v>25</v>
      </c>
      <c r="I4316" t="s">
        <v>2746</v>
      </c>
      <c r="L4316" t="s">
        <v>312</v>
      </c>
      <c r="M4316" t="s">
        <v>317</v>
      </c>
    </row>
    <row r="4317" spans="1:13" x14ac:dyDescent="0.3">
      <c r="A4317" t="s">
        <v>4171</v>
      </c>
      <c r="B4317" t="s">
        <v>2733</v>
      </c>
      <c r="C4317" t="s">
        <v>308</v>
      </c>
      <c r="D4317" t="s">
        <v>4179</v>
      </c>
      <c r="E4317" t="s">
        <v>341</v>
      </c>
      <c r="H4317" t="s">
        <v>25</v>
      </c>
      <c r="I4317" t="s">
        <v>342</v>
      </c>
      <c r="L4317" t="s">
        <v>312</v>
      </c>
      <c r="M4317" t="s">
        <v>343</v>
      </c>
    </row>
    <row r="4318" spans="1:13" x14ac:dyDescent="0.3">
      <c r="A4318" t="s">
        <v>4171</v>
      </c>
      <c r="B4318" t="s">
        <v>2733</v>
      </c>
      <c r="C4318" t="s">
        <v>22</v>
      </c>
      <c r="D4318" t="s">
        <v>23</v>
      </c>
      <c r="E4318" t="s">
        <v>28</v>
      </c>
    </row>
    <row r="4319" spans="1:13" x14ac:dyDescent="0.3">
      <c r="A4319" t="s">
        <v>4171</v>
      </c>
      <c r="B4319" t="s">
        <v>2733</v>
      </c>
      <c r="C4319" t="s">
        <v>2748</v>
      </c>
      <c r="D4319">
        <v>1.5</v>
      </c>
      <c r="H4319" t="s">
        <v>312</v>
      </c>
      <c r="I4319" t="s">
        <v>385</v>
      </c>
    </row>
    <row r="4320" spans="1:13" x14ac:dyDescent="0.3">
      <c r="A4320" t="s">
        <v>4171</v>
      </c>
      <c r="B4320" t="s">
        <v>2733</v>
      </c>
      <c r="C4320" t="s">
        <v>378</v>
      </c>
      <c r="D4320">
        <v>170</v>
      </c>
      <c r="H4320" t="s">
        <v>312</v>
      </c>
      <c r="I4320" t="s">
        <v>327</v>
      </c>
    </row>
    <row r="4321" spans="1:27" x14ac:dyDescent="0.3">
      <c r="A4321" t="s">
        <v>4171</v>
      </c>
      <c r="B4321" t="s">
        <v>2733</v>
      </c>
      <c r="C4321" t="s">
        <v>380</v>
      </c>
      <c r="D4321" t="s">
        <v>798</v>
      </c>
      <c r="E4321" t="s">
        <v>279</v>
      </c>
      <c r="F4321" t="s">
        <v>25</v>
      </c>
      <c r="G4321" t="s">
        <v>4180</v>
      </c>
      <c r="J4321" t="s">
        <v>2089</v>
      </c>
      <c r="K4321" t="s">
        <v>2750</v>
      </c>
      <c r="N4321" t="s">
        <v>2751</v>
      </c>
      <c r="O4321">
        <v>1</v>
      </c>
      <c r="R4321" t="s">
        <v>2752</v>
      </c>
      <c r="S4321">
        <v>158</v>
      </c>
      <c r="V4321" t="s">
        <v>2753</v>
      </c>
      <c r="W4321" t="s">
        <v>2754</v>
      </c>
      <c r="Z4321" t="s">
        <v>2755</v>
      </c>
      <c r="AA4321" t="s">
        <v>2756</v>
      </c>
    </row>
    <row r="4322" spans="1:27" x14ac:dyDescent="0.3">
      <c r="A4322" t="s">
        <v>4171</v>
      </c>
      <c r="B4322" t="s">
        <v>2733</v>
      </c>
      <c r="C4322" t="s">
        <v>16</v>
      </c>
      <c r="D4322" t="s">
        <v>228</v>
      </c>
      <c r="E4322" t="s">
        <v>37</v>
      </c>
    </row>
    <row r="4323" spans="1:27" x14ac:dyDescent="0.3">
      <c r="A4323" t="s">
        <v>4171</v>
      </c>
      <c r="B4323" t="s">
        <v>2733</v>
      </c>
      <c r="C4323" t="s">
        <v>11</v>
      </c>
      <c r="D4323" t="s">
        <v>12</v>
      </c>
      <c r="E4323" t="s">
        <v>13</v>
      </c>
      <c r="H4323" t="s">
        <v>382</v>
      </c>
      <c r="I4323" t="s">
        <v>4181</v>
      </c>
      <c r="L4323" t="s">
        <v>14</v>
      </c>
      <c r="M4323" t="s">
        <v>4181</v>
      </c>
    </row>
    <row r="4324" spans="1:27" x14ac:dyDescent="0.3">
      <c r="A4324" t="s">
        <v>4174</v>
      </c>
      <c r="B4324" t="s">
        <v>527</v>
      </c>
      <c r="C4324" t="s">
        <v>11</v>
      </c>
      <c r="D4324" t="s">
        <v>12</v>
      </c>
      <c r="E4324" t="s">
        <v>391</v>
      </c>
      <c r="H4324" t="s">
        <v>392</v>
      </c>
      <c r="I4324" t="s">
        <v>2758</v>
      </c>
      <c r="L4324" t="s">
        <v>394</v>
      </c>
      <c r="M4324" t="s">
        <v>4181</v>
      </c>
    </row>
    <row r="4325" spans="1:27" x14ac:dyDescent="0.3">
      <c r="A4325" t="s">
        <v>4173</v>
      </c>
      <c r="B4325" t="s">
        <v>2738</v>
      </c>
      <c r="C4325" t="s">
        <v>11</v>
      </c>
      <c r="D4325" t="s">
        <v>12</v>
      </c>
      <c r="E4325" t="s">
        <v>391</v>
      </c>
      <c r="H4325" t="s">
        <v>392</v>
      </c>
      <c r="I4325" t="s">
        <v>4182</v>
      </c>
      <c r="L4325" t="s">
        <v>394</v>
      </c>
      <c r="M4325" t="s">
        <v>4181</v>
      </c>
    </row>
    <row r="4326" spans="1:27" x14ac:dyDescent="0.3">
      <c r="A4326" t="s">
        <v>4172</v>
      </c>
      <c r="B4326" t="s">
        <v>2735</v>
      </c>
      <c r="C4326" t="s">
        <v>308</v>
      </c>
      <c r="D4326" t="s">
        <v>4183</v>
      </c>
      <c r="E4326" t="s">
        <v>406</v>
      </c>
      <c r="H4326" t="s">
        <v>25</v>
      </c>
      <c r="I4326" t="s">
        <v>2761</v>
      </c>
      <c r="L4326" t="s">
        <v>312</v>
      </c>
      <c r="M4326" t="s">
        <v>404</v>
      </c>
    </row>
    <row r="4327" spans="1:27" x14ac:dyDescent="0.3">
      <c r="A4327" t="s">
        <v>4183</v>
      </c>
      <c r="B4327" t="s">
        <v>406</v>
      </c>
      <c r="C4327" t="s">
        <v>11</v>
      </c>
      <c r="D4327" t="s">
        <v>12</v>
      </c>
      <c r="E4327" t="s">
        <v>391</v>
      </c>
      <c r="H4327" t="s">
        <v>392</v>
      </c>
      <c r="I4327" t="s">
        <v>4184</v>
      </c>
      <c r="L4327" t="s">
        <v>394</v>
      </c>
      <c r="M4327" t="s">
        <v>4181</v>
      </c>
    </row>
    <row r="4328" spans="1:27" x14ac:dyDescent="0.3">
      <c r="A4328" t="s">
        <v>4176</v>
      </c>
      <c r="B4328" t="s">
        <v>1138</v>
      </c>
      <c r="C4328" t="s">
        <v>11</v>
      </c>
      <c r="D4328" t="s">
        <v>12</v>
      </c>
      <c r="E4328" t="s">
        <v>391</v>
      </c>
      <c r="H4328" t="s">
        <v>392</v>
      </c>
      <c r="I4328" t="s">
        <v>4185</v>
      </c>
      <c r="L4328" t="s">
        <v>394</v>
      </c>
      <c r="M4328" t="s">
        <v>4181</v>
      </c>
    </row>
    <row r="4329" spans="1:27" x14ac:dyDescent="0.3">
      <c r="A4329" t="s">
        <v>4179</v>
      </c>
      <c r="B4329" t="s">
        <v>341</v>
      </c>
      <c r="C4329" t="s">
        <v>11</v>
      </c>
      <c r="D4329" t="s">
        <v>12</v>
      </c>
      <c r="E4329" t="s">
        <v>391</v>
      </c>
      <c r="H4329" t="s">
        <v>392</v>
      </c>
      <c r="I4329" t="s">
        <v>4186</v>
      </c>
      <c r="L4329" t="s">
        <v>394</v>
      </c>
      <c r="M4329" t="s">
        <v>4181</v>
      </c>
    </row>
    <row r="4330" spans="1:27" x14ac:dyDescent="0.3">
      <c r="A4330" t="s">
        <v>4177</v>
      </c>
      <c r="B4330" t="s">
        <v>1134</v>
      </c>
      <c r="C4330" t="s">
        <v>11</v>
      </c>
      <c r="D4330" t="s">
        <v>12</v>
      </c>
      <c r="E4330" t="s">
        <v>391</v>
      </c>
      <c r="H4330" t="s">
        <v>392</v>
      </c>
      <c r="I4330" t="s">
        <v>4187</v>
      </c>
      <c r="L4330" t="s">
        <v>394</v>
      </c>
      <c r="M4330" t="s">
        <v>4181</v>
      </c>
    </row>
    <row r="4331" spans="1:27" x14ac:dyDescent="0.3">
      <c r="A4331" t="s">
        <v>4178</v>
      </c>
      <c r="B4331" t="s">
        <v>1138</v>
      </c>
      <c r="C4331" t="s">
        <v>11</v>
      </c>
      <c r="D4331" t="s">
        <v>12</v>
      </c>
      <c r="E4331" t="s">
        <v>391</v>
      </c>
      <c r="H4331" t="s">
        <v>392</v>
      </c>
      <c r="I4331" t="s">
        <v>4188</v>
      </c>
      <c r="L4331" t="s">
        <v>394</v>
      </c>
      <c r="M4331" t="s">
        <v>4181</v>
      </c>
    </row>
    <row r="4332" spans="1:27" x14ac:dyDescent="0.3">
      <c r="A4332" t="s">
        <v>4175</v>
      </c>
      <c r="B4332" t="s">
        <v>2077</v>
      </c>
      <c r="C4332" t="s">
        <v>11</v>
      </c>
      <c r="D4332" t="s">
        <v>12</v>
      </c>
      <c r="E4332" t="s">
        <v>391</v>
      </c>
      <c r="H4332" t="s">
        <v>392</v>
      </c>
      <c r="I4332" t="s">
        <v>2128</v>
      </c>
      <c r="L4332" t="s">
        <v>394</v>
      </c>
      <c r="M4332" t="s">
        <v>4181</v>
      </c>
    </row>
    <row r="4333" spans="1:27" x14ac:dyDescent="0.3">
      <c r="A4333" t="s">
        <v>4189</v>
      </c>
      <c r="B4333" t="s">
        <v>2733</v>
      </c>
      <c r="C4333" t="s">
        <v>280</v>
      </c>
      <c r="D4333" t="s">
        <v>4190</v>
      </c>
      <c r="E4333" t="s">
        <v>2735</v>
      </c>
      <c r="H4333" t="s">
        <v>25</v>
      </c>
      <c r="I4333" t="s">
        <v>2736</v>
      </c>
    </row>
    <row r="4334" spans="1:27" x14ac:dyDescent="0.3">
      <c r="A4334" t="s">
        <v>4189</v>
      </c>
      <c r="B4334" t="s">
        <v>2733</v>
      </c>
      <c r="C4334" t="s">
        <v>308</v>
      </c>
      <c r="D4334" t="s">
        <v>4191</v>
      </c>
      <c r="E4334" t="s">
        <v>2738</v>
      </c>
      <c r="H4334" t="s">
        <v>25</v>
      </c>
      <c r="I4334" t="s">
        <v>2739</v>
      </c>
      <c r="L4334" t="s">
        <v>312</v>
      </c>
      <c r="M4334" t="s">
        <v>327</v>
      </c>
    </row>
    <row r="4335" spans="1:27" x14ac:dyDescent="0.3">
      <c r="A4335" t="s">
        <v>4189</v>
      </c>
      <c r="B4335" t="s">
        <v>2733</v>
      </c>
      <c r="C4335" t="s">
        <v>308</v>
      </c>
      <c r="D4335" t="s">
        <v>4192</v>
      </c>
      <c r="E4335" t="s">
        <v>527</v>
      </c>
      <c r="H4335" t="s">
        <v>25</v>
      </c>
      <c r="I4335" t="s">
        <v>2741</v>
      </c>
      <c r="L4335" t="s">
        <v>312</v>
      </c>
      <c r="M4335" t="s">
        <v>343</v>
      </c>
    </row>
    <row r="4336" spans="1:27" x14ac:dyDescent="0.3">
      <c r="A4336" t="s">
        <v>4189</v>
      </c>
      <c r="B4336" t="s">
        <v>2733</v>
      </c>
      <c r="C4336" t="s">
        <v>308</v>
      </c>
      <c r="D4336" t="s">
        <v>4193</v>
      </c>
      <c r="E4336" t="s">
        <v>2077</v>
      </c>
      <c r="H4336" t="s">
        <v>25</v>
      </c>
      <c r="I4336" t="s">
        <v>2078</v>
      </c>
      <c r="L4336" t="s">
        <v>312</v>
      </c>
      <c r="M4336" t="s">
        <v>1687</v>
      </c>
    </row>
    <row r="4337" spans="1:27" x14ac:dyDescent="0.3">
      <c r="A4337" t="s">
        <v>4189</v>
      </c>
      <c r="B4337" t="s">
        <v>2733</v>
      </c>
      <c r="C4337" t="s">
        <v>308</v>
      </c>
      <c r="D4337" t="s">
        <v>4194</v>
      </c>
      <c r="E4337" t="s">
        <v>1138</v>
      </c>
      <c r="H4337" t="s">
        <v>25</v>
      </c>
      <c r="I4337" t="s">
        <v>2065</v>
      </c>
      <c r="L4337" t="s">
        <v>312</v>
      </c>
      <c r="M4337" t="s">
        <v>317</v>
      </c>
    </row>
    <row r="4338" spans="1:27" x14ac:dyDescent="0.3">
      <c r="A4338" t="s">
        <v>4189</v>
      </c>
      <c r="B4338" t="s">
        <v>2733</v>
      </c>
      <c r="C4338" t="s">
        <v>308</v>
      </c>
      <c r="D4338" t="s">
        <v>4195</v>
      </c>
      <c r="E4338" t="s">
        <v>1134</v>
      </c>
      <c r="H4338" t="s">
        <v>25</v>
      </c>
      <c r="I4338" t="s">
        <v>2069</v>
      </c>
      <c r="L4338" t="s">
        <v>312</v>
      </c>
      <c r="M4338" t="s">
        <v>317</v>
      </c>
    </row>
    <row r="4339" spans="1:27" x14ac:dyDescent="0.3">
      <c r="A4339" t="s">
        <v>4189</v>
      </c>
      <c r="B4339" t="s">
        <v>2733</v>
      </c>
      <c r="C4339" t="s">
        <v>308</v>
      </c>
      <c r="D4339" t="s">
        <v>4196</v>
      </c>
      <c r="E4339" t="s">
        <v>1138</v>
      </c>
      <c r="H4339" t="s">
        <v>25</v>
      </c>
      <c r="I4339" t="s">
        <v>2746</v>
      </c>
      <c r="L4339" t="s">
        <v>312</v>
      </c>
      <c r="M4339" t="s">
        <v>317</v>
      </c>
    </row>
    <row r="4340" spans="1:27" x14ac:dyDescent="0.3">
      <c r="A4340" t="s">
        <v>4189</v>
      </c>
      <c r="B4340" t="s">
        <v>2733</v>
      </c>
      <c r="C4340" t="s">
        <v>308</v>
      </c>
      <c r="D4340" t="s">
        <v>4197</v>
      </c>
      <c r="E4340" t="s">
        <v>341</v>
      </c>
      <c r="H4340" t="s">
        <v>25</v>
      </c>
      <c r="I4340" t="s">
        <v>342</v>
      </c>
      <c r="L4340" t="s">
        <v>312</v>
      </c>
      <c r="M4340" t="s">
        <v>343</v>
      </c>
    </row>
    <row r="4341" spans="1:27" x14ac:dyDescent="0.3">
      <c r="A4341" t="s">
        <v>4189</v>
      </c>
      <c r="B4341" t="s">
        <v>2733</v>
      </c>
      <c r="C4341" t="s">
        <v>22</v>
      </c>
      <c r="D4341" t="s">
        <v>23</v>
      </c>
      <c r="E4341" t="s">
        <v>28</v>
      </c>
    </row>
    <row r="4342" spans="1:27" x14ac:dyDescent="0.3">
      <c r="A4342" t="s">
        <v>4189</v>
      </c>
      <c r="B4342" t="s">
        <v>2733</v>
      </c>
      <c r="C4342" t="s">
        <v>2748</v>
      </c>
      <c r="D4342">
        <v>1.5</v>
      </c>
      <c r="H4342" t="s">
        <v>312</v>
      </c>
      <c r="I4342" t="s">
        <v>385</v>
      </c>
    </row>
    <row r="4343" spans="1:27" x14ac:dyDescent="0.3">
      <c r="A4343" t="s">
        <v>4189</v>
      </c>
      <c r="B4343" t="s">
        <v>2733</v>
      </c>
      <c r="C4343" t="s">
        <v>378</v>
      </c>
      <c r="D4343">
        <v>140</v>
      </c>
      <c r="H4343" t="s">
        <v>312</v>
      </c>
      <c r="I4343" t="s">
        <v>327</v>
      </c>
    </row>
    <row r="4344" spans="1:27" x14ac:dyDescent="0.3">
      <c r="A4344" t="s">
        <v>4189</v>
      </c>
      <c r="B4344" t="s">
        <v>2733</v>
      </c>
      <c r="C4344" t="s">
        <v>380</v>
      </c>
      <c r="D4344" t="s">
        <v>798</v>
      </c>
      <c r="E4344" t="s">
        <v>279</v>
      </c>
      <c r="F4344" t="s">
        <v>25</v>
      </c>
      <c r="G4344" t="s">
        <v>4198</v>
      </c>
      <c r="J4344" t="s">
        <v>2089</v>
      </c>
      <c r="K4344" t="s">
        <v>2750</v>
      </c>
      <c r="N4344" t="s">
        <v>2751</v>
      </c>
      <c r="O4344">
        <v>1</v>
      </c>
      <c r="R4344" t="s">
        <v>2752</v>
      </c>
      <c r="S4344">
        <v>158</v>
      </c>
      <c r="V4344" t="s">
        <v>2753</v>
      </c>
      <c r="W4344" t="s">
        <v>2754</v>
      </c>
      <c r="Z4344" t="s">
        <v>2755</v>
      </c>
      <c r="AA4344" t="s">
        <v>2756</v>
      </c>
    </row>
    <row r="4345" spans="1:27" x14ac:dyDescent="0.3">
      <c r="A4345" t="s">
        <v>4189</v>
      </c>
      <c r="B4345" t="s">
        <v>2733</v>
      </c>
      <c r="C4345" t="s">
        <v>16</v>
      </c>
      <c r="D4345" t="s">
        <v>226</v>
      </c>
      <c r="E4345" t="s">
        <v>37</v>
      </c>
    </row>
    <row r="4346" spans="1:27" x14ac:dyDescent="0.3">
      <c r="A4346" t="s">
        <v>4189</v>
      </c>
      <c r="B4346" t="s">
        <v>2733</v>
      </c>
      <c r="C4346" t="s">
        <v>11</v>
      </c>
      <c r="D4346" t="s">
        <v>12</v>
      </c>
      <c r="E4346" t="s">
        <v>13</v>
      </c>
      <c r="H4346" t="s">
        <v>382</v>
      </c>
      <c r="I4346" t="s">
        <v>4199</v>
      </c>
      <c r="L4346" t="s">
        <v>14</v>
      </c>
      <c r="M4346" t="s">
        <v>4199</v>
      </c>
    </row>
    <row r="4347" spans="1:27" x14ac:dyDescent="0.3">
      <c r="A4347" t="s">
        <v>4192</v>
      </c>
      <c r="B4347" t="s">
        <v>527</v>
      </c>
      <c r="C4347" t="s">
        <v>11</v>
      </c>
      <c r="D4347" t="s">
        <v>12</v>
      </c>
      <c r="E4347" t="s">
        <v>391</v>
      </c>
      <c r="H4347" t="s">
        <v>392</v>
      </c>
      <c r="I4347" t="s">
        <v>2758</v>
      </c>
      <c r="L4347" t="s">
        <v>394</v>
      </c>
      <c r="M4347" t="s">
        <v>4199</v>
      </c>
    </row>
    <row r="4348" spans="1:27" x14ac:dyDescent="0.3">
      <c r="A4348" t="s">
        <v>4191</v>
      </c>
      <c r="B4348" t="s">
        <v>2738</v>
      </c>
      <c r="C4348" t="s">
        <v>11</v>
      </c>
      <c r="D4348" t="s">
        <v>12</v>
      </c>
      <c r="E4348" t="s">
        <v>391</v>
      </c>
      <c r="H4348" t="s">
        <v>392</v>
      </c>
      <c r="I4348" t="s">
        <v>4200</v>
      </c>
      <c r="L4348" t="s">
        <v>394</v>
      </c>
      <c r="M4348" t="s">
        <v>4199</v>
      </c>
    </row>
    <row r="4349" spans="1:27" x14ac:dyDescent="0.3">
      <c r="A4349" t="s">
        <v>4190</v>
      </c>
      <c r="B4349" t="s">
        <v>2735</v>
      </c>
      <c r="C4349" t="s">
        <v>308</v>
      </c>
      <c r="D4349" t="s">
        <v>4201</v>
      </c>
      <c r="E4349" t="s">
        <v>406</v>
      </c>
      <c r="H4349" t="s">
        <v>25</v>
      </c>
      <c r="I4349" t="s">
        <v>2761</v>
      </c>
      <c r="L4349" t="s">
        <v>312</v>
      </c>
      <c r="M4349" t="s">
        <v>404</v>
      </c>
    </row>
    <row r="4350" spans="1:27" x14ac:dyDescent="0.3">
      <c r="A4350" t="s">
        <v>4201</v>
      </c>
      <c r="B4350" t="s">
        <v>406</v>
      </c>
      <c r="C4350" t="s">
        <v>11</v>
      </c>
      <c r="D4350" t="s">
        <v>12</v>
      </c>
      <c r="E4350" t="s">
        <v>391</v>
      </c>
      <c r="H4350" t="s">
        <v>392</v>
      </c>
      <c r="I4350" t="s">
        <v>4202</v>
      </c>
      <c r="L4350" t="s">
        <v>394</v>
      </c>
      <c r="M4350" t="s">
        <v>4199</v>
      </c>
    </row>
    <row r="4351" spans="1:27" x14ac:dyDescent="0.3">
      <c r="A4351" t="s">
        <v>4194</v>
      </c>
      <c r="B4351" t="s">
        <v>1138</v>
      </c>
      <c r="C4351" t="s">
        <v>11</v>
      </c>
      <c r="D4351" t="s">
        <v>12</v>
      </c>
      <c r="E4351" t="s">
        <v>391</v>
      </c>
      <c r="H4351" t="s">
        <v>392</v>
      </c>
      <c r="I4351" t="s">
        <v>4203</v>
      </c>
      <c r="L4351" t="s">
        <v>394</v>
      </c>
      <c r="M4351" t="s">
        <v>4199</v>
      </c>
    </row>
    <row r="4352" spans="1:27" x14ac:dyDescent="0.3">
      <c r="A4352" t="s">
        <v>4197</v>
      </c>
      <c r="B4352" t="s">
        <v>341</v>
      </c>
      <c r="C4352" t="s">
        <v>11</v>
      </c>
      <c r="D4352" t="s">
        <v>12</v>
      </c>
      <c r="E4352" t="s">
        <v>391</v>
      </c>
      <c r="H4352" t="s">
        <v>392</v>
      </c>
      <c r="I4352" t="s">
        <v>4204</v>
      </c>
      <c r="L4352" t="s">
        <v>394</v>
      </c>
      <c r="M4352" t="s">
        <v>4199</v>
      </c>
    </row>
    <row r="4353" spans="1:27" x14ac:dyDescent="0.3">
      <c r="A4353" t="s">
        <v>4195</v>
      </c>
      <c r="B4353" t="s">
        <v>1134</v>
      </c>
      <c r="C4353" t="s">
        <v>11</v>
      </c>
      <c r="D4353" t="s">
        <v>12</v>
      </c>
      <c r="E4353" t="s">
        <v>391</v>
      </c>
      <c r="H4353" t="s">
        <v>392</v>
      </c>
      <c r="I4353" t="s">
        <v>4205</v>
      </c>
      <c r="L4353" t="s">
        <v>394</v>
      </c>
      <c r="M4353" t="s">
        <v>4199</v>
      </c>
    </row>
    <row r="4354" spans="1:27" x14ac:dyDescent="0.3">
      <c r="A4354" t="s">
        <v>4196</v>
      </c>
      <c r="B4354" t="s">
        <v>1138</v>
      </c>
      <c r="C4354" t="s">
        <v>11</v>
      </c>
      <c r="D4354" t="s">
        <v>12</v>
      </c>
      <c r="E4354" t="s">
        <v>391</v>
      </c>
      <c r="H4354" t="s">
        <v>392</v>
      </c>
      <c r="I4354" t="s">
        <v>4206</v>
      </c>
      <c r="L4354" t="s">
        <v>394</v>
      </c>
      <c r="M4354" t="s">
        <v>4199</v>
      </c>
    </row>
    <row r="4355" spans="1:27" x14ac:dyDescent="0.3">
      <c r="A4355" t="s">
        <v>4193</v>
      </c>
      <c r="B4355" t="s">
        <v>2077</v>
      </c>
      <c r="C4355" t="s">
        <v>11</v>
      </c>
      <c r="D4355" t="s">
        <v>12</v>
      </c>
      <c r="E4355" t="s">
        <v>391</v>
      </c>
      <c r="H4355" t="s">
        <v>392</v>
      </c>
      <c r="I4355" t="s">
        <v>2128</v>
      </c>
      <c r="L4355" t="s">
        <v>394</v>
      </c>
      <c r="M4355" t="s">
        <v>4199</v>
      </c>
    </row>
    <row r="4356" spans="1:27" x14ac:dyDescent="0.3">
      <c r="A4356" t="s">
        <v>4207</v>
      </c>
      <c r="B4356" t="s">
        <v>2733</v>
      </c>
      <c r="C4356" t="s">
        <v>280</v>
      </c>
      <c r="D4356" t="s">
        <v>4208</v>
      </c>
      <c r="E4356" t="s">
        <v>2735</v>
      </c>
      <c r="H4356" t="s">
        <v>25</v>
      </c>
      <c r="I4356" t="s">
        <v>2736</v>
      </c>
    </row>
    <row r="4357" spans="1:27" x14ac:dyDescent="0.3">
      <c r="A4357" t="s">
        <v>4207</v>
      </c>
      <c r="B4357" t="s">
        <v>2733</v>
      </c>
      <c r="C4357" t="s">
        <v>308</v>
      </c>
      <c r="D4357" t="s">
        <v>4209</v>
      </c>
      <c r="E4357" t="s">
        <v>2738</v>
      </c>
      <c r="H4357" t="s">
        <v>25</v>
      </c>
      <c r="I4357" t="s">
        <v>2739</v>
      </c>
      <c r="L4357" t="s">
        <v>312</v>
      </c>
      <c r="M4357" t="s">
        <v>327</v>
      </c>
    </row>
    <row r="4358" spans="1:27" x14ac:dyDescent="0.3">
      <c r="A4358" t="s">
        <v>4207</v>
      </c>
      <c r="B4358" t="s">
        <v>2733</v>
      </c>
      <c r="C4358" t="s">
        <v>308</v>
      </c>
      <c r="D4358" t="s">
        <v>4210</v>
      </c>
      <c r="E4358" t="s">
        <v>527</v>
      </c>
      <c r="H4358" t="s">
        <v>25</v>
      </c>
      <c r="I4358" t="s">
        <v>2741</v>
      </c>
      <c r="L4358" t="s">
        <v>312</v>
      </c>
      <c r="M4358" t="s">
        <v>343</v>
      </c>
    </row>
    <row r="4359" spans="1:27" x14ac:dyDescent="0.3">
      <c r="A4359" t="s">
        <v>4207</v>
      </c>
      <c r="B4359" t="s">
        <v>2733</v>
      </c>
      <c r="C4359" t="s">
        <v>308</v>
      </c>
      <c r="D4359" t="s">
        <v>4211</v>
      </c>
      <c r="E4359" t="s">
        <v>2077</v>
      </c>
      <c r="H4359" t="s">
        <v>25</v>
      </c>
      <c r="I4359" t="s">
        <v>2078</v>
      </c>
      <c r="L4359" t="s">
        <v>312</v>
      </c>
      <c r="M4359" t="s">
        <v>1687</v>
      </c>
    </row>
    <row r="4360" spans="1:27" x14ac:dyDescent="0.3">
      <c r="A4360" t="s">
        <v>4207</v>
      </c>
      <c r="B4360" t="s">
        <v>2733</v>
      </c>
      <c r="C4360" t="s">
        <v>308</v>
      </c>
      <c r="D4360" t="s">
        <v>4212</v>
      </c>
      <c r="E4360" t="s">
        <v>1138</v>
      </c>
      <c r="H4360" t="s">
        <v>25</v>
      </c>
      <c r="I4360" t="s">
        <v>2065</v>
      </c>
      <c r="L4360" t="s">
        <v>312</v>
      </c>
      <c r="M4360" t="s">
        <v>317</v>
      </c>
    </row>
    <row r="4361" spans="1:27" x14ac:dyDescent="0.3">
      <c r="A4361" t="s">
        <v>4207</v>
      </c>
      <c r="B4361" t="s">
        <v>2733</v>
      </c>
      <c r="C4361" t="s">
        <v>308</v>
      </c>
      <c r="D4361" t="s">
        <v>4213</v>
      </c>
      <c r="E4361" t="s">
        <v>1134</v>
      </c>
      <c r="H4361" t="s">
        <v>25</v>
      </c>
      <c r="I4361" t="s">
        <v>2069</v>
      </c>
      <c r="L4361" t="s">
        <v>312</v>
      </c>
      <c r="M4361" t="s">
        <v>317</v>
      </c>
    </row>
    <row r="4362" spans="1:27" x14ac:dyDescent="0.3">
      <c r="A4362" t="s">
        <v>4207</v>
      </c>
      <c r="B4362" t="s">
        <v>2733</v>
      </c>
      <c r="C4362" t="s">
        <v>308</v>
      </c>
      <c r="D4362" t="s">
        <v>4214</v>
      </c>
      <c r="E4362" t="s">
        <v>1138</v>
      </c>
      <c r="H4362" t="s">
        <v>25</v>
      </c>
      <c r="I4362" t="s">
        <v>2746</v>
      </c>
      <c r="L4362" t="s">
        <v>312</v>
      </c>
      <c r="M4362" t="s">
        <v>317</v>
      </c>
    </row>
    <row r="4363" spans="1:27" x14ac:dyDescent="0.3">
      <c r="A4363" t="s">
        <v>4207</v>
      </c>
      <c r="B4363" t="s">
        <v>2733</v>
      </c>
      <c r="C4363" t="s">
        <v>308</v>
      </c>
      <c r="D4363" t="s">
        <v>4215</v>
      </c>
      <c r="E4363" t="s">
        <v>341</v>
      </c>
      <c r="H4363" t="s">
        <v>25</v>
      </c>
      <c r="I4363" t="s">
        <v>342</v>
      </c>
      <c r="L4363" t="s">
        <v>312</v>
      </c>
      <c r="M4363" t="s">
        <v>343</v>
      </c>
    </row>
    <row r="4364" spans="1:27" x14ac:dyDescent="0.3">
      <c r="A4364" t="s">
        <v>4207</v>
      </c>
      <c r="B4364" t="s">
        <v>2733</v>
      </c>
      <c r="C4364" t="s">
        <v>22</v>
      </c>
      <c r="D4364" t="s">
        <v>23</v>
      </c>
      <c r="E4364" t="s">
        <v>28</v>
      </c>
    </row>
    <row r="4365" spans="1:27" x14ac:dyDescent="0.3">
      <c r="A4365" t="s">
        <v>4207</v>
      </c>
      <c r="B4365" t="s">
        <v>2733</v>
      </c>
      <c r="C4365" t="s">
        <v>2748</v>
      </c>
      <c r="D4365">
        <v>1.5</v>
      </c>
      <c r="H4365" t="s">
        <v>312</v>
      </c>
      <c r="I4365" t="s">
        <v>385</v>
      </c>
    </row>
    <row r="4366" spans="1:27" x14ac:dyDescent="0.3">
      <c r="A4366" t="s">
        <v>4207</v>
      </c>
      <c r="B4366" t="s">
        <v>2733</v>
      </c>
      <c r="C4366" t="s">
        <v>378</v>
      </c>
      <c r="D4366">
        <v>110</v>
      </c>
      <c r="H4366" t="s">
        <v>312</v>
      </c>
      <c r="I4366" t="s">
        <v>327</v>
      </c>
    </row>
    <row r="4367" spans="1:27" x14ac:dyDescent="0.3">
      <c r="A4367" t="s">
        <v>4207</v>
      </c>
      <c r="B4367" t="s">
        <v>2733</v>
      </c>
      <c r="C4367" t="s">
        <v>380</v>
      </c>
      <c r="D4367" t="s">
        <v>798</v>
      </c>
      <c r="E4367" t="s">
        <v>279</v>
      </c>
      <c r="F4367" t="s">
        <v>25</v>
      </c>
      <c r="G4367" t="s">
        <v>4216</v>
      </c>
      <c r="J4367" t="s">
        <v>2089</v>
      </c>
      <c r="K4367" t="s">
        <v>2750</v>
      </c>
      <c r="N4367" t="s">
        <v>2751</v>
      </c>
      <c r="O4367">
        <v>1</v>
      </c>
      <c r="R4367" t="s">
        <v>2752</v>
      </c>
      <c r="S4367">
        <v>158</v>
      </c>
      <c r="V4367" t="s">
        <v>2753</v>
      </c>
      <c r="W4367" t="s">
        <v>2754</v>
      </c>
      <c r="Z4367" t="s">
        <v>2755</v>
      </c>
      <c r="AA4367" t="s">
        <v>2756</v>
      </c>
    </row>
    <row r="4368" spans="1:27" x14ac:dyDescent="0.3">
      <c r="A4368" t="s">
        <v>4207</v>
      </c>
      <c r="B4368" t="s">
        <v>2733</v>
      </c>
      <c r="C4368" t="s">
        <v>16</v>
      </c>
      <c r="D4368" t="s">
        <v>224</v>
      </c>
      <c r="E4368" t="s">
        <v>37</v>
      </c>
    </row>
    <row r="4369" spans="1:13" x14ac:dyDescent="0.3">
      <c r="A4369" t="s">
        <v>4207</v>
      </c>
      <c r="B4369" t="s">
        <v>2733</v>
      </c>
      <c r="C4369" t="s">
        <v>11</v>
      </c>
      <c r="D4369" t="s">
        <v>12</v>
      </c>
      <c r="E4369" t="s">
        <v>13</v>
      </c>
      <c r="H4369" t="s">
        <v>382</v>
      </c>
      <c r="I4369" t="s">
        <v>4217</v>
      </c>
      <c r="L4369" t="s">
        <v>14</v>
      </c>
      <c r="M4369" t="s">
        <v>4217</v>
      </c>
    </row>
    <row r="4370" spans="1:13" x14ac:dyDescent="0.3">
      <c r="A4370" t="s">
        <v>4210</v>
      </c>
      <c r="B4370" t="s">
        <v>527</v>
      </c>
      <c r="C4370" t="s">
        <v>11</v>
      </c>
      <c r="D4370" t="s">
        <v>12</v>
      </c>
      <c r="E4370" t="s">
        <v>391</v>
      </c>
      <c r="H4370" t="s">
        <v>392</v>
      </c>
      <c r="I4370" t="s">
        <v>2758</v>
      </c>
      <c r="L4370" t="s">
        <v>394</v>
      </c>
      <c r="M4370" t="s">
        <v>4217</v>
      </c>
    </row>
    <row r="4371" spans="1:13" x14ac:dyDescent="0.3">
      <c r="A4371" t="s">
        <v>4209</v>
      </c>
      <c r="B4371" t="s">
        <v>2738</v>
      </c>
      <c r="C4371" t="s">
        <v>11</v>
      </c>
      <c r="D4371" t="s">
        <v>12</v>
      </c>
      <c r="E4371" t="s">
        <v>391</v>
      </c>
      <c r="H4371" t="s">
        <v>392</v>
      </c>
      <c r="I4371" t="s">
        <v>4218</v>
      </c>
      <c r="L4371" t="s">
        <v>394</v>
      </c>
      <c r="M4371" t="s">
        <v>4217</v>
      </c>
    </row>
    <row r="4372" spans="1:13" x14ac:dyDescent="0.3">
      <c r="A4372" t="s">
        <v>4208</v>
      </c>
      <c r="B4372" t="s">
        <v>2735</v>
      </c>
      <c r="C4372" t="s">
        <v>308</v>
      </c>
      <c r="D4372" t="s">
        <v>4219</v>
      </c>
      <c r="E4372" t="s">
        <v>406</v>
      </c>
      <c r="H4372" t="s">
        <v>25</v>
      </c>
      <c r="I4372" t="s">
        <v>2761</v>
      </c>
      <c r="L4372" t="s">
        <v>312</v>
      </c>
      <c r="M4372" t="s">
        <v>404</v>
      </c>
    </row>
    <row r="4373" spans="1:13" x14ac:dyDescent="0.3">
      <c r="A4373" t="s">
        <v>4219</v>
      </c>
      <c r="B4373" t="s">
        <v>406</v>
      </c>
      <c r="C4373" t="s">
        <v>11</v>
      </c>
      <c r="D4373" t="s">
        <v>12</v>
      </c>
      <c r="E4373" t="s">
        <v>391</v>
      </c>
      <c r="H4373" t="s">
        <v>392</v>
      </c>
      <c r="I4373" t="s">
        <v>4220</v>
      </c>
      <c r="L4373" t="s">
        <v>394</v>
      </c>
      <c r="M4373" t="s">
        <v>4217</v>
      </c>
    </row>
    <row r="4374" spans="1:13" x14ac:dyDescent="0.3">
      <c r="A4374" t="s">
        <v>4212</v>
      </c>
      <c r="B4374" t="s">
        <v>1138</v>
      </c>
      <c r="C4374" t="s">
        <v>11</v>
      </c>
      <c r="D4374" t="s">
        <v>12</v>
      </c>
      <c r="E4374" t="s">
        <v>391</v>
      </c>
      <c r="H4374" t="s">
        <v>392</v>
      </c>
      <c r="I4374" t="s">
        <v>4221</v>
      </c>
      <c r="L4374" t="s">
        <v>394</v>
      </c>
      <c r="M4374" t="s">
        <v>4217</v>
      </c>
    </row>
    <row r="4375" spans="1:13" x14ac:dyDescent="0.3">
      <c r="A4375" t="s">
        <v>4215</v>
      </c>
      <c r="B4375" t="s">
        <v>341</v>
      </c>
      <c r="C4375" t="s">
        <v>11</v>
      </c>
      <c r="D4375" t="s">
        <v>12</v>
      </c>
      <c r="E4375" t="s">
        <v>391</v>
      </c>
      <c r="H4375" t="s">
        <v>392</v>
      </c>
      <c r="I4375" t="s">
        <v>4222</v>
      </c>
      <c r="L4375" t="s">
        <v>394</v>
      </c>
      <c r="M4375" t="s">
        <v>4217</v>
      </c>
    </row>
    <row r="4376" spans="1:13" x14ac:dyDescent="0.3">
      <c r="A4376" t="s">
        <v>4213</v>
      </c>
      <c r="B4376" t="s">
        <v>1134</v>
      </c>
      <c r="C4376" t="s">
        <v>11</v>
      </c>
      <c r="D4376" t="s">
        <v>12</v>
      </c>
      <c r="E4376" t="s">
        <v>391</v>
      </c>
      <c r="H4376" t="s">
        <v>392</v>
      </c>
      <c r="I4376" t="s">
        <v>4223</v>
      </c>
      <c r="L4376" t="s">
        <v>394</v>
      </c>
      <c r="M4376" t="s">
        <v>4217</v>
      </c>
    </row>
    <row r="4377" spans="1:13" x14ac:dyDescent="0.3">
      <c r="A4377" t="s">
        <v>4214</v>
      </c>
      <c r="B4377" t="s">
        <v>1138</v>
      </c>
      <c r="C4377" t="s">
        <v>11</v>
      </c>
      <c r="D4377" t="s">
        <v>12</v>
      </c>
      <c r="E4377" t="s">
        <v>391</v>
      </c>
      <c r="H4377" t="s">
        <v>392</v>
      </c>
      <c r="I4377" t="s">
        <v>4224</v>
      </c>
      <c r="L4377" t="s">
        <v>394</v>
      </c>
      <c r="M4377" t="s">
        <v>4217</v>
      </c>
    </row>
    <row r="4378" spans="1:13" x14ac:dyDescent="0.3">
      <c r="A4378" t="s">
        <v>4211</v>
      </c>
      <c r="B4378" t="s">
        <v>2077</v>
      </c>
      <c r="C4378" t="s">
        <v>11</v>
      </c>
      <c r="D4378" t="s">
        <v>12</v>
      </c>
      <c r="E4378" t="s">
        <v>391</v>
      </c>
      <c r="H4378" t="s">
        <v>392</v>
      </c>
      <c r="I4378" t="s">
        <v>2128</v>
      </c>
      <c r="L4378" t="s">
        <v>394</v>
      </c>
      <c r="M4378" t="s">
        <v>4217</v>
      </c>
    </row>
    <row r="4379" spans="1:13" x14ac:dyDescent="0.3">
      <c r="A4379" t="s">
        <v>4225</v>
      </c>
      <c r="B4379" t="s">
        <v>2733</v>
      </c>
      <c r="C4379" t="s">
        <v>280</v>
      </c>
      <c r="D4379" t="s">
        <v>4226</v>
      </c>
      <c r="E4379" t="s">
        <v>2735</v>
      </c>
      <c r="H4379" t="s">
        <v>25</v>
      </c>
      <c r="I4379" t="s">
        <v>2736</v>
      </c>
    </row>
    <row r="4380" spans="1:13" x14ac:dyDescent="0.3">
      <c r="A4380" t="s">
        <v>4225</v>
      </c>
      <c r="B4380" t="s">
        <v>2733</v>
      </c>
      <c r="C4380" t="s">
        <v>308</v>
      </c>
      <c r="D4380" t="s">
        <v>4227</v>
      </c>
      <c r="E4380" t="s">
        <v>2738</v>
      </c>
      <c r="H4380" t="s">
        <v>25</v>
      </c>
      <c r="I4380" t="s">
        <v>2739</v>
      </c>
      <c r="L4380" t="s">
        <v>312</v>
      </c>
      <c r="M4380" t="s">
        <v>327</v>
      </c>
    </row>
    <row r="4381" spans="1:13" x14ac:dyDescent="0.3">
      <c r="A4381" t="s">
        <v>4225</v>
      </c>
      <c r="B4381" t="s">
        <v>2733</v>
      </c>
      <c r="C4381" t="s">
        <v>308</v>
      </c>
      <c r="D4381" t="s">
        <v>4228</v>
      </c>
      <c r="E4381" t="s">
        <v>527</v>
      </c>
      <c r="H4381" t="s">
        <v>25</v>
      </c>
      <c r="I4381" t="s">
        <v>2741</v>
      </c>
      <c r="L4381" t="s">
        <v>312</v>
      </c>
      <c r="M4381" t="s">
        <v>343</v>
      </c>
    </row>
    <row r="4382" spans="1:13" x14ac:dyDescent="0.3">
      <c r="A4382" t="s">
        <v>4225</v>
      </c>
      <c r="B4382" t="s">
        <v>2733</v>
      </c>
      <c r="C4382" t="s">
        <v>308</v>
      </c>
      <c r="D4382" t="s">
        <v>4229</v>
      </c>
      <c r="E4382" t="s">
        <v>2077</v>
      </c>
      <c r="H4382" t="s">
        <v>25</v>
      </c>
      <c r="I4382" t="s">
        <v>2078</v>
      </c>
      <c r="L4382" t="s">
        <v>312</v>
      </c>
      <c r="M4382" t="s">
        <v>1687</v>
      </c>
    </row>
    <row r="4383" spans="1:13" x14ac:dyDescent="0.3">
      <c r="A4383" t="s">
        <v>4225</v>
      </c>
      <c r="B4383" t="s">
        <v>2733</v>
      </c>
      <c r="C4383" t="s">
        <v>308</v>
      </c>
      <c r="D4383" t="s">
        <v>4230</v>
      </c>
      <c r="E4383" t="s">
        <v>1138</v>
      </c>
      <c r="H4383" t="s">
        <v>25</v>
      </c>
      <c r="I4383" t="s">
        <v>2065</v>
      </c>
      <c r="L4383" t="s">
        <v>312</v>
      </c>
      <c r="M4383" t="s">
        <v>317</v>
      </c>
    </row>
    <row r="4384" spans="1:13" x14ac:dyDescent="0.3">
      <c r="A4384" t="s">
        <v>4225</v>
      </c>
      <c r="B4384" t="s">
        <v>2733</v>
      </c>
      <c r="C4384" t="s">
        <v>308</v>
      </c>
      <c r="D4384" t="s">
        <v>4231</v>
      </c>
      <c r="E4384" t="s">
        <v>1134</v>
      </c>
      <c r="H4384" t="s">
        <v>25</v>
      </c>
      <c r="I4384" t="s">
        <v>2069</v>
      </c>
      <c r="L4384" t="s">
        <v>312</v>
      </c>
      <c r="M4384" t="s">
        <v>317</v>
      </c>
    </row>
    <row r="4385" spans="1:27" x14ac:dyDescent="0.3">
      <c r="A4385" t="s">
        <v>4225</v>
      </c>
      <c r="B4385" t="s">
        <v>2733</v>
      </c>
      <c r="C4385" t="s">
        <v>308</v>
      </c>
      <c r="D4385" t="s">
        <v>4232</v>
      </c>
      <c r="E4385" t="s">
        <v>1138</v>
      </c>
      <c r="H4385" t="s">
        <v>25</v>
      </c>
      <c r="I4385" t="s">
        <v>2746</v>
      </c>
      <c r="L4385" t="s">
        <v>312</v>
      </c>
      <c r="M4385" t="s">
        <v>317</v>
      </c>
    </row>
    <row r="4386" spans="1:27" x14ac:dyDescent="0.3">
      <c r="A4386" t="s">
        <v>4225</v>
      </c>
      <c r="B4386" t="s">
        <v>2733</v>
      </c>
      <c r="C4386" t="s">
        <v>308</v>
      </c>
      <c r="D4386" t="s">
        <v>4233</v>
      </c>
      <c r="E4386" t="s">
        <v>341</v>
      </c>
      <c r="H4386" t="s">
        <v>25</v>
      </c>
      <c r="I4386" t="s">
        <v>342</v>
      </c>
      <c r="L4386" t="s">
        <v>312</v>
      </c>
      <c r="M4386" t="s">
        <v>343</v>
      </c>
    </row>
    <row r="4387" spans="1:27" x14ac:dyDescent="0.3">
      <c r="A4387" t="s">
        <v>4225</v>
      </c>
      <c r="B4387" t="s">
        <v>2733</v>
      </c>
      <c r="C4387" t="s">
        <v>22</v>
      </c>
      <c r="D4387" t="s">
        <v>23</v>
      </c>
      <c r="E4387" t="s">
        <v>28</v>
      </c>
    </row>
    <row r="4388" spans="1:27" x14ac:dyDescent="0.3">
      <c r="A4388" t="s">
        <v>4225</v>
      </c>
      <c r="B4388" t="s">
        <v>2733</v>
      </c>
      <c r="C4388" t="s">
        <v>2748</v>
      </c>
      <c r="D4388">
        <v>2</v>
      </c>
      <c r="H4388" t="s">
        <v>312</v>
      </c>
      <c r="I4388" t="s">
        <v>385</v>
      </c>
    </row>
    <row r="4389" spans="1:27" x14ac:dyDescent="0.3">
      <c r="A4389" t="s">
        <v>4225</v>
      </c>
      <c r="B4389" t="s">
        <v>2733</v>
      </c>
      <c r="C4389" t="s">
        <v>378</v>
      </c>
      <c r="D4389">
        <v>140</v>
      </c>
      <c r="H4389" t="s">
        <v>312</v>
      </c>
      <c r="I4389" t="s">
        <v>327</v>
      </c>
    </row>
    <row r="4390" spans="1:27" x14ac:dyDescent="0.3">
      <c r="A4390" t="s">
        <v>4225</v>
      </c>
      <c r="B4390" t="s">
        <v>2733</v>
      </c>
      <c r="C4390" t="s">
        <v>380</v>
      </c>
      <c r="D4390" t="s">
        <v>798</v>
      </c>
      <c r="E4390" t="s">
        <v>279</v>
      </c>
      <c r="F4390" t="s">
        <v>25</v>
      </c>
      <c r="G4390" t="s">
        <v>4234</v>
      </c>
      <c r="J4390" t="s">
        <v>2089</v>
      </c>
      <c r="K4390" t="s">
        <v>2750</v>
      </c>
      <c r="N4390" t="s">
        <v>2751</v>
      </c>
      <c r="O4390">
        <v>4</v>
      </c>
      <c r="R4390" t="s">
        <v>2752</v>
      </c>
      <c r="S4390">
        <v>248</v>
      </c>
      <c r="V4390" t="s">
        <v>2753</v>
      </c>
      <c r="W4390" t="s">
        <v>2754</v>
      </c>
      <c r="Z4390" t="s">
        <v>2755</v>
      </c>
      <c r="AA4390" t="s">
        <v>2756</v>
      </c>
    </row>
    <row r="4391" spans="1:27" x14ac:dyDescent="0.3">
      <c r="A4391" t="s">
        <v>4225</v>
      </c>
      <c r="B4391" t="s">
        <v>2733</v>
      </c>
      <c r="C4391" t="s">
        <v>16</v>
      </c>
      <c r="D4391" t="s">
        <v>222</v>
      </c>
      <c r="E4391" t="s">
        <v>37</v>
      </c>
    </row>
    <row r="4392" spans="1:27" x14ac:dyDescent="0.3">
      <c r="A4392" t="s">
        <v>4225</v>
      </c>
      <c r="B4392" t="s">
        <v>2733</v>
      </c>
      <c r="C4392" t="s">
        <v>11</v>
      </c>
      <c r="D4392" t="s">
        <v>12</v>
      </c>
      <c r="E4392" t="s">
        <v>13</v>
      </c>
      <c r="H4392" t="s">
        <v>382</v>
      </c>
      <c r="I4392" t="s">
        <v>4235</v>
      </c>
      <c r="L4392" t="s">
        <v>14</v>
      </c>
      <c r="M4392" t="s">
        <v>4235</v>
      </c>
    </row>
    <row r="4393" spans="1:27" x14ac:dyDescent="0.3">
      <c r="A4393" t="s">
        <v>4228</v>
      </c>
      <c r="B4393" t="s">
        <v>527</v>
      </c>
      <c r="C4393" t="s">
        <v>11</v>
      </c>
      <c r="D4393" t="s">
        <v>12</v>
      </c>
      <c r="E4393" t="s">
        <v>391</v>
      </c>
      <c r="H4393" t="s">
        <v>392</v>
      </c>
      <c r="I4393" t="s">
        <v>2758</v>
      </c>
      <c r="L4393" t="s">
        <v>394</v>
      </c>
      <c r="M4393" t="s">
        <v>4235</v>
      </c>
    </row>
    <row r="4394" spans="1:27" x14ac:dyDescent="0.3">
      <c r="A4394" t="s">
        <v>4227</v>
      </c>
      <c r="B4394" t="s">
        <v>2738</v>
      </c>
      <c r="C4394" t="s">
        <v>11</v>
      </c>
      <c r="D4394" t="s">
        <v>12</v>
      </c>
      <c r="E4394" t="s">
        <v>391</v>
      </c>
      <c r="H4394" t="s">
        <v>392</v>
      </c>
      <c r="I4394" t="s">
        <v>4236</v>
      </c>
      <c r="L4394" t="s">
        <v>394</v>
      </c>
      <c r="M4394" t="s">
        <v>4235</v>
      </c>
    </row>
    <row r="4395" spans="1:27" x14ac:dyDescent="0.3">
      <c r="A4395" t="s">
        <v>4226</v>
      </c>
      <c r="B4395" t="s">
        <v>2735</v>
      </c>
      <c r="C4395" t="s">
        <v>308</v>
      </c>
      <c r="D4395" t="s">
        <v>4237</v>
      </c>
      <c r="E4395" t="s">
        <v>406</v>
      </c>
      <c r="H4395" t="s">
        <v>25</v>
      </c>
      <c r="I4395" t="s">
        <v>2761</v>
      </c>
      <c r="L4395" t="s">
        <v>312</v>
      </c>
      <c r="M4395" t="s">
        <v>404</v>
      </c>
    </row>
    <row r="4396" spans="1:27" x14ac:dyDescent="0.3">
      <c r="A4396" t="s">
        <v>4237</v>
      </c>
      <c r="B4396" t="s">
        <v>406</v>
      </c>
      <c r="C4396" t="s">
        <v>11</v>
      </c>
      <c r="D4396" t="s">
        <v>12</v>
      </c>
      <c r="E4396" t="s">
        <v>391</v>
      </c>
      <c r="H4396" t="s">
        <v>392</v>
      </c>
      <c r="I4396" t="s">
        <v>4238</v>
      </c>
      <c r="L4396" t="s">
        <v>394</v>
      </c>
      <c r="M4396" t="s">
        <v>4235</v>
      </c>
    </row>
    <row r="4397" spans="1:27" x14ac:dyDescent="0.3">
      <c r="A4397" t="s">
        <v>4230</v>
      </c>
      <c r="B4397" t="s">
        <v>1138</v>
      </c>
      <c r="C4397" t="s">
        <v>11</v>
      </c>
      <c r="D4397" t="s">
        <v>12</v>
      </c>
      <c r="E4397" t="s">
        <v>391</v>
      </c>
      <c r="H4397" t="s">
        <v>392</v>
      </c>
      <c r="I4397" t="s">
        <v>4239</v>
      </c>
      <c r="L4397" t="s">
        <v>394</v>
      </c>
      <c r="M4397" t="s">
        <v>4235</v>
      </c>
    </row>
    <row r="4398" spans="1:27" x14ac:dyDescent="0.3">
      <c r="A4398" t="s">
        <v>4233</v>
      </c>
      <c r="B4398" t="s">
        <v>341</v>
      </c>
      <c r="C4398" t="s">
        <v>11</v>
      </c>
      <c r="D4398" t="s">
        <v>12</v>
      </c>
      <c r="E4398" t="s">
        <v>391</v>
      </c>
      <c r="H4398" t="s">
        <v>392</v>
      </c>
      <c r="I4398" t="s">
        <v>4240</v>
      </c>
      <c r="L4398" t="s">
        <v>394</v>
      </c>
      <c r="M4398" t="s">
        <v>4235</v>
      </c>
    </row>
    <row r="4399" spans="1:27" x14ac:dyDescent="0.3">
      <c r="A4399" t="s">
        <v>4231</v>
      </c>
      <c r="B4399" t="s">
        <v>1134</v>
      </c>
      <c r="C4399" t="s">
        <v>11</v>
      </c>
      <c r="D4399" t="s">
        <v>12</v>
      </c>
      <c r="E4399" t="s">
        <v>391</v>
      </c>
      <c r="H4399" t="s">
        <v>392</v>
      </c>
      <c r="I4399" t="s">
        <v>4241</v>
      </c>
      <c r="L4399" t="s">
        <v>394</v>
      </c>
      <c r="M4399" t="s">
        <v>4235</v>
      </c>
    </row>
    <row r="4400" spans="1:27" x14ac:dyDescent="0.3">
      <c r="A4400" t="s">
        <v>4232</v>
      </c>
      <c r="B4400" t="s">
        <v>1138</v>
      </c>
      <c r="C4400" t="s">
        <v>11</v>
      </c>
      <c r="D4400" t="s">
        <v>12</v>
      </c>
      <c r="E4400" t="s">
        <v>391</v>
      </c>
      <c r="H4400" t="s">
        <v>392</v>
      </c>
      <c r="I4400" t="s">
        <v>4242</v>
      </c>
      <c r="L4400" t="s">
        <v>394</v>
      </c>
      <c r="M4400" t="s">
        <v>4235</v>
      </c>
    </row>
    <row r="4401" spans="1:27" x14ac:dyDescent="0.3">
      <c r="A4401" t="s">
        <v>4229</v>
      </c>
      <c r="B4401" t="s">
        <v>2077</v>
      </c>
      <c r="C4401" t="s">
        <v>11</v>
      </c>
      <c r="D4401" t="s">
        <v>12</v>
      </c>
      <c r="E4401" t="s">
        <v>391</v>
      </c>
      <c r="H4401" t="s">
        <v>392</v>
      </c>
      <c r="I4401" t="s">
        <v>2128</v>
      </c>
      <c r="L4401" t="s">
        <v>394</v>
      </c>
      <c r="M4401" t="s">
        <v>4235</v>
      </c>
    </row>
    <row r="4402" spans="1:27" x14ac:dyDescent="0.3">
      <c r="A4402" t="s">
        <v>4243</v>
      </c>
      <c r="B4402" t="s">
        <v>2733</v>
      </c>
      <c r="C4402" t="s">
        <v>280</v>
      </c>
      <c r="D4402" t="s">
        <v>4244</v>
      </c>
      <c r="E4402" t="s">
        <v>2735</v>
      </c>
      <c r="H4402" t="s">
        <v>25</v>
      </c>
      <c r="I4402" t="s">
        <v>2736</v>
      </c>
    </row>
    <row r="4403" spans="1:27" x14ac:dyDescent="0.3">
      <c r="A4403" t="s">
        <v>4243</v>
      </c>
      <c r="B4403" t="s">
        <v>2733</v>
      </c>
      <c r="C4403" t="s">
        <v>308</v>
      </c>
      <c r="D4403" t="s">
        <v>4245</v>
      </c>
      <c r="E4403" t="s">
        <v>2738</v>
      </c>
      <c r="H4403" t="s">
        <v>25</v>
      </c>
      <c r="I4403" t="s">
        <v>2739</v>
      </c>
      <c r="L4403" t="s">
        <v>312</v>
      </c>
      <c r="M4403" t="s">
        <v>327</v>
      </c>
    </row>
    <row r="4404" spans="1:27" x14ac:dyDescent="0.3">
      <c r="A4404" t="s">
        <v>4243</v>
      </c>
      <c r="B4404" t="s">
        <v>2733</v>
      </c>
      <c r="C4404" t="s">
        <v>308</v>
      </c>
      <c r="D4404" t="s">
        <v>4246</v>
      </c>
      <c r="E4404" t="s">
        <v>527</v>
      </c>
      <c r="H4404" t="s">
        <v>25</v>
      </c>
      <c r="I4404" t="s">
        <v>2741</v>
      </c>
      <c r="L4404" t="s">
        <v>312</v>
      </c>
      <c r="M4404" t="s">
        <v>343</v>
      </c>
    </row>
    <row r="4405" spans="1:27" x14ac:dyDescent="0.3">
      <c r="A4405" t="s">
        <v>4243</v>
      </c>
      <c r="B4405" t="s">
        <v>2733</v>
      </c>
      <c r="C4405" t="s">
        <v>308</v>
      </c>
      <c r="D4405" t="s">
        <v>4247</v>
      </c>
      <c r="E4405" t="s">
        <v>2077</v>
      </c>
      <c r="H4405" t="s">
        <v>25</v>
      </c>
      <c r="I4405" t="s">
        <v>2078</v>
      </c>
      <c r="L4405" t="s">
        <v>312</v>
      </c>
      <c r="M4405" t="s">
        <v>1687</v>
      </c>
    </row>
    <row r="4406" spans="1:27" x14ac:dyDescent="0.3">
      <c r="A4406" t="s">
        <v>4243</v>
      </c>
      <c r="B4406" t="s">
        <v>2733</v>
      </c>
      <c r="C4406" t="s">
        <v>308</v>
      </c>
      <c r="D4406" t="s">
        <v>4248</v>
      </c>
      <c r="E4406" t="s">
        <v>1138</v>
      </c>
      <c r="H4406" t="s">
        <v>25</v>
      </c>
      <c r="I4406" t="s">
        <v>2065</v>
      </c>
      <c r="L4406" t="s">
        <v>312</v>
      </c>
      <c r="M4406" t="s">
        <v>317</v>
      </c>
    </row>
    <row r="4407" spans="1:27" x14ac:dyDescent="0.3">
      <c r="A4407" t="s">
        <v>4243</v>
      </c>
      <c r="B4407" t="s">
        <v>2733</v>
      </c>
      <c r="C4407" t="s">
        <v>308</v>
      </c>
      <c r="D4407" t="s">
        <v>4249</v>
      </c>
      <c r="E4407" t="s">
        <v>1134</v>
      </c>
      <c r="H4407" t="s">
        <v>25</v>
      </c>
      <c r="I4407" t="s">
        <v>2069</v>
      </c>
      <c r="L4407" t="s">
        <v>312</v>
      </c>
      <c r="M4407" t="s">
        <v>317</v>
      </c>
    </row>
    <row r="4408" spans="1:27" x14ac:dyDescent="0.3">
      <c r="A4408" t="s">
        <v>4243</v>
      </c>
      <c r="B4408" t="s">
        <v>2733</v>
      </c>
      <c r="C4408" t="s">
        <v>308</v>
      </c>
      <c r="D4408" t="s">
        <v>4250</v>
      </c>
      <c r="E4408" t="s">
        <v>1138</v>
      </c>
      <c r="H4408" t="s">
        <v>25</v>
      </c>
      <c r="I4408" t="s">
        <v>2746</v>
      </c>
      <c r="L4408" t="s">
        <v>312</v>
      </c>
      <c r="M4408" t="s">
        <v>317</v>
      </c>
    </row>
    <row r="4409" spans="1:27" x14ac:dyDescent="0.3">
      <c r="A4409" t="s">
        <v>4243</v>
      </c>
      <c r="B4409" t="s">
        <v>2733</v>
      </c>
      <c r="C4409" t="s">
        <v>308</v>
      </c>
      <c r="D4409" t="s">
        <v>4251</v>
      </c>
      <c r="E4409" t="s">
        <v>341</v>
      </c>
      <c r="H4409" t="s">
        <v>25</v>
      </c>
      <c r="I4409" t="s">
        <v>342</v>
      </c>
      <c r="L4409" t="s">
        <v>312</v>
      </c>
      <c r="M4409" t="s">
        <v>343</v>
      </c>
    </row>
    <row r="4410" spans="1:27" x14ac:dyDescent="0.3">
      <c r="A4410" t="s">
        <v>4243</v>
      </c>
      <c r="B4410" t="s">
        <v>2733</v>
      </c>
      <c r="C4410" t="s">
        <v>22</v>
      </c>
      <c r="D4410" t="s">
        <v>23</v>
      </c>
      <c r="E4410" t="s">
        <v>28</v>
      </c>
    </row>
    <row r="4411" spans="1:27" x14ac:dyDescent="0.3">
      <c r="A4411" t="s">
        <v>4243</v>
      </c>
      <c r="B4411" t="s">
        <v>2733</v>
      </c>
      <c r="C4411" t="s">
        <v>2748</v>
      </c>
      <c r="D4411">
        <v>1.5</v>
      </c>
      <c r="H4411" t="s">
        <v>312</v>
      </c>
      <c r="I4411" t="s">
        <v>385</v>
      </c>
    </row>
    <row r="4412" spans="1:27" x14ac:dyDescent="0.3">
      <c r="A4412" t="s">
        <v>4243</v>
      </c>
      <c r="B4412" t="s">
        <v>2733</v>
      </c>
      <c r="C4412" t="s">
        <v>378</v>
      </c>
      <c r="D4412">
        <v>265</v>
      </c>
      <c r="H4412" t="s">
        <v>312</v>
      </c>
      <c r="I4412" t="s">
        <v>327</v>
      </c>
    </row>
    <row r="4413" spans="1:27" x14ac:dyDescent="0.3">
      <c r="A4413" t="s">
        <v>4243</v>
      </c>
      <c r="B4413" t="s">
        <v>2733</v>
      </c>
      <c r="C4413" t="s">
        <v>380</v>
      </c>
      <c r="D4413" t="s">
        <v>798</v>
      </c>
      <c r="E4413" t="s">
        <v>279</v>
      </c>
      <c r="F4413" t="s">
        <v>25</v>
      </c>
      <c r="G4413" t="s">
        <v>4252</v>
      </c>
      <c r="J4413" t="s">
        <v>2089</v>
      </c>
      <c r="K4413" t="s">
        <v>2750</v>
      </c>
      <c r="N4413" t="s">
        <v>2751</v>
      </c>
      <c r="O4413">
        <v>1</v>
      </c>
      <c r="R4413" t="s">
        <v>2752</v>
      </c>
      <c r="S4413">
        <v>158</v>
      </c>
      <c r="V4413" t="s">
        <v>2753</v>
      </c>
      <c r="W4413" t="s">
        <v>2754</v>
      </c>
      <c r="Z4413" t="s">
        <v>2755</v>
      </c>
      <c r="AA4413" t="s">
        <v>2756</v>
      </c>
    </row>
    <row r="4414" spans="1:27" x14ac:dyDescent="0.3">
      <c r="A4414" t="s">
        <v>4243</v>
      </c>
      <c r="B4414" t="s">
        <v>2733</v>
      </c>
      <c r="C4414" t="s">
        <v>16</v>
      </c>
      <c r="D4414" t="s">
        <v>220</v>
      </c>
      <c r="E4414" t="s">
        <v>37</v>
      </c>
    </row>
    <row r="4415" spans="1:27" x14ac:dyDescent="0.3">
      <c r="A4415" t="s">
        <v>4243</v>
      </c>
      <c r="B4415" t="s">
        <v>2733</v>
      </c>
      <c r="C4415" t="s">
        <v>11</v>
      </c>
      <c r="D4415" t="s">
        <v>12</v>
      </c>
      <c r="E4415" t="s">
        <v>13</v>
      </c>
      <c r="H4415" t="s">
        <v>382</v>
      </c>
      <c r="I4415" t="s">
        <v>4253</v>
      </c>
      <c r="L4415" t="s">
        <v>14</v>
      </c>
      <c r="M4415" t="s">
        <v>4253</v>
      </c>
    </row>
    <row r="4416" spans="1:27" x14ac:dyDescent="0.3">
      <c r="A4416" t="s">
        <v>4246</v>
      </c>
      <c r="B4416" t="s">
        <v>527</v>
      </c>
      <c r="C4416" t="s">
        <v>11</v>
      </c>
      <c r="D4416" t="s">
        <v>12</v>
      </c>
      <c r="E4416" t="s">
        <v>391</v>
      </c>
      <c r="H4416" t="s">
        <v>392</v>
      </c>
      <c r="I4416" t="s">
        <v>2758</v>
      </c>
      <c r="L4416" t="s">
        <v>394</v>
      </c>
      <c r="M4416" t="s">
        <v>4253</v>
      </c>
    </row>
    <row r="4417" spans="1:13" x14ac:dyDescent="0.3">
      <c r="A4417" t="s">
        <v>4245</v>
      </c>
      <c r="B4417" t="s">
        <v>2738</v>
      </c>
      <c r="C4417" t="s">
        <v>11</v>
      </c>
      <c r="D4417" t="s">
        <v>12</v>
      </c>
      <c r="E4417" t="s">
        <v>391</v>
      </c>
      <c r="H4417" t="s">
        <v>392</v>
      </c>
      <c r="I4417" t="s">
        <v>4254</v>
      </c>
      <c r="L4417" t="s">
        <v>394</v>
      </c>
      <c r="M4417" t="s">
        <v>4253</v>
      </c>
    </row>
    <row r="4418" spans="1:13" x14ac:dyDescent="0.3">
      <c r="A4418" t="s">
        <v>4244</v>
      </c>
      <c r="B4418" t="s">
        <v>2735</v>
      </c>
      <c r="C4418" t="s">
        <v>308</v>
      </c>
      <c r="D4418" t="s">
        <v>4255</v>
      </c>
      <c r="E4418" t="s">
        <v>406</v>
      </c>
      <c r="H4418" t="s">
        <v>25</v>
      </c>
      <c r="I4418" t="s">
        <v>2761</v>
      </c>
      <c r="L4418" t="s">
        <v>312</v>
      </c>
      <c r="M4418" t="s">
        <v>404</v>
      </c>
    </row>
    <row r="4419" spans="1:13" x14ac:dyDescent="0.3">
      <c r="A4419" t="s">
        <v>4255</v>
      </c>
      <c r="B4419" t="s">
        <v>406</v>
      </c>
      <c r="C4419" t="s">
        <v>11</v>
      </c>
      <c r="D4419" t="s">
        <v>12</v>
      </c>
      <c r="E4419" t="s">
        <v>391</v>
      </c>
      <c r="H4419" t="s">
        <v>392</v>
      </c>
      <c r="I4419" t="s">
        <v>4256</v>
      </c>
      <c r="L4419" t="s">
        <v>394</v>
      </c>
      <c r="M4419" t="s">
        <v>4253</v>
      </c>
    </row>
    <row r="4420" spans="1:13" x14ac:dyDescent="0.3">
      <c r="A4420" t="s">
        <v>4248</v>
      </c>
      <c r="B4420" t="s">
        <v>1138</v>
      </c>
      <c r="C4420" t="s">
        <v>11</v>
      </c>
      <c r="D4420" t="s">
        <v>12</v>
      </c>
      <c r="E4420" t="s">
        <v>391</v>
      </c>
      <c r="H4420" t="s">
        <v>392</v>
      </c>
      <c r="I4420" t="s">
        <v>4257</v>
      </c>
      <c r="L4420" t="s">
        <v>394</v>
      </c>
      <c r="M4420" t="s">
        <v>4253</v>
      </c>
    </row>
    <row r="4421" spans="1:13" x14ac:dyDescent="0.3">
      <c r="A4421" t="s">
        <v>4251</v>
      </c>
      <c r="B4421" t="s">
        <v>341</v>
      </c>
      <c r="C4421" t="s">
        <v>11</v>
      </c>
      <c r="D4421" t="s">
        <v>12</v>
      </c>
      <c r="E4421" t="s">
        <v>391</v>
      </c>
      <c r="H4421" t="s">
        <v>392</v>
      </c>
      <c r="I4421" t="s">
        <v>4258</v>
      </c>
      <c r="L4421" t="s">
        <v>394</v>
      </c>
      <c r="M4421" t="s">
        <v>4253</v>
      </c>
    </row>
    <row r="4422" spans="1:13" x14ac:dyDescent="0.3">
      <c r="A4422" t="s">
        <v>4249</v>
      </c>
      <c r="B4422" t="s">
        <v>1134</v>
      </c>
      <c r="C4422" t="s">
        <v>11</v>
      </c>
      <c r="D4422" t="s">
        <v>12</v>
      </c>
      <c r="E4422" t="s">
        <v>391</v>
      </c>
      <c r="H4422" t="s">
        <v>392</v>
      </c>
      <c r="I4422" t="s">
        <v>4259</v>
      </c>
      <c r="L4422" t="s">
        <v>394</v>
      </c>
      <c r="M4422" t="s">
        <v>4253</v>
      </c>
    </row>
    <row r="4423" spans="1:13" x14ac:dyDescent="0.3">
      <c r="A4423" t="s">
        <v>4250</v>
      </c>
      <c r="B4423" t="s">
        <v>1138</v>
      </c>
      <c r="C4423" t="s">
        <v>11</v>
      </c>
      <c r="D4423" t="s">
        <v>12</v>
      </c>
      <c r="E4423" t="s">
        <v>391</v>
      </c>
      <c r="H4423" t="s">
        <v>392</v>
      </c>
      <c r="I4423" t="s">
        <v>4260</v>
      </c>
      <c r="L4423" t="s">
        <v>394</v>
      </c>
      <c r="M4423" t="s">
        <v>4253</v>
      </c>
    </row>
    <row r="4424" spans="1:13" x14ac:dyDescent="0.3">
      <c r="A4424" t="s">
        <v>4247</v>
      </c>
      <c r="B4424" t="s">
        <v>2077</v>
      </c>
      <c r="C4424" t="s">
        <v>11</v>
      </c>
      <c r="D4424" t="s">
        <v>12</v>
      </c>
      <c r="E4424" t="s">
        <v>391</v>
      </c>
      <c r="H4424" t="s">
        <v>392</v>
      </c>
      <c r="I4424" t="s">
        <v>2128</v>
      </c>
      <c r="L4424" t="s">
        <v>394</v>
      </c>
      <c r="M4424" t="s">
        <v>4253</v>
      </c>
    </row>
    <row r="4425" spans="1:13" x14ac:dyDescent="0.3">
      <c r="A4425" t="s">
        <v>4261</v>
      </c>
      <c r="B4425" t="s">
        <v>2733</v>
      </c>
      <c r="C4425" t="s">
        <v>280</v>
      </c>
      <c r="D4425" t="s">
        <v>4262</v>
      </c>
      <c r="E4425" t="s">
        <v>2735</v>
      </c>
      <c r="H4425" t="s">
        <v>25</v>
      </c>
      <c r="I4425" t="s">
        <v>2736</v>
      </c>
    </row>
    <row r="4426" spans="1:13" x14ac:dyDescent="0.3">
      <c r="A4426" t="s">
        <v>4261</v>
      </c>
      <c r="B4426" t="s">
        <v>2733</v>
      </c>
      <c r="C4426" t="s">
        <v>308</v>
      </c>
      <c r="D4426" t="s">
        <v>4263</v>
      </c>
      <c r="E4426" t="s">
        <v>2738</v>
      </c>
      <c r="H4426" t="s">
        <v>25</v>
      </c>
      <c r="I4426" t="s">
        <v>2739</v>
      </c>
      <c r="L4426" t="s">
        <v>312</v>
      </c>
      <c r="M4426" t="s">
        <v>327</v>
      </c>
    </row>
    <row r="4427" spans="1:13" x14ac:dyDescent="0.3">
      <c r="A4427" t="s">
        <v>4261</v>
      </c>
      <c r="B4427" t="s">
        <v>2733</v>
      </c>
      <c r="C4427" t="s">
        <v>308</v>
      </c>
      <c r="D4427" t="s">
        <v>4264</v>
      </c>
      <c r="E4427" t="s">
        <v>527</v>
      </c>
      <c r="H4427" t="s">
        <v>25</v>
      </c>
      <c r="I4427" t="s">
        <v>2741</v>
      </c>
      <c r="L4427" t="s">
        <v>312</v>
      </c>
      <c r="M4427" t="s">
        <v>343</v>
      </c>
    </row>
    <row r="4428" spans="1:13" x14ac:dyDescent="0.3">
      <c r="A4428" t="s">
        <v>4261</v>
      </c>
      <c r="B4428" t="s">
        <v>2733</v>
      </c>
      <c r="C4428" t="s">
        <v>308</v>
      </c>
      <c r="D4428" t="s">
        <v>4265</v>
      </c>
      <c r="E4428" t="s">
        <v>2077</v>
      </c>
      <c r="H4428" t="s">
        <v>25</v>
      </c>
      <c r="I4428" t="s">
        <v>2078</v>
      </c>
      <c r="L4428" t="s">
        <v>312</v>
      </c>
      <c r="M4428" t="s">
        <v>1687</v>
      </c>
    </row>
    <row r="4429" spans="1:13" x14ac:dyDescent="0.3">
      <c r="A4429" t="s">
        <v>4261</v>
      </c>
      <c r="B4429" t="s">
        <v>2733</v>
      </c>
      <c r="C4429" t="s">
        <v>308</v>
      </c>
      <c r="D4429" t="s">
        <v>4266</v>
      </c>
      <c r="E4429" t="s">
        <v>1138</v>
      </c>
      <c r="H4429" t="s">
        <v>25</v>
      </c>
      <c r="I4429" t="s">
        <v>2065</v>
      </c>
      <c r="L4429" t="s">
        <v>312</v>
      </c>
      <c r="M4429" t="s">
        <v>317</v>
      </c>
    </row>
    <row r="4430" spans="1:13" x14ac:dyDescent="0.3">
      <c r="A4430" t="s">
        <v>4261</v>
      </c>
      <c r="B4430" t="s">
        <v>2733</v>
      </c>
      <c r="C4430" t="s">
        <v>308</v>
      </c>
      <c r="D4430" t="s">
        <v>4267</v>
      </c>
      <c r="E4430" t="s">
        <v>1134</v>
      </c>
      <c r="H4430" t="s">
        <v>25</v>
      </c>
      <c r="I4430" t="s">
        <v>2069</v>
      </c>
      <c r="L4430" t="s">
        <v>312</v>
      </c>
      <c r="M4430" t="s">
        <v>317</v>
      </c>
    </row>
    <row r="4431" spans="1:13" x14ac:dyDescent="0.3">
      <c r="A4431" t="s">
        <v>4261</v>
      </c>
      <c r="B4431" t="s">
        <v>2733</v>
      </c>
      <c r="C4431" t="s">
        <v>308</v>
      </c>
      <c r="D4431" t="s">
        <v>4268</v>
      </c>
      <c r="E4431" t="s">
        <v>1138</v>
      </c>
      <c r="H4431" t="s">
        <v>25</v>
      </c>
      <c r="I4431" t="s">
        <v>2746</v>
      </c>
      <c r="L4431" t="s">
        <v>312</v>
      </c>
      <c r="M4431" t="s">
        <v>317</v>
      </c>
    </row>
    <row r="4432" spans="1:13" x14ac:dyDescent="0.3">
      <c r="A4432" t="s">
        <v>4261</v>
      </c>
      <c r="B4432" t="s">
        <v>2733</v>
      </c>
      <c r="C4432" t="s">
        <v>308</v>
      </c>
      <c r="D4432" t="s">
        <v>4269</v>
      </c>
      <c r="E4432" t="s">
        <v>341</v>
      </c>
      <c r="H4432" t="s">
        <v>25</v>
      </c>
      <c r="I4432" t="s">
        <v>342</v>
      </c>
      <c r="L4432" t="s">
        <v>312</v>
      </c>
      <c r="M4432" t="s">
        <v>343</v>
      </c>
    </row>
    <row r="4433" spans="1:27" x14ac:dyDescent="0.3">
      <c r="A4433" t="s">
        <v>4261</v>
      </c>
      <c r="B4433" t="s">
        <v>2733</v>
      </c>
      <c r="C4433" t="s">
        <v>22</v>
      </c>
      <c r="D4433" t="s">
        <v>23</v>
      </c>
      <c r="E4433" t="s">
        <v>28</v>
      </c>
    </row>
    <row r="4434" spans="1:27" x14ac:dyDescent="0.3">
      <c r="A4434" t="s">
        <v>4261</v>
      </c>
      <c r="B4434" t="s">
        <v>2733</v>
      </c>
      <c r="C4434" t="s">
        <v>2748</v>
      </c>
      <c r="D4434">
        <v>2</v>
      </c>
      <c r="H4434" t="s">
        <v>312</v>
      </c>
      <c r="I4434" t="s">
        <v>385</v>
      </c>
    </row>
    <row r="4435" spans="1:27" x14ac:dyDescent="0.3">
      <c r="A4435" t="s">
        <v>4261</v>
      </c>
      <c r="B4435" t="s">
        <v>2733</v>
      </c>
      <c r="C4435" t="s">
        <v>378</v>
      </c>
      <c r="D4435">
        <v>265</v>
      </c>
      <c r="H4435" t="s">
        <v>312</v>
      </c>
      <c r="I4435" t="s">
        <v>327</v>
      </c>
    </row>
    <row r="4436" spans="1:27" x14ac:dyDescent="0.3">
      <c r="A4436" t="s">
        <v>4261</v>
      </c>
      <c r="B4436" t="s">
        <v>2733</v>
      </c>
      <c r="C4436" t="s">
        <v>380</v>
      </c>
      <c r="D4436" t="s">
        <v>798</v>
      </c>
      <c r="E4436" t="s">
        <v>279</v>
      </c>
      <c r="F4436" t="s">
        <v>25</v>
      </c>
      <c r="G4436" t="s">
        <v>4270</v>
      </c>
      <c r="J4436" t="s">
        <v>2089</v>
      </c>
      <c r="K4436" t="s">
        <v>2750</v>
      </c>
      <c r="N4436" t="s">
        <v>2751</v>
      </c>
      <c r="O4436">
        <v>4</v>
      </c>
      <c r="R4436" t="s">
        <v>2752</v>
      </c>
      <c r="S4436">
        <v>248</v>
      </c>
      <c r="V4436" t="s">
        <v>2753</v>
      </c>
      <c r="W4436" t="s">
        <v>2754</v>
      </c>
      <c r="Z4436" t="s">
        <v>2755</v>
      </c>
      <c r="AA4436" t="s">
        <v>2756</v>
      </c>
    </row>
    <row r="4437" spans="1:27" x14ac:dyDescent="0.3">
      <c r="A4437" t="s">
        <v>4261</v>
      </c>
      <c r="B4437" t="s">
        <v>2733</v>
      </c>
      <c r="C4437" t="s">
        <v>16</v>
      </c>
      <c r="D4437" t="s">
        <v>220</v>
      </c>
      <c r="E4437" t="s">
        <v>37</v>
      </c>
    </row>
    <row r="4438" spans="1:27" x14ac:dyDescent="0.3">
      <c r="A4438" t="s">
        <v>4261</v>
      </c>
      <c r="B4438" t="s">
        <v>2733</v>
      </c>
      <c r="C4438" t="s">
        <v>11</v>
      </c>
      <c r="D4438" t="s">
        <v>12</v>
      </c>
      <c r="E4438" t="s">
        <v>13</v>
      </c>
      <c r="H4438" t="s">
        <v>382</v>
      </c>
      <c r="I4438" t="s">
        <v>4271</v>
      </c>
      <c r="L4438" t="s">
        <v>14</v>
      </c>
      <c r="M4438" t="s">
        <v>4271</v>
      </c>
    </row>
    <row r="4439" spans="1:27" x14ac:dyDescent="0.3">
      <c r="A4439" t="s">
        <v>4264</v>
      </c>
      <c r="B4439" t="s">
        <v>527</v>
      </c>
      <c r="C4439" t="s">
        <v>11</v>
      </c>
      <c r="D4439" t="s">
        <v>12</v>
      </c>
      <c r="E4439" t="s">
        <v>391</v>
      </c>
      <c r="H4439" t="s">
        <v>392</v>
      </c>
      <c r="I4439" t="s">
        <v>2758</v>
      </c>
      <c r="L4439" t="s">
        <v>394</v>
      </c>
      <c r="M4439" t="s">
        <v>4271</v>
      </c>
    </row>
    <row r="4440" spans="1:27" x14ac:dyDescent="0.3">
      <c r="A4440" t="s">
        <v>4263</v>
      </c>
      <c r="B4440" t="s">
        <v>2738</v>
      </c>
      <c r="C4440" t="s">
        <v>11</v>
      </c>
      <c r="D4440" t="s">
        <v>12</v>
      </c>
      <c r="E4440" t="s">
        <v>391</v>
      </c>
      <c r="H4440" t="s">
        <v>392</v>
      </c>
      <c r="I4440" t="s">
        <v>4272</v>
      </c>
      <c r="L4440" t="s">
        <v>394</v>
      </c>
      <c r="M4440" t="s">
        <v>4271</v>
      </c>
    </row>
    <row r="4441" spans="1:27" x14ac:dyDescent="0.3">
      <c r="A4441" t="s">
        <v>4262</v>
      </c>
      <c r="B4441" t="s">
        <v>2735</v>
      </c>
      <c r="C4441" t="s">
        <v>308</v>
      </c>
      <c r="D4441" t="s">
        <v>4273</v>
      </c>
      <c r="E4441" t="s">
        <v>406</v>
      </c>
      <c r="H4441" t="s">
        <v>25</v>
      </c>
      <c r="I4441" t="s">
        <v>2761</v>
      </c>
      <c r="L4441" t="s">
        <v>312</v>
      </c>
      <c r="M4441" t="s">
        <v>404</v>
      </c>
    </row>
    <row r="4442" spans="1:27" x14ac:dyDescent="0.3">
      <c r="A4442" t="s">
        <v>4273</v>
      </c>
      <c r="B4442" t="s">
        <v>406</v>
      </c>
      <c r="C4442" t="s">
        <v>11</v>
      </c>
      <c r="D4442" t="s">
        <v>12</v>
      </c>
      <c r="E4442" t="s">
        <v>391</v>
      </c>
      <c r="H4442" t="s">
        <v>392</v>
      </c>
      <c r="I4442" t="s">
        <v>4274</v>
      </c>
      <c r="L4442" t="s">
        <v>394</v>
      </c>
      <c r="M4442" t="s">
        <v>4271</v>
      </c>
    </row>
    <row r="4443" spans="1:27" x14ac:dyDescent="0.3">
      <c r="A4443" t="s">
        <v>4266</v>
      </c>
      <c r="B4443" t="s">
        <v>1138</v>
      </c>
      <c r="C4443" t="s">
        <v>11</v>
      </c>
      <c r="D4443" t="s">
        <v>12</v>
      </c>
      <c r="E4443" t="s">
        <v>391</v>
      </c>
      <c r="H4443" t="s">
        <v>392</v>
      </c>
      <c r="I4443" t="s">
        <v>4275</v>
      </c>
      <c r="L4443" t="s">
        <v>394</v>
      </c>
      <c r="M4443" t="s">
        <v>4271</v>
      </c>
    </row>
    <row r="4444" spans="1:27" x14ac:dyDescent="0.3">
      <c r="A4444" t="s">
        <v>4269</v>
      </c>
      <c r="B4444" t="s">
        <v>341</v>
      </c>
      <c r="C4444" t="s">
        <v>11</v>
      </c>
      <c r="D4444" t="s">
        <v>12</v>
      </c>
      <c r="E4444" t="s">
        <v>391</v>
      </c>
      <c r="H4444" t="s">
        <v>392</v>
      </c>
      <c r="I4444" t="s">
        <v>4276</v>
      </c>
      <c r="L4444" t="s">
        <v>394</v>
      </c>
      <c r="M4444" t="s">
        <v>4271</v>
      </c>
    </row>
    <row r="4445" spans="1:27" x14ac:dyDescent="0.3">
      <c r="A4445" t="s">
        <v>4267</v>
      </c>
      <c r="B4445" t="s">
        <v>1134</v>
      </c>
      <c r="C4445" t="s">
        <v>11</v>
      </c>
      <c r="D4445" t="s">
        <v>12</v>
      </c>
      <c r="E4445" t="s">
        <v>391</v>
      </c>
      <c r="H4445" t="s">
        <v>392</v>
      </c>
      <c r="I4445" t="s">
        <v>4277</v>
      </c>
      <c r="L4445" t="s">
        <v>394</v>
      </c>
      <c r="M4445" t="s">
        <v>4271</v>
      </c>
    </row>
    <row r="4446" spans="1:27" x14ac:dyDescent="0.3">
      <c r="A4446" t="s">
        <v>4268</v>
      </c>
      <c r="B4446" t="s">
        <v>1138</v>
      </c>
      <c r="C4446" t="s">
        <v>11</v>
      </c>
      <c r="D4446" t="s">
        <v>12</v>
      </c>
      <c r="E4446" t="s">
        <v>391</v>
      </c>
      <c r="H4446" t="s">
        <v>392</v>
      </c>
      <c r="I4446" t="s">
        <v>4278</v>
      </c>
      <c r="L4446" t="s">
        <v>394</v>
      </c>
      <c r="M4446" t="s">
        <v>4271</v>
      </c>
    </row>
    <row r="4447" spans="1:27" x14ac:dyDescent="0.3">
      <c r="A4447" t="s">
        <v>4265</v>
      </c>
      <c r="B4447" t="s">
        <v>2077</v>
      </c>
      <c r="C4447" t="s">
        <v>11</v>
      </c>
      <c r="D4447" t="s">
        <v>12</v>
      </c>
      <c r="E4447" t="s">
        <v>391</v>
      </c>
      <c r="H4447" t="s">
        <v>392</v>
      </c>
      <c r="I4447" t="s">
        <v>2128</v>
      </c>
      <c r="L4447" t="s">
        <v>394</v>
      </c>
      <c r="M4447" t="s">
        <v>4271</v>
      </c>
    </row>
    <row r="4448" spans="1:27" x14ac:dyDescent="0.3">
      <c r="A4448" t="s">
        <v>4279</v>
      </c>
      <c r="B4448" t="s">
        <v>2733</v>
      </c>
      <c r="C4448" t="s">
        <v>280</v>
      </c>
      <c r="D4448" t="s">
        <v>4280</v>
      </c>
      <c r="E4448" t="s">
        <v>2735</v>
      </c>
      <c r="H4448" t="s">
        <v>25</v>
      </c>
      <c r="I4448" t="s">
        <v>2736</v>
      </c>
    </row>
    <row r="4449" spans="1:27" x14ac:dyDescent="0.3">
      <c r="A4449" t="s">
        <v>4279</v>
      </c>
      <c r="B4449" t="s">
        <v>2733</v>
      </c>
      <c r="C4449" t="s">
        <v>308</v>
      </c>
      <c r="D4449" t="s">
        <v>4281</v>
      </c>
      <c r="E4449" t="s">
        <v>2738</v>
      </c>
      <c r="H4449" t="s">
        <v>25</v>
      </c>
      <c r="I4449" t="s">
        <v>2739</v>
      </c>
      <c r="L4449" t="s">
        <v>312</v>
      </c>
      <c r="M4449" t="s">
        <v>327</v>
      </c>
    </row>
    <row r="4450" spans="1:27" x14ac:dyDescent="0.3">
      <c r="A4450" t="s">
        <v>4279</v>
      </c>
      <c r="B4450" t="s">
        <v>2733</v>
      </c>
      <c r="C4450" t="s">
        <v>308</v>
      </c>
      <c r="D4450" t="s">
        <v>4282</v>
      </c>
      <c r="E4450" t="s">
        <v>527</v>
      </c>
      <c r="H4450" t="s">
        <v>25</v>
      </c>
      <c r="I4450" t="s">
        <v>2741</v>
      </c>
      <c r="L4450" t="s">
        <v>312</v>
      </c>
      <c r="M4450" t="s">
        <v>343</v>
      </c>
    </row>
    <row r="4451" spans="1:27" x14ac:dyDescent="0.3">
      <c r="A4451" t="s">
        <v>4279</v>
      </c>
      <c r="B4451" t="s">
        <v>2733</v>
      </c>
      <c r="C4451" t="s">
        <v>308</v>
      </c>
      <c r="D4451" t="s">
        <v>4283</v>
      </c>
      <c r="E4451" t="s">
        <v>2077</v>
      </c>
      <c r="H4451" t="s">
        <v>25</v>
      </c>
      <c r="I4451" t="s">
        <v>2078</v>
      </c>
      <c r="L4451" t="s">
        <v>312</v>
      </c>
      <c r="M4451" t="s">
        <v>1687</v>
      </c>
    </row>
    <row r="4452" spans="1:27" x14ac:dyDescent="0.3">
      <c r="A4452" t="s">
        <v>4279</v>
      </c>
      <c r="B4452" t="s">
        <v>2733</v>
      </c>
      <c r="C4452" t="s">
        <v>308</v>
      </c>
      <c r="D4452" t="s">
        <v>4284</v>
      </c>
      <c r="E4452" t="s">
        <v>1138</v>
      </c>
      <c r="H4452" t="s">
        <v>25</v>
      </c>
      <c r="I4452" t="s">
        <v>2065</v>
      </c>
      <c r="L4452" t="s">
        <v>312</v>
      </c>
      <c r="M4452" t="s">
        <v>317</v>
      </c>
    </row>
    <row r="4453" spans="1:27" x14ac:dyDescent="0.3">
      <c r="A4453" t="s">
        <v>4279</v>
      </c>
      <c r="B4453" t="s">
        <v>2733</v>
      </c>
      <c r="C4453" t="s">
        <v>308</v>
      </c>
      <c r="D4453" t="s">
        <v>4285</v>
      </c>
      <c r="E4453" t="s">
        <v>1134</v>
      </c>
      <c r="H4453" t="s">
        <v>25</v>
      </c>
      <c r="I4453" t="s">
        <v>2069</v>
      </c>
      <c r="L4453" t="s">
        <v>312</v>
      </c>
      <c r="M4453" t="s">
        <v>317</v>
      </c>
    </row>
    <row r="4454" spans="1:27" x14ac:dyDescent="0.3">
      <c r="A4454" t="s">
        <v>4279</v>
      </c>
      <c r="B4454" t="s">
        <v>2733</v>
      </c>
      <c r="C4454" t="s">
        <v>308</v>
      </c>
      <c r="D4454" t="s">
        <v>4286</v>
      </c>
      <c r="E4454" t="s">
        <v>1138</v>
      </c>
      <c r="H4454" t="s">
        <v>25</v>
      </c>
      <c r="I4454" t="s">
        <v>2746</v>
      </c>
      <c r="L4454" t="s">
        <v>312</v>
      </c>
      <c r="M4454" t="s">
        <v>317</v>
      </c>
    </row>
    <row r="4455" spans="1:27" x14ac:dyDescent="0.3">
      <c r="A4455" t="s">
        <v>4279</v>
      </c>
      <c r="B4455" t="s">
        <v>2733</v>
      </c>
      <c r="C4455" t="s">
        <v>308</v>
      </c>
      <c r="D4455" t="s">
        <v>4287</v>
      </c>
      <c r="E4455" t="s">
        <v>341</v>
      </c>
      <c r="H4455" t="s">
        <v>25</v>
      </c>
      <c r="I4455" t="s">
        <v>342</v>
      </c>
      <c r="L4455" t="s">
        <v>312</v>
      </c>
      <c r="M4455" t="s">
        <v>343</v>
      </c>
    </row>
    <row r="4456" spans="1:27" x14ac:dyDescent="0.3">
      <c r="A4456" t="s">
        <v>4279</v>
      </c>
      <c r="B4456" t="s">
        <v>2733</v>
      </c>
      <c r="C4456" t="s">
        <v>22</v>
      </c>
      <c r="D4456" t="s">
        <v>23</v>
      </c>
      <c r="E4456" t="s">
        <v>28</v>
      </c>
    </row>
    <row r="4457" spans="1:27" x14ac:dyDescent="0.3">
      <c r="A4457" t="s">
        <v>4279</v>
      </c>
      <c r="B4457" t="s">
        <v>2733</v>
      </c>
      <c r="C4457" t="s">
        <v>2748</v>
      </c>
      <c r="D4457">
        <v>1.5</v>
      </c>
      <c r="H4457" t="s">
        <v>312</v>
      </c>
      <c r="I4457" t="s">
        <v>385</v>
      </c>
    </row>
    <row r="4458" spans="1:27" x14ac:dyDescent="0.3">
      <c r="A4458" t="s">
        <v>4279</v>
      </c>
      <c r="B4458" t="s">
        <v>2733</v>
      </c>
      <c r="C4458" t="s">
        <v>378</v>
      </c>
      <c r="D4458">
        <v>265</v>
      </c>
      <c r="H4458" t="s">
        <v>312</v>
      </c>
      <c r="I4458" t="s">
        <v>327</v>
      </c>
    </row>
    <row r="4459" spans="1:27" x14ac:dyDescent="0.3">
      <c r="A4459" t="s">
        <v>4279</v>
      </c>
      <c r="B4459" t="s">
        <v>2733</v>
      </c>
      <c r="C4459" t="s">
        <v>380</v>
      </c>
      <c r="D4459" t="s">
        <v>798</v>
      </c>
      <c r="E4459" t="s">
        <v>279</v>
      </c>
      <c r="F4459" t="s">
        <v>25</v>
      </c>
      <c r="G4459" t="s">
        <v>4288</v>
      </c>
      <c r="J4459" t="s">
        <v>2089</v>
      </c>
      <c r="K4459" t="s">
        <v>2750</v>
      </c>
      <c r="N4459" t="s">
        <v>2751</v>
      </c>
      <c r="O4459">
        <v>1</v>
      </c>
      <c r="R4459" t="s">
        <v>2752</v>
      </c>
      <c r="S4459">
        <v>158</v>
      </c>
      <c r="V4459" t="s">
        <v>2753</v>
      </c>
      <c r="W4459" t="s">
        <v>2754</v>
      </c>
      <c r="Z4459" t="s">
        <v>2755</v>
      </c>
      <c r="AA4459" t="s">
        <v>2756</v>
      </c>
    </row>
    <row r="4460" spans="1:27" x14ac:dyDescent="0.3">
      <c r="A4460" t="s">
        <v>4279</v>
      </c>
      <c r="B4460" t="s">
        <v>2733</v>
      </c>
      <c r="C4460" t="s">
        <v>16</v>
      </c>
      <c r="D4460" t="s">
        <v>220</v>
      </c>
      <c r="E4460" t="s">
        <v>37</v>
      </c>
    </row>
    <row r="4461" spans="1:27" x14ac:dyDescent="0.3">
      <c r="A4461" t="s">
        <v>4279</v>
      </c>
      <c r="B4461" t="s">
        <v>2733</v>
      </c>
      <c r="C4461" t="s">
        <v>11</v>
      </c>
      <c r="D4461" t="s">
        <v>12</v>
      </c>
      <c r="E4461" t="s">
        <v>13</v>
      </c>
      <c r="H4461" t="s">
        <v>382</v>
      </c>
      <c r="I4461" t="s">
        <v>4289</v>
      </c>
      <c r="L4461" t="s">
        <v>14</v>
      </c>
      <c r="M4461" t="s">
        <v>4289</v>
      </c>
    </row>
    <row r="4462" spans="1:27" x14ac:dyDescent="0.3">
      <c r="A4462" t="s">
        <v>4282</v>
      </c>
      <c r="B4462" t="s">
        <v>527</v>
      </c>
      <c r="C4462" t="s">
        <v>11</v>
      </c>
      <c r="D4462" t="s">
        <v>12</v>
      </c>
      <c r="E4462" t="s">
        <v>391</v>
      </c>
      <c r="H4462" t="s">
        <v>392</v>
      </c>
      <c r="I4462" t="s">
        <v>2758</v>
      </c>
      <c r="L4462" t="s">
        <v>394</v>
      </c>
      <c r="M4462" t="s">
        <v>4289</v>
      </c>
    </row>
    <row r="4463" spans="1:27" x14ac:dyDescent="0.3">
      <c r="A4463" t="s">
        <v>4281</v>
      </c>
      <c r="B4463" t="s">
        <v>2738</v>
      </c>
      <c r="C4463" t="s">
        <v>11</v>
      </c>
      <c r="D4463" t="s">
        <v>12</v>
      </c>
      <c r="E4463" t="s">
        <v>391</v>
      </c>
      <c r="H4463" t="s">
        <v>392</v>
      </c>
      <c r="I4463" t="s">
        <v>4290</v>
      </c>
      <c r="L4463" t="s">
        <v>394</v>
      </c>
      <c r="M4463" t="s">
        <v>4289</v>
      </c>
    </row>
    <row r="4464" spans="1:27" x14ac:dyDescent="0.3">
      <c r="A4464" t="s">
        <v>4280</v>
      </c>
      <c r="B4464" t="s">
        <v>2735</v>
      </c>
      <c r="C4464" t="s">
        <v>308</v>
      </c>
      <c r="D4464" t="s">
        <v>4291</v>
      </c>
      <c r="E4464" t="s">
        <v>406</v>
      </c>
      <c r="H4464" t="s">
        <v>25</v>
      </c>
      <c r="I4464" t="s">
        <v>2761</v>
      </c>
      <c r="L4464" t="s">
        <v>312</v>
      </c>
      <c r="M4464" t="s">
        <v>404</v>
      </c>
    </row>
    <row r="4465" spans="1:13" x14ac:dyDescent="0.3">
      <c r="A4465" t="s">
        <v>4291</v>
      </c>
      <c r="B4465" t="s">
        <v>406</v>
      </c>
      <c r="C4465" t="s">
        <v>11</v>
      </c>
      <c r="D4465" t="s">
        <v>12</v>
      </c>
      <c r="E4465" t="s">
        <v>391</v>
      </c>
      <c r="H4465" t="s">
        <v>392</v>
      </c>
      <c r="I4465" t="s">
        <v>4292</v>
      </c>
      <c r="L4465" t="s">
        <v>394</v>
      </c>
      <c r="M4465" t="s">
        <v>4289</v>
      </c>
    </row>
    <row r="4466" spans="1:13" x14ac:dyDescent="0.3">
      <c r="A4466" t="s">
        <v>4284</v>
      </c>
      <c r="B4466" t="s">
        <v>1138</v>
      </c>
      <c r="C4466" t="s">
        <v>11</v>
      </c>
      <c r="D4466" t="s">
        <v>12</v>
      </c>
      <c r="E4466" t="s">
        <v>391</v>
      </c>
      <c r="H4466" t="s">
        <v>392</v>
      </c>
      <c r="I4466" t="s">
        <v>4293</v>
      </c>
      <c r="L4466" t="s">
        <v>394</v>
      </c>
      <c r="M4466" t="s">
        <v>4289</v>
      </c>
    </row>
    <row r="4467" spans="1:13" x14ac:dyDescent="0.3">
      <c r="A4467" t="s">
        <v>4287</v>
      </c>
      <c r="B4467" t="s">
        <v>341</v>
      </c>
      <c r="C4467" t="s">
        <v>11</v>
      </c>
      <c r="D4467" t="s">
        <v>12</v>
      </c>
      <c r="E4467" t="s">
        <v>391</v>
      </c>
      <c r="H4467" t="s">
        <v>392</v>
      </c>
      <c r="I4467" t="s">
        <v>4294</v>
      </c>
      <c r="L4467" t="s">
        <v>394</v>
      </c>
      <c r="M4467" t="s">
        <v>4289</v>
      </c>
    </row>
    <row r="4468" spans="1:13" x14ac:dyDescent="0.3">
      <c r="A4468" t="s">
        <v>4285</v>
      </c>
      <c r="B4468" t="s">
        <v>1134</v>
      </c>
      <c r="C4468" t="s">
        <v>11</v>
      </c>
      <c r="D4468" t="s">
        <v>12</v>
      </c>
      <c r="E4468" t="s">
        <v>391</v>
      </c>
      <c r="H4468" t="s">
        <v>392</v>
      </c>
      <c r="I4468" t="s">
        <v>4295</v>
      </c>
      <c r="L4468" t="s">
        <v>394</v>
      </c>
      <c r="M4468" t="s">
        <v>4289</v>
      </c>
    </row>
    <row r="4469" spans="1:13" x14ac:dyDescent="0.3">
      <c r="A4469" t="s">
        <v>4286</v>
      </c>
      <c r="B4469" t="s">
        <v>1138</v>
      </c>
      <c r="C4469" t="s">
        <v>11</v>
      </c>
      <c r="D4469" t="s">
        <v>12</v>
      </c>
      <c r="E4469" t="s">
        <v>391</v>
      </c>
      <c r="H4469" t="s">
        <v>392</v>
      </c>
      <c r="I4469" t="s">
        <v>4296</v>
      </c>
      <c r="L4469" t="s">
        <v>394</v>
      </c>
      <c r="M4469" t="s">
        <v>4289</v>
      </c>
    </row>
    <row r="4470" spans="1:13" x14ac:dyDescent="0.3">
      <c r="A4470" t="s">
        <v>4283</v>
      </c>
      <c r="B4470" t="s">
        <v>2077</v>
      </c>
      <c r="C4470" t="s">
        <v>11</v>
      </c>
      <c r="D4470" t="s">
        <v>12</v>
      </c>
      <c r="E4470" t="s">
        <v>391</v>
      </c>
      <c r="H4470" t="s">
        <v>392</v>
      </c>
      <c r="I4470" t="s">
        <v>2128</v>
      </c>
      <c r="L4470" t="s">
        <v>394</v>
      </c>
      <c r="M4470" t="s">
        <v>4289</v>
      </c>
    </row>
    <row r="4471" spans="1:13" x14ac:dyDescent="0.3">
      <c r="A4471" t="s">
        <v>4297</v>
      </c>
      <c r="B4471" t="s">
        <v>2733</v>
      </c>
      <c r="C4471" t="s">
        <v>280</v>
      </c>
      <c r="D4471" t="s">
        <v>4298</v>
      </c>
      <c r="E4471" t="s">
        <v>2735</v>
      </c>
      <c r="H4471" t="s">
        <v>25</v>
      </c>
      <c r="I4471" t="s">
        <v>2736</v>
      </c>
    </row>
    <row r="4472" spans="1:13" x14ac:dyDescent="0.3">
      <c r="A4472" t="s">
        <v>4297</v>
      </c>
      <c r="B4472" t="s">
        <v>2733</v>
      </c>
      <c r="C4472" t="s">
        <v>308</v>
      </c>
      <c r="D4472" t="s">
        <v>4299</v>
      </c>
      <c r="E4472" t="s">
        <v>2738</v>
      </c>
      <c r="H4472" t="s">
        <v>25</v>
      </c>
      <c r="I4472" t="s">
        <v>2739</v>
      </c>
      <c r="L4472" t="s">
        <v>312</v>
      </c>
      <c r="M4472" t="s">
        <v>327</v>
      </c>
    </row>
    <row r="4473" spans="1:13" x14ac:dyDescent="0.3">
      <c r="A4473" t="s">
        <v>4297</v>
      </c>
      <c r="B4473" t="s">
        <v>2733</v>
      </c>
      <c r="C4473" t="s">
        <v>308</v>
      </c>
      <c r="D4473" t="s">
        <v>4300</v>
      </c>
      <c r="E4473" t="s">
        <v>527</v>
      </c>
      <c r="H4473" t="s">
        <v>25</v>
      </c>
      <c r="I4473" t="s">
        <v>2741</v>
      </c>
      <c r="L4473" t="s">
        <v>312</v>
      </c>
      <c r="M4473" t="s">
        <v>343</v>
      </c>
    </row>
    <row r="4474" spans="1:13" x14ac:dyDescent="0.3">
      <c r="A4474" t="s">
        <v>4297</v>
      </c>
      <c r="B4474" t="s">
        <v>2733</v>
      </c>
      <c r="C4474" t="s">
        <v>308</v>
      </c>
      <c r="D4474" t="s">
        <v>4301</v>
      </c>
      <c r="E4474" t="s">
        <v>2077</v>
      </c>
      <c r="H4474" t="s">
        <v>25</v>
      </c>
      <c r="I4474" t="s">
        <v>2078</v>
      </c>
      <c r="L4474" t="s">
        <v>312</v>
      </c>
      <c r="M4474" t="s">
        <v>1687</v>
      </c>
    </row>
    <row r="4475" spans="1:13" x14ac:dyDescent="0.3">
      <c r="A4475" t="s">
        <v>4297</v>
      </c>
      <c r="B4475" t="s">
        <v>2733</v>
      </c>
      <c r="C4475" t="s">
        <v>308</v>
      </c>
      <c r="D4475" t="s">
        <v>4302</v>
      </c>
      <c r="E4475" t="s">
        <v>1138</v>
      </c>
      <c r="H4475" t="s">
        <v>25</v>
      </c>
      <c r="I4475" t="s">
        <v>2065</v>
      </c>
      <c r="L4475" t="s">
        <v>312</v>
      </c>
      <c r="M4475" t="s">
        <v>317</v>
      </c>
    </row>
    <row r="4476" spans="1:13" x14ac:dyDescent="0.3">
      <c r="A4476" t="s">
        <v>4297</v>
      </c>
      <c r="B4476" t="s">
        <v>2733</v>
      </c>
      <c r="C4476" t="s">
        <v>308</v>
      </c>
      <c r="D4476" t="s">
        <v>4303</v>
      </c>
      <c r="E4476" t="s">
        <v>1134</v>
      </c>
      <c r="H4476" t="s">
        <v>25</v>
      </c>
      <c r="I4476" t="s">
        <v>2069</v>
      </c>
      <c r="L4476" t="s">
        <v>312</v>
      </c>
      <c r="M4476" t="s">
        <v>317</v>
      </c>
    </row>
    <row r="4477" spans="1:13" x14ac:dyDescent="0.3">
      <c r="A4477" t="s">
        <v>4297</v>
      </c>
      <c r="B4477" t="s">
        <v>2733</v>
      </c>
      <c r="C4477" t="s">
        <v>308</v>
      </c>
      <c r="D4477" t="s">
        <v>4304</v>
      </c>
      <c r="E4477" t="s">
        <v>1138</v>
      </c>
      <c r="H4477" t="s">
        <v>25</v>
      </c>
      <c r="I4477" t="s">
        <v>2746</v>
      </c>
      <c r="L4477" t="s">
        <v>312</v>
      </c>
      <c r="M4477" t="s">
        <v>317</v>
      </c>
    </row>
    <row r="4478" spans="1:13" x14ac:dyDescent="0.3">
      <c r="A4478" t="s">
        <v>4297</v>
      </c>
      <c r="B4478" t="s">
        <v>2733</v>
      </c>
      <c r="C4478" t="s">
        <v>308</v>
      </c>
      <c r="D4478" t="s">
        <v>4305</v>
      </c>
      <c r="E4478" t="s">
        <v>341</v>
      </c>
      <c r="H4478" t="s">
        <v>25</v>
      </c>
      <c r="I4478" t="s">
        <v>342</v>
      </c>
      <c r="L4478" t="s">
        <v>312</v>
      </c>
      <c r="M4478" t="s">
        <v>343</v>
      </c>
    </row>
    <row r="4479" spans="1:13" x14ac:dyDescent="0.3">
      <c r="A4479" t="s">
        <v>4297</v>
      </c>
      <c r="B4479" t="s">
        <v>2733</v>
      </c>
      <c r="C4479" t="s">
        <v>22</v>
      </c>
      <c r="D4479" t="s">
        <v>23</v>
      </c>
      <c r="E4479" t="s">
        <v>28</v>
      </c>
    </row>
    <row r="4480" spans="1:13" x14ac:dyDescent="0.3">
      <c r="A4480" t="s">
        <v>4297</v>
      </c>
      <c r="B4480" t="s">
        <v>2733</v>
      </c>
      <c r="C4480" t="s">
        <v>2748</v>
      </c>
      <c r="D4480">
        <v>1.5</v>
      </c>
      <c r="H4480" t="s">
        <v>312</v>
      </c>
      <c r="I4480" t="s">
        <v>385</v>
      </c>
    </row>
    <row r="4481" spans="1:27" x14ac:dyDescent="0.3">
      <c r="A4481" t="s">
        <v>4297</v>
      </c>
      <c r="B4481" t="s">
        <v>2733</v>
      </c>
      <c r="C4481" t="s">
        <v>378</v>
      </c>
      <c r="D4481">
        <v>140</v>
      </c>
      <c r="H4481" t="s">
        <v>312</v>
      </c>
      <c r="I4481" t="s">
        <v>327</v>
      </c>
    </row>
    <row r="4482" spans="1:27" x14ac:dyDescent="0.3">
      <c r="A4482" t="s">
        <v>4297</v>
      </c>
      <c r="B4482" t="s">
        <v>2733</v>
      </c>
      <c r="C4482" t="s">
        <v>380</v>
      </c>
      <c r="D4482" t="s">
        <v>554</v>
      </c>
      <c r="E4482" t="s">
        <v>279</v>
      </c>
      <c r="F4482" t="s">
        <v>25</v>
      </c>
      <c r="G4482" t="s">
        <v>4306</v>
      </c>
      <c r="J4482" t="s">
        <v>2089</v>
      </c>
      <c r="K4482" t="s">
        <v>2750</v>
      </c>
      <c r="N4482" t="s">
        <v>2751</v>
      </c>
      <c r="O4482">
        <v>1</v>
      </c>
      <c r="R4482" t="s">
        <v>2752</v>
      </c>
      <c r="S4482">
        <v>158</v>
      </c>
      <c r="V4482" t="s">
        <v>2753</v>
      </c>
      <c r="W4482" t="s">
        <v>2754</v>
      </c>
      <c r="Z4482" t="s">
        <v>2755</v>
      </c>
      <c r="AA4482" t="s">
        <v>2756</v>
      </c>
    </row>
    <row r="4483" spans="1:27" x14ac:dyDescent="0.3">
      <c r="A4483" t="s">
        <v>4297</v>
      </c>
      <c r="B4483" t="s">
        <v>2733</v>
      </c>
      <c r="C4483" t="s">
        <v>16</v>
      </c>
      <c r="D4483" t="s">
        <v>218</v>
      </c>
      <c r="E4483" t="s">
        <v>37</v>
      </c>
    </row>
    <row r="4484" spans="1:27" x14ac:dyDescent="0.3">
      <c r="A4484" t="s">
        <v>4297</v>
      </c>
      <c r="B4484" t="s">
        <v>2733</v>
      </c>
      <c r="C4484" t="s">
        <v>11</v>
      </c>
      <c r="D4484" t="s">
        <v>12</v>
      </c>
      <c r="E4484" t="s">
        <v>13</v>
      </c>
      <c r="H4484" t="s">
        <v>382</v>
      </c>
      <c r="I4484" t="s">
        <v>4307</v>
      </c>
      <c r="L4484" t="s">
        <v>14</v>
      </c>
      <c r="M4484" t="s">
        <v>4307</v>
      </c>
    </row>
    <row r="4485" spans="1:27" x14ac:dyDescent="0.3">
      <c r="A4485" t="s">
        <v>4300</v>
      </c>
      <c r="B4485" t="s">
        <v>527</v>
      </c>
      <c r="C4485" t="s">
        <v>11</v>
      </c>
      <c r="D4485" t="s">
        <v>12</v>
      </c>
      <c r="E4485" t="s">
        <v>391</v>
      </c>
      <c r="H4485" t="s">
        <v>392</v>
      </c>
      <c r="I4485" t="s">
        <v>2758</v>
      </c>
      <c r="L4485" t="s">
        <v>394</v>
      </c>
      <c r="M4485" t="s">
        <v>4307</v>
      </c>
    </row>
    <row r="4486" spans="1:27" x14ac:dyDescent="0.3">
      <c r="A4486" t="s">
        <v>4299</v>
      </c>
      <c r="B4486" t="s">
        <v>2738</v>
      </c>
      <c r="C4486" t="s">
        <v>11</v>
      </c>
      <c r="D4486" t="s">
        <v>12</v>
      </c>
      <c r="E4486" t="s">
        <v>391</v>
      </c>
      <c r="H4486" t="s">
        <v>392</v>
      </c>
      <c r="I4486" t="s">
        <v>4308</v>
      </c>
      <c r="L4486" t="s">
        <v>394</v>
      </c>
      <c r="M4486" t="s">
        <v>4307</v>
      </c>
    </row>
    <row r="4487" spans="1:27" x14ac:dyDescent="0.3">
      <c r="A4487" t="s">
        <v>4298</v>
      </c>
      <c r="B4487" t="s">
        <v>2735</v>
      </c>
      <c r="C4487" t="s">
        <v>308</v>
      </c>
      <c r="D4487" t="s">
        <v>4309</v>
      </c>
      <c r="E4487" t="s">
        <v>406</v>
      </c>
      <c r="H4487" t="s">
        <v>25</v>
      </c>
      <c r="I4487" t="s">
        <v>2761</v>
      </c>
      <c r="L4487" t="s">
        <v>312</v>
      </c>
      <c r="M4487" t="s">
        <v>404</v>
      </c>
    </row>
    <row r="4488" spans="1:27" x14ac:dyDescent="0.3">
      <c r="A4488" t="s">
        <v>4309</v>
      </c>
      <c r="B4488" t="s">
        <v>406</v>
      </c>
      <c r="C4488" t="s">
        <v>11</v>
      </c>
      <c r="D4488" t="s">
        <v>12</v>
      </c>
      <c r="E4488" t="s">
        <v>391</v>
      </c>
      <c r="H4488" t="s">
        <v>392</v>
      </c>
      <c r="I4488" t="s">
        <v>4310</v>
      </c>
      <c r="L4488" t="s">
        <v>394</v>
      </c>
      <c r="M4488" t="s">
        <v>4307</v>
      </c>
    </row>
    <row r="4489" spans="1:27" x14ac:dyDescent="0.3">
      <c r="A4489" t="s">
        <v>4302</v>
      </c>
      <c r="B4489" t="s">
        <v>1138</v>
      </c>
      <c r="C4489" t="s">
        <v>11</v>
      </c>
      <c r="D4489" t="s">
        <v>12</v>
      </c>
      <c r="E4489" t="s">
        <v>391</v>
      </c>
      <c r="H4489" t="s">
        <v>392</v>
      </c>
      <c r="I4489" t="s">
        <v>4311</v>
      </c>
      <c r="L4489" t="s">
        <v>394</v>
      </c>
      <c r="M4489" t="s">
        <v>4307</v>
      </c>
    </row>
    <row r="4490" spans="1:27" x14ac:dyDescent="0.3">
      <c r="A4490" t="s">
        <v>4305</v>
      </c>
      <c r="B4490" t="s">
        <v>341</v>
      </c>
      <c r="C4490" t="s">
        <v>11</v>
      </c>
      <c r="D4490" t="s">
        <v>12</v>
      </c>
      <c r="E4490" t="s">
        <v>391</v>
      </c>
      <c r="H4490" t="s">
        <v>392</v>
      </c>
      <c r="I4490" t="s">
        <v>4312</v>
      </c>
      <c r="L4490" t="s">
        <v>394</v>
      </c>
      <c r="M4490" t="s">
        <v>4307</v>
      </c>
    </row>
    <row r="4491" spans="1:27" x14ac:dyDescent="0.3">
      <c r="A4491" t="s">
        <v>4303</v>
      </c>
      <c r="B4491" t="s">
        <v>1134</v>
      </c>
      <c r="C4491" t="s">
        <v>11</v>
      </c>
      <c r="D4491" t="s">
        <v>12</v>
      </c>
      <c r="E4491" t="s">
        <v>391</v>
      </c>
      <c r="H4491" t="s">
        <v>392</v>
      </c>
      <c r="I4491" t="s">
        <v>4313</v>
      </c>
      <c r="L4491" t="s">
        <v>394</v>
      </c>
      <c r="M4491" t="s">
        <v>4307</v>
      </c>
    </row>
    <row r="4492" spans="1:27" x14ac:dyDescent="0.3">
      <c r="A4492" t="s">
        <v>4304</v>
      </c>
      <c r="B4492" t="s">
        <v>1138</v>
      </c>
      <c r="C4492" t="s">
        <v>11</v>
      </c>
      <c r="D4492" t="s">
        <v>12</v>
      </c>
      <c r="E4492" t="s">
        <v>391</v>
      </c>
      <c r="H4492" t="s">
        <v>392</v>
      </c>
      <c r="I4492" t="s">
        <v>4314</v>
      </c>
      <c r="L4492" t="s">
        <v>394</v>
      </c>
      <c r="M4492" t="s">
        <v>4307</v>
      </c>
    </row>
    <row r="4493" spans="1:27" x14ac:dyDescent="0.3">
      <c r="A4493" t="s">
        <v>4301</v>
      </c>
      <c r="B4493" t="s">
        <v>2077</v>
      </c>
      <c r="C4493" t="s">
        <v>11</v>
      </c>
      <c r="D4493" t="s">
        <v>12</v>
      </c>
      <c r="E4493" t="s">
        <v>391</v>
      </c>
      <c r="H4493" t="s">
        <v>392</v>
      </c>
      <c r="I4493" t="s">
        <v>2128</v>
      </c>
      <c r="L4493" t="s">
        <v>394</v>
      </c>
      <c r="M4493" t="s">
        <v>4307</v>
      </c>
    </row>
    <row r="4494" spans="1:27" x14ac:dyDescent="0.3">
      <c r="A4494" t="s">
        <v>4315</v>
      </c>
      <c r="B4494" t="s">
        <v>2733</v>
      </c>
      <c r="C4494" t="s">
        <v>280</v>
      </c>
      <c r="D4494" t="s">
        <v>4316</v>
      </c>
      <c r="E4494" t="s">
        <v>2735</v>
      </c>
      <c r="H4494" t="s">
        <v>25</v>
      </c>
      <c r="I4494" t="s">
        <v>2736</v>
      </c>
    </row>
    <row r="4495" spans="1:27" x14ac:dyDescent="0.3">
      <c r="A4495" t="s">
        <v>4315</v>
      </c>
      <c r="B4495" t="s">
        <v>2733</v>
      </c>
      <c r="C4495" t="s">
        <v>308</v>
      </c>
      <c r="D4495" t="s">
        <v>4317</v>
      </c>
      <c r="E4495" t="s">
        <v>2738</v>
      </c>
      <c r="H4495" t="s">
        <v>25</v>
      </c>
      <c r="I4495" t="s">
        <v>2739</v>
      </c>
      <c r="L4495" t="s">
        <v>312</v>
      </c>
      <c r="M4495" t="s">
        <v>327</v>
      </c>
    </row>
    <row r="4496" spans="1:27" x14ac:dyDescent="0.3">
      <c r="A4496" t="s">
        <v>4315</v>
      </c>
      <c r="B4496" t="s">
        <v>2733</v>
      </c>
      <c r="C4496" t="s">
        <v>308</v>
      </c>
      <c r="D4496" t="s">
        <v>4318</v>
      </c>
      <c r="E4496" t="s">
        <v>527</v>
      </c>
      <c r="H4496" t="s">
        <v>25</v>
      </c>
      <c r="I4496" t="s">
        <v>2741</v>
      </c>
      <c r="L4496" t="s">
        <v>312</v>
      </c>
      <c r="M4496" t="s">
        <v>343</v>
      </c>
    </row>
    <row r="4497" spans="1:27" x14ac:dyDescent="0.3">
      <c r="A4497" t="s">
        <v>4315</v>
      </c>
      <c r="B4497" t="s">
        <v>2733</v>
      </c>
      <c r="C4497" t="s">
        <v>308</v>
      </c>
      <c r="D4497" t="s">
        <v>4319</v>
      </c>
      <c r="E4497" t="s">
        <v>2077</v>
      </c>
      <c r="H4497" t="s">
        <v>25</v>
      </c>
      <c r="I4497" t="s">
        <v>2078</v>
      </c>
      <c r="L4497" t="s">
        <v>312</v>
      </c>
      <c r="M4497" t="s">
        <v>1687</v>
      </c>
    </row>
    <row r="4498" spans="1:27" x14ac:dyDescent="0.3">
      <c r="A4498" t="s">
        <v>4315</v>
      </c>
      <c r="B4498" t="s">
        <v>2733</v>
      </c>
      <c r="C4498" t="s">
        <v>308</v>
      </c>
      <c r="D4498" t="s">
        <v>4320</v>
      </c>
      <c r="E4498" t="s">
        <v>1138</v>
      </c>
      <c r="H4498" t="s">
        <v>25</v>
      </c>
      <c r="I4498" t="s">
        <v>2065</v>
      </c>
      <c r="L4498" t="s">
        <v>312</v>
      </c>
      <c r="M4498" t="s">
        <v>317</v>
      </c>
    </row>
    <row r="4499" spans="1:27" x14ac:dyDescent="0.3">
      <c r="A4499" t="s">
        <v>4315</v>
      </c>
      <c r="B4499" t="s">
        <v>2733</v>
      </c>
      <c r="C4499" t="s">
        <v>308</v>
      </c>
      <c r="D4499" t="s">
        <v>4321</v>
      </c>
      <c r="E4499" t="s">
        <v>1134</v>
      </c>
      <c r="H4499" t="s">
        <v>25</v>
      </c>
      <c r="I4499" t="s">
        <v>2069</v>
      </c>
      <c r="L4499" t="s">
        <v>312</v>
      </c>
      <c r="M4499" t="s">
        <v>317</v>
      </c>
    </row>
    <row r="4500" spans="1:27" x14ac:dyDescent="0.3">
      <c r="A4500" t="s">
        <v>4315</v>
      </c>
      <c r="B4500" t="s">
        <v>2733</v>
      </c>
      <c r="C4500" t="s">
        <v>308</v>
      </c>
      <c r="D4500" t="s">
        <v>4322</v>
      </c>
      <c r="E4500" t="s">
        <v>1138</v>
      </c>
      <c r="H4500" t="s">
        <v>25</v>
      </c>
      <c r="I4500" t="s">
        <v>2746</v>
      </c>
      <c r="L4500" t="s">
        <v>312</v>
      </c>
      <c r="M4500" t="s">
        <v>317</v>
      </c>
    </row>
    <row r="4501" spans="1:27" x14ac:dyDescent="0.3">
      <c r="A4501" t="s">
        <v>4315</v>
      </c>
      <c r="B4501" t="s">
        <v>2733</v>
      </c>
      <c r="C4501" t="s">
        <v>308</v>
      </c>
      <c r="D4501" t="s">
        <v>4323</v>
      </c>
      <c r="E4501" t="s">
        <v>341</v>
      </c>
      <c r="H4501" t="s">
        <v>25</v>
      </c>
      <c r="I4501" t="s">
        <v>342</v>
      </c>
      <c r="L4501" t="s">
        <v>312</v>
      </c>
      <c r="M4501" t="s">
        <v>343</v>
      </c>
    </row>
    <row r="4502" spans="1:27" x14ac:dyDescent="0.3">
      <c r="A4502" t="s">
        <v>4315</v>
      </c>
      <c r="B4502" t="s">
        <v>2733</v>
      </c>
      <c r="C4502" t="s">
        <v>22</v>
      </c>
      <c r="D4502" t="s">
        <v>23</v>
      </c>
      <c r="E4502" t="s">
        <v>28</v>
      </c>
    </row>
    <row r="4503" spans="1:27" x14ac:dyDescent="0.3">
      <c r="A4503" t="s">
        <v>4315</v>
      </c>
      <c r="B4503" t="s">
        <v>2733</v>
      </c>
      <c r="C4503" t="s">
        <v>2748</v>
      </c>
      <c r="D4503">
        <v>1.5</v>
      </c>
      <c r="H4503" t="s">
        <v>312</v>
      </c>
      <c r="I4503" t="s">
        <v>385</v>
      </c>
    </row>
    <row r="4504" spans="1:27" x14ac:dyDescent="0.3">
      <c r="A4504" t="s">
        <v>4315</v>
      </c>
      <c r="B4504" t="s">
        <v>2733</v>
      </c>
      <c r="C4504" t="s">
        <v>378</v>
      </c>
      <c r="D4504">
        <v>120</v>
      </c>
      <c r="H4504" t="s">
        <v>312</v>
      </c>
      <c r="I4504" t="s">
        <v>327</v>
      </c>
    </row>
    <row r="4505" spans="1:27" x14ac:dyDescent="0.3">
      <c r="A4505" t="s">
        <v>4315</v>
      </c>
      <c r="B4505" t="s">
        <v>2733</v>
      </c>
      <c r="C4505" t="s">
        <v>380</v>
      </c>
      <c r="D4505" t="s">
        <v>554</v>
      </c>
      <c r="E4505" t="s">
        <v>279</v>
      </c>
      <c r="F4505" t="s">
        <v>25</v>
      </c>
      <c r="G4505" t="s">
        <v>4324</v>
      </c>
      <c r="J4505" t="s">
        <v>2089</v>
      </c>
      <c r="K4505" t="s">
        <v>2750</v>
      </c>
      <c r="N4505" t="s">
        <v>2751</v>
      </c>
      <c r="O4505">
        <v>1</v>
      </c>
      <c r="R4505" t="s">
        <v>2752</v>
      </c>
      <c r="S4505">
        <v>158</v>
      </c>
      <c r="V4505" t="s">
        <v>2753</v>
      </c>
      <c r="W4505" t="s">
        <v>2754</v>
      </c>
      <c r="Z4505" t="s">
        <v>2755</v>
      </c>
      <c r="AA4505" t="s">
        <v>2756</v>
      </c>
    </row>
    <row r="4506" spans="1:27" x14ac:dyDescent="0.3">
      <c r="A4506" t="s">
        <v>4315</v>
      </c>
      <c r="B4506" t="s">
        <v>2733</v>
      </c>
      <c r="C4506" t="s">
        <v>16</v>
      </c>
      <c r="D4506" t="s">
        <v>216</v>
      </c>
      <c r="E4506" t="s">
        <v>37</v>
      </c>
    </row>
    <row r="4507" spans="1:27" x14ac:dyDescent="0.3">
      <c r="A4507" t="s">
        <v>4315</v>
      </c>
      <c r="B4507" t="s">
        <v>2733</v>
      </c>
      <c r="C4507" t="s">
        <v>11</v>
      </c>
      <c r="D4507" t="s">
        <v>12</v>
      </c>
      <c r="E4507" t="s">
        <v>13</v>
      </c>
      <c r="H4507" t="s">
        <v>382</v>
      </c>
      <c r="I4507" t="s">
        <v>4325</v>
      </c>
      <c r="L4507" t="s">
        <v>14</v>
      </c>
      <c r="M4507" t="s">
        <v>4325</v>
      </c>
    </row>
    <row r="4508" spans="1:27" x14ac:dyDescent="0.3">
      <c r="A4508" t="s">
        <v>4318</v>
      </c>
      <c r="B4508" t="s">
        <v>527</v>
      </c>
      <c r="C4508" t="s">
        <v>11</v>
      </c>
      <c r="D4508" t="s">
        <v>12</v>
      </c>
      <c r="E4508" t="s">
        <v>391</v>
      </c>
      <c r="H4508" t="s">
        <v>392</v>
      </c>
      <c r="I4508" t="s">
        <v>2758</v>
      </c>
      <c r="L4508" t="s">
        <v>394</v>
      </c>
      <c r="M4508" t="s">
        <v>4325</v>
      </c>
    </row>
    <row r="4509" spans="1:27" x14ac:dyDescent="0.3">
      <c r="A4509" t="s">
        <v>4317</v>
      </c>
      <c r="B4509" t="s">
        <v>2738</v>
      </c>
      <c r="C4509" t="s">
        <v>11</v>
      </c>
      <c r="D4509" t="s">
        <v>12</v>
      </c>
      <c r="E4509" t="s">
        <v>391</v>
      </c>
      <c r="H4509" t="s">
        <v>392</v>
      </c>
      <c r="I4509" t="s">
        <v>4326</v>
      </c>
      <c r="L4509" t="s">
        <v>394</v>
      </c>
      <c r="M4509" t="s">
        <v>4325</v>
      </c>
    </row>
    <row r="4510" spans="1:27" x14ac:dyDescent="0.3">
      <c r="A4510" t="s">
        <v>4316</v>
      </c>
      <c r="B4510" t="s">
        <v>2735</v>
      </c>
      <c r="C4510" t="s">
        <v>308</v>
      </c>
      <c r="D4510" t="s">
        <v>4327</v>
      </c>
      <c r="E4510" t="s">
        <v>406</v>
      </c>
      <c r="H4510" t="s">
        <v>25</v>
      </c>
      <c r="I4510" t="s">
        <v>2761</v>
      </c>
      <c r="L4510" t="s">
        <v>312</v>
      </c>
      <c r="M4510" t="s">
        <v>404</v>
      </c>
    </row>
    <row r="4511" spans="1:27" x14ac:dyDescent="0.3">
      <c r="A4511" t="s">
        <v>4327</v>
      </c>
      <c r="B4511" t="s">
        <v>406</v>
      </c>
      <c r="C4511" t="s">
        <v>11</v>
      </c>
      <c r="D4511" t="s">
        <v>12</v>
      </c>
      <c r="E4511" t="s">
        <v>391</v>
      </c>
      <c r="H4511" t="s">
        <v>392</v>
      </c>
      <c r="I4511" t="s">
        <v>4328</v>
      </c>
      <c r="L4511" t="s">
        <v>394</v>
      </c>
      <c r="M4511" t="s">
        <v>4325</v>
      </c>
    </row>
    <row r="4512" spans="1:27" x14ac:dyDescent="0.3">
      <c r="A4512" t="s">
        <v>4320</v>
      </c>
      <c r="B4512" t="s">
        <v>1138</v>
      </c>
      <c r="C4512" t="s">
        <v>11</v>
      </c>
      <c r="D4512" t="s">
        <v>12</v>
      </c>
      <c r="E4512" t="s">
        <v>391</v>
      </c>
      <c r="H4512" t="s">
        <v>392</v>
      </c>
      <c r="I4512" t="s">
        <v>4329</v>
      </c>
      <c r="L4512" t="s">
        <v>394</v>
      </c>
      <c r="M4512" t="s">
        <v>4325</v>
      </c>
    </row>
    <row r="4513" spans="1:27" x14ac:dyDescent="0.3">
      <c r="A4513" t="s">
        <v>4323</v>
      </c>
      <c r="B4513" t="s">
        <v>341</v>
      </c>
      <c r="C4513" t="s">
        <v>11</v>
      </c>
      <c r="D4513" t="s">
        <v>12</v>
      </c>
      <c r="E4513" t="s">
        <v>391</v>
      </c>
      <c r="H4513" t="s">
        <v>392</v>
      </c>
      <c r="I4513" t="s">
        <v>4330</v>
      </c>
      <c r="L4513" t="s">
        <v>394</v>
      </c>
      <c r="M4513" t="s">
        <v>4325</v>
      </c>
    </row>
    <row r="4514" spans="1:27" x14ac:dyDescent="0.3">
      <c r="A4514" t="s">
        <v>4321</v>
      </c>
      <c r="B4514" t="s">
        <v>1134</v>
      </c>
      <c r="C4514" t="s">
        <v>11</v>
      </c>
      <c r="D4514" t="s">
        <v>12</v>
      </c>
      <c r="E4514" t="s">
        <v>391</v>
      </c>
      <c r="H4514" t="s">
        <v>392</v>
      </c>
      <c r="I4514" t="s">
        <v>4331</v>
      </c>
      <c r="L4514" t="s">
        <v>394</v>
      </c>
      <c r="M4514" t="s">
        <v>4325</v>
      </c>
    </row>
    <row r="4515" spans="1:27" x14ac:dyDescent="0.3">
      <c r="A4515" t="s">
        <v>4322</v>
      </c>
      <c r="B4515" t="s">
        <v>1138</v>
      </c>
      <c r="C4515" t="s">
        <v>11</v>
      </c>
      <c r="D4515" t="s">
        <v>12</v>
      </c>
      <c r="E4515" t="s">
        <v>391</v>
      </c>
      <c r="H4515" t="s">
        <v>392</v>
      </c>
      <c r="I4515" t="s">
        <v>4332</v>
      </c>
      <c r="L4515" t="s">
        <v>394</v>
      </c>
      <c r="M4515" t="s">
        <v>4325</v>
      </c>
    </row>
    <row r="4516" spans="1:27" x14ac:dyDescent="0.3">
      <c r="A4516" t="s">
        <v>4319</v>
      </c>
      <c r="B4516" t="s">
        <v>2077</v>
      </c>
      <c r="C4516" t="s">
        <v>11</v>
      </c>
      <c r="D4516" t="s">
        <v>12</v>
      </c>
      <c r="E4516" t="s">
        <v>391</v>
      </c>
      <c r="H4516" t="s">
        <v>392</v>
      </c>
      <c r="I4516" t="s">
        <v>2128</v>
      </c>
      <c r="L4516" t="s">
        <v>394</v>
      </c>
      <c r="M4516" t="s">
        <v>4325</v>
      </c>
    </row>
    <row r="4517" spans="1:27" x14ac:dyDescent="0.3">
      <c r="A4517" t="s">
        <v>4333</v>
      </c>
      <c r="B4517" t="s">
        <v>2733</v>
      </c>
      <c r="C4517" t="s">
        <v>280</v>
      </c>
      <c r="D4517" t="s">
        <v>4334</v>
      </c>
      <c r="E4517" t="s">
        <v>2735</v>
      </c>
      <c r="H4517" t="s">
        <v>25</v>
      </c>
      <c r="I4517" t="s">
        <v>2736</v>
      </c>
    </row>
    <row r="4518" spans="1:27" x14ac:dyDescent="0.3">
      <c r="A4518" t="s">
        <v>4333</v>
      </c>
      <c r="B4518" t="s">
        <v>2733</v>
      </c>
      <c r="C4518" t="s">
        <v>308</v>
      </c>
      <c r="D4518" t="s">
        <v>4335</v>
      </c>
      <c r="E4518" t="s">
        <v>2738</v>
      </c>
      <c r="H4518" t="s">
        <v>25</v>
      </c>
      <c r="I4518" t="s">
        <v>2739</v>
      </c>
      <c r="L4518" t="s">
        <v>312</v>
      </c>
      <c r="M4518" t="s">
        <v>327</v>
      </c>
    </row>
    <row r="4519" spans="1:27" x14ac:dyDescent="0.3">
      <c r="A4519" t="s">
        <v>4333</v>
      </c>
      <c r="B4519" t="s">
        <v>2733</v>
      </c>
      <c r="C4519" t="s">
        <v>308</v>
      </c>
      <c r="D4519" t="s">
        <v>4336</v>
      </c>
      <c r="E4519" t="s">
        <v>527</v>
      </c>
      <c r="H4519" t="s">
        <v>25</v>
      </c>
      <c r="I4519" t="s">
        <v>2741</v>
      </c>
      <c r="L4519" t="s">
        <v>312</v>
      </c>
      <c r="M4519" t="s">
        <v>343</v>
      </c>
    </row>
    <row r="4520" spans="1:27" x14ac:dyDescent="0.3">
      <c r="A4520" t="s">
        <v>4333</v>
      </c>
      <c r="B4520" t="s">
        <v>2733</v>
      </c>
      <c r="C4520" t="s">
        <v>308</v>
      </c>
      <c r="D4520" t="s">
        <v>4337</v>
      </c>
      <c r="E4520" t="s">
        <v>2077</v>
      </c>
      <c r="H4520" t="s">
        <v>25</v>
      </c>
      <c r="I4520" t="s">
        <v>2078</v>
      </c>
      <c r="L4520" t="s">
        <v>312</v>
      </c>
      <c r="M4520" t="s">
        <v>1687</v>
      </c>
    </row>
    <row r="4521" spans="1:27" x14ac:dyDescent="0.3">
      <c r="A4521" t="s">
        <v>4333</v>
      </c>
      <c r="B4521" t="s">
        <v>2733</v>
      </c>
      <c r="C4521" t="s">
        <v>308</v>
      </c>
      <c r="D4521" t="s">
        <v>4338</v>
      </c>
      <c r="E4521" t="s">
        <v>1138</v>
      </c>
      <c r="H4521" t="s">
        <v>25</v>
      </c>
      <c r="I4521" t="s">
        <v>2065</v>
      </c>
      <c r="L4521" t="s">
        <v>312</v>
      </c>
      <c r="M4521" t="s">
        <v>317</v>
      </c>
    </row>
    <row r="4522" spans="1:27" x14ac:dyDescent="0.3">
      <c r="A4522" t="s">
        <v>4333</v>
      </c>
      <c r="B4522" t="s">
        <v>2733</v>
      </c>
      <c r="C4522" t="s">
        <v>308</v>
      </c>
      <c r="D4522" t="s">
        <v>4339</v>
      </c>
      <c r="E4522" t="s">
        <v>1134</v>
      </c>
      <c r="H4522" t="s">
        <v>25</v>
      </c>
      <c r="I4522" t="s">
        <v>2069</v>
      </c>
      <c r="L4522" t="s">
        <v>312</v>
      </c>
      <c r="M4522" t="s">
        <v>317</v>
      </c>
    </row>
    <row r="4523" spans="1:27" x14ac:dyDescent="0.3">
      <c r="A4523" t="s">
        <v>4333</v>
      </c>
      <c r="B4523" t="s">
        <v>2733</v>
      </c>
      <c r="C4523" t="s">
        <v>308</v>
      </c>
      <c r="D4523" t="s">
        <v>4340</v>
      </c>
      <c r="E4523" t="s">
        <v>1138</v>
      </c>
      <c r="H4523" t="s">
        <v>25</v>
      </c>
      <c r="I4523" t="s">
        <v>2746</v>
      </c>
      <c r="L4523" t="s">
        <v>312</v>
      </c>
      <c r="M4523" t="s">
        <v>317</v>
      </c>
    </row>
    <row r="4524" spans="1:27" x14ac:dyDescent="0.3">
      <c r="A4524" t="s">
        <v>4333</v>
      </c>
      <c r="B4524" t="s">
        <v>2733</v>
      </c>
      <c r="C4524" t="s">
        <v>308</v>
      </c>
      <c r="D4524" t="s">
        <v>4341</v>
      </c>
      <c r="E4524" t="s">
        <v>341</v>
      </c>
      <c r="H4524" t="s">
        <v>25</v>
      </c>
      <c r="I4524" t="s">
        <v>342</v>
      </c>
      <c r="L4524" t="s">
        <v>312</v>
      </c>
      <c r="M4524" t="s">
        <v>343</v>
      </c>
    </row>
    <row r="4525" spans="1:27" x14ac:dyDescent="0.3">
      <c r="A4525" t="s">
        <v>4333</v>
      </c>
      <c r="B4525" t="s">
        <v>2733</v>
      </c>
      <c r="C4525" t="s">
        <v>22</v>
      </c>
      <c r="D4525" t="s">
        <v>23</v>
      </c>
      <c r="E4525" t="s">
        <v>28</v>
      </c>
    </row>
    <row r="4526" spans="1:27" x14ac:dyDescent="0.3">
      <c r="A4526" t="s">
        <v>4333</v>
      </c>
      <c r="B4526" t="s">
        <v>2733</v>
      </c>
      <c r="C4526" t="s">
        <v>2748</v>
      </c>
      <c r="D4526">
        <v>1.5</v>
      </c>
      <c r="H4526" t="s">
        <v>312</v>
      </c>
      <c r="I4526" t="s">
        <v>385</v>
      </c>
    </row>
    <row r="4527" spans="1:27" x14ac:dyDescent="0.3">
      <c r="A4527" t="s">
        <v>4333</v>
      </c>
      <c r="B4527" t="s">
        <v>2733</v>
      </c>
      <c r="C4527" t="s">
        <v>378</v>
      </c>
      <c r="D4527">
        <v>140</v>
      </c>
      <c r="H4527" t="s">
        <v>312</v>
      </c>
      <c r="I4527" t="s">
        <v>327</v>
      </c>
    </row>
    <row r="4528" spans="1:27" x14ac:dyDescent="0.3">
      <c r="A4528" t="s">
        <v>4333</v>
      </c>
      <c r="B4528" t="s">
        <v>2733</v>
      </c>
      <c r="C4528" t="s">
        <v>380</v>
      </c>
      <c r="D4528" t="s">
        <v>554</v>
      </c>
      <c r="E4528" t="s">
        <v>279</v>
      </c>
      <c r="F4528" t="s">
        <v>25</v>
      </c>
      <c r="G4528" t="s">
        <v>4342</v>
      </c>
      <c r="J4528" t="s">
        <v>2089</v>
      </c>
      <c r="K4528" t="s">
        <v>2750</v>
      </c>
      <c r="N4528" t="s">
        <v>2751</v>
      </c>
      <c r="O4528">
        <v>1</v>
      </c>
      <c r="R4528" t="s">
        <v>2752</v>
      </c>
      <c r="S4528">
        <v>158</v>
      </c>
      <c r="V4528" t="s">
        <v>2753</v>
      </c>
      <c r="W4528" t="s">
        <v>2754</v>
      </c>
      <c r="Z4528" t="s">
        <v>2755</v>
      </c>
      <c r="AA4528" t="s">
        <v>2756</v>
      </c>
    </row>
    <row r="4529" spans="1:13" x14ac:dyDescent="0.3">
      <c r="A4529" t="s">
        <v>4333</v>
      </c>
      <c r="B4529" t="s">
        <v>2733</v>
      </c>
      <c r="C4529" t="s">
        <v>16</v>
      </c>
      <c r="D4529" t="s">
        <v>214</v>
      </c>
      <c r="E4529" t="s">
        <v>37</v>
      </c>
    </row>
    <row r="4530" spans="1:13" x14ac:dyDescent="0.3">
      <c r="A4530" t="s">
        <v>4333</v>
      </c>
      <c r="B4530" t="s">
        <v>2733</v>
      </c>
      <c r="C4530" t="s">
        <v>11</v>
      </c>
      <c r="D4530" t="s">
        <v>12</v>
      </c>
      <c r="E4530" t="s">
        <v>13</v>
      </c>
      <c r="H4530" t="s">
        <v>382</v>
      </c>
      <c r="I4530" t="s">
        <v>4343</v>
      </c>
      <c r="L4530" t="s">
        <v>14</v>
      </c>
      <c r="M4530" t="s">
        <v>4343</v>
      </c>
    </row>
    <row r="4531" spans="1:13" x14ac:dyDescent="0.3">
      <c r="A4531" t="s">
        <v>4336</v>
      </c>
      <c r="B4531" t="s">
        <v>527</v>
      </c>
      <c r="C4531" t="s">
        <v>11</v>
      </c>
      <c r="D4531" t="s">
        <v>12</v>
      </c>
      <c r="E4531" t="s">
        <v>391</v>
      </c>
      <c r="H4531" t="s">
        <v>392</v>
      </c>
      <c r="I4531" t="s">
        <v>2758</v>
      </c>
      <c r="L4531" t="s">
        <v>394</v>
      </c>
      <c r="M4531" t="s">
        <v>4343</v>
      </c>
    </row>
    <row r="4532" spans="1:13" x14ac:dyDescent="0.3">
      <c r="A4532" t="s">
        <v>4335</v>
      </c>
      <c r="B4532" t="s">
        <v>2738</v>
      </c>
      <c r="C4532" t="s">
        <v>11</v>
      </c>
      <c r="D4532" t="s">
        <v>12</v>
      </c>
      <c r="E4532" t="s">
        <v>391</v>
      </c>
      <c r="H4532" t="s">
        <v>392</v>
      </c>
      <c r="I4532" t="s">
        <v>4344</v>
      </c>
      <c r="L4532" t="s">
        <v>394</v>
      </c>
      <c r="M4532" t="s">
        <v>4343</v>
      </c>
    </row>
    <row r="4533" spans="1:13" x14ac:dyDescent="0.3">
      <c r="A4533" t="s">
        <v>4334</v>
      </c>
      <c r="B4533" t="s">
        <v>2735</v>
      </c>
      <c r="C4533" t="s">
        <v>308</v>
      </c>
      <c r="D4533" t="s">
        <v>4345</v>
      </c>
      <c r="E4533" t="s">
        <v>406</v>
      </c>
      <c r="H4533" t="s">
        <v>25</v>
      </c>
      <c r="I4533" t="s">
        <v>2761</v>
      </c>
      <c r="L4533" t="s">
        <v>312</v>
      </c>
      <c r="M4533" t="s">
        <v>404</v>
      </c>
    </row>
    <row r="4534" spans="1:13" x14ac:dyDescent="0.3">
      <c r="A4534" t="s">
        <v>4345</v>
      </c>
      <c r="B4534" t="s">
        <v>406</v>
      </c>
      <c r="C4534" t="s">
        <v>11</v>
      </c>
      <c r="D4534" t="s">
        <v>12</v>
      </c>
      <c r="E4534" t="s">
        <v>391</v>
      </c>
      <c r="H4534" t="s">
        <v>392</v>
      </c>
      <c r="I4534" t="s">
        <v>4346</v>
      </c>
      <c r="L4534" t="s">
        <v>394</v>
      </c>
      <c r="M4534" t="s">
        <v>4343</v>
      </c>
    </row>
    <row r="4535" spans="1:13" x14ac:dyDescent="0.3">
      <c r="A4535" t="s">
        <v>4338</v>
      </c>
      <c r="B4535" t="s">
        <v>1138</v>
      </c>
      <c r="C4535" t="s">
        <v>11</v>
      </c>
      <c r="D4535" t="s">
        <v>12</v>
      </c>
      <c r="E4535" t="s">
        <v>391</v>
      </c>
      <c r="H4535" t="s">
        <v>392</v>
      </c>
      <c r="I4535" t="s">
        <v>4347</v>
      </c>
      <c r="L4535" t="s">
        <v>394</v>
      </c>
      <c r="M4535" t="s">
        <v>4343</v>
      </c>
    </row>
    <row r="4536" spans="1:13" x14ac:dyDescent="0.3">
      <c r="A4536" t="s">
        <v>4341</v>
      </c>
      <c r="B4536" t="s">
        <v>341</v>
      </c>
      <c r="C4536" t="s">
        <v>11</v>
      </c>
      <c r="D4536" t="s">
        <v>12</v>
      </c>
      <c r="E4536" t="s">
        <v>391</v>
      </c>
      <c r="H4536" t="s">
        <v>392</v>
      </c>
      <c r="I4536" t="s">
        <v>4348</v>
      </c>
      <c r="L4536" t="s">
        <v>394</v>
      </c>
      <c r="M4536" t="s">
        <v>4343</v>
      </c>
    </row>
    <row r="4537" spans="1:13" x14ac:dyDescent="0.3">
      <c r="A4537" t="s">
        <v>4339</v>
      </c>
      <c r="B4537" t="s">
        <v>1134</v>
      </c>
      <c r="C4537" t="s">
        <v>11</v>
      </c>
      <c r="D4537" t="s">
        <v>12</v>
      </c>
      <c r="E4537" t="s">
        <v>391</v>
      </c>
      <c r="H4537" t="s">
        <v>392</v>
      </c>
      <c r="I4537" t="s">
        <v>4349</v>
      </c>
      <c r="L4537" t="s">
        <v>394</v>
      </c>
      <c r="M4537" t="s">
        <v>4343</v>
      </c>
    </row>
    <row r="4538" spans="1:13" x14ac:dyDescent="0.3">
      <c r="A4538" t="s">
        <v>4340</v>
      </c>
      <c r="B4538" t="s">
        <v>1138</v>
      </c>
      <c r="C4538" t="s">
        <v>11</v>
      </c>
      <c r="D4538" t="s">
        <v>12</v>
      </c>
      <c r="E4538" t="s">
        <v>391</v>
      </c>
      <c r="H4538" t="s">
        <v>392</v>
      </c>
      <c r="I4538" t="s">
        <v>4350</v>
      </c>
      <c r="L4538" t="s">
        <v>394</v>
      </c>
      <c r="M4538" t="s">
        <v>4343</v>
      </c>
    </row>
    <row r="4539" spans="1:13" x14ac:dyDescent="0.3">
      <c r="A4539" t="s">
        <v>4337</v>
      </c>
      <c r="B4539" t="s">
        <v>2077</v>
      </c>
      <c r="C4539" t="s">
        <v>11</v>
      </c>
      <c r="D4539" t="s">
        <v>12</v>
      </c>
      <c r="E4539" t="s">
        <v>391</v>
      </c>
      <c r="H4539" t="s">
        <v>392</v>
      </c>
      <c r="I4539" t="s">
        <v>2128</v>
      </c>
      <c r="L4539" t="s">
        <v>394</v>
      </c>
      <c r="M4539" t="s">
        <v>4343</v>
      </c>
    </row>
    <row r="4540" spans="1:13" x14ac:dyDescent="0.3">
      <c r="A4540" t="s">
        <v>4351</v>
      </c>
      <c r="B4540" t="s">
        <v>2733</v>
      </c>
      <c r="C4540" t="s">
        <v>280</v>
      </c>
      <c r="D4540" t="s">
        <v>4352</v>
      </c>
      <c r="E4540" t="s">
        <v>2735</v>
      </c>
      <c r="H4540" t="s">
        <v>25</v>
      </c>
      <c r="I4540" t="s">
        <v>2736</v>
      </c>
    </row>
    <row r="4541" spans="1:13" x14ac:dyDescent="0.3">
      <c r="A4541" t="s">
        <v>4351</v>
      </c>
      <c r="B4541" t="s">
        <v>2733</v>
      </c>
      <c r="C4541" t="s">
        <v>308</v>
      </c>
      <c r="D4541" t="s">
        <v>4353</v>
      </c>
      <c r="E4541" t="s">
        <v>2738</v>
      </c>
      <c r="H4541" t="s">
        <v>25</v>
      </c>
      <c r="I4541" t="s">
        <v>2739</v>
      </c>
      <c r="L4541" t="s">
        <v>312</v>
      </c>
      <c r="M4541" t="s">
        <v>327</v>
      </c>
    </row>
    <row r="4542" spans="1:13" x14ac:dyDescent="0.3">
      <c r="A4542" t="s">
        <v>4351</v>
      </c>
      <c r="B4542" t="s">
        <v>2733</v>
      </c>
      <c r="C4542" t="s">
        <v>308</v>
      </c>
      <c r="D4542" t="s">
        <v>4354</v>
      </c>
      <c r="E4542" t="s">
        <v>527</v>
      </c>
      <c r="H4542" t="s">
        <v>25</v>
      </c>
      <c r="I4542" t="s">
        <v>2741</v>
      </c>
      <c r="L4542" t="s">
        <v>312</v>
      </c>
      <c r="M4542" t="s">
        <v>343</v>
      </c>
    </row>
    <row r="4543" spans="1:13" x14ac:dyDescent="0.3">
      <c r="A4543" t="s">
        <v>4351</v>
      </c>
      <c r="B4543" t="s">
        <v>2733</v>
      </c>
      <c r="C4543" t="s">
        <v>308</v>
      </c>
      <c r="D4543" t="s">
        <v>4355</v>
      </c>
      <c r="E4543" t="s">
        <v>2077</v>
      </c>
      <c r="H4543" t="s">
        <v>25</v>
      </c>
      <c r="I4543" t="s">
        <v>2078</v>
      </c>
      <c r="L4543" t="s">
        <v>312</v>
      </c>
      <c r="M4543" t="s">
        <v>1687</v>
      </c>
    </row>
    <row r="4544" spans="1:13" x14ac:dyDescent="0.3">
      <c r="A4544" t="s">
        <v>4351</v>
      </c>
      <c r="B4544" t="s">
        <v>2733</v>
      </c>
      <c r="C4544" t="s">
        <v>308</v>
      </c>
      <c r="D4544" t="s">
        <v>4356</v>
      </c>
      <c r="E4544" t="s">
        <v>1138</v>
      </c>
      <c r="H4544" t="s">
        <v>25</v>
      </c>
      <c r="I4544" t="s">
        <v>2065</v>
      </c>
      <c r="L4544" t="s">
        <v>312</v>
      </c>
      <c r="M4544" t="s">
        <v>317</v>
      </c>
    </row>
    <row r="4545" spans="1:27" x14ac:dyDescent="0.3">
      <c r="A4545" t="s">
        <v>4351</v>
      </c>
      <c r="B4545" t="s">
        <v>2733</v>
      </c>
      <c r="C4545" t="s">
        <v>308</v>
      </c>
      <c r="D4545" t="s">
        <v>4357</v>
      </c>
      <c r="E4545" t="s">
        <v>1134</v>
      </c>
      <c r="H4545" t="s">
        <v>25</v>
      </c>
      <c r="I4545" t="s">
        <v>2069</v>
      </c>
      <c r="L4545" t="s">
        <v>312</v>
      </c>
      <c r="M4545" t="s">
        <v>317</v>
      </c>
    </row>
    <row r="4546" spans="1:27" x14ac:dyDescent="0.3">
      <c r="A4546" t="s">
        <v>4351</v>
      </c>
      <c r="B4546" t="s">
        <v>2733</v>
      </c>
      <c r="C4546" t="s">
        <v>308</v>
      </c>
      <c r="D4546" t="s">
        <v>4358</v>
      </c>
      <c r="E4546" t="s">
        <v>1138</v>
      </c>
      <c r="H4546" t="s">
        <v>25</v>
      </c>
      <c r="I4546" t="s">
        <v>2746</v>
      </c>
      <c r="L4546" t="s">
        <v>312</v>
      </c>
      <c r="M4546" t="s">
        <v>317</v>
      </c>
    </row>
    <row r="4547" spans="1:27" x14ac:dyDescent="0.3">
      <c r="A4547" t="s">
        <v>4351</v>
      </c>
      <c r="B4547" t="s">
        <v>2733</v>
      </c>
      <c r="C4547" t="s">
        <v>308</v>
      </c>
      <c r="D4547" t="s">
        <v>4359</v>
      </c>
      <c r="E4547" t="s">
        <v>341</v>
      </c>
      <c r="H4547" t="s">
        <v>25</v>
      </c>
      <c r="I4547" t="s">
        <v>342</v>
      </c>
      <c r="L4547" t="s">
        <v>312</v>
      </c>
      <c r="M4547" t="s">
        <v>343</v>
      </c>
    </row>
    <row r="4548" spans="1:27" x14ac:dyDescent="0.3">
      <c r="A4548" t="s">
        <v>4351</v>
      </c>
      <c r="B4548" t="s">
        <v>2733</v>
      </c>
      <c r="C4548" t="s">
        <v>22</v>
      </c>
      <c r="D4548" t="s">
        <v>23</v>
      </c>
      <c r="E4548" t="s">
        <v>28</v>
      </c>
    </row>
    <row r="4549" spans="1:27" x14ac:dyDescent="0.3">
      <c r="A4549" t="s">
        <v>4351</v>
      </c>
      <c r="B4549" t="s">
        <v>2733</v>
      </c>
      <c r="C4549" t="s">
        <v>2748</v>
      </c>
      <c r="D4549">
        <v>1.5</v>
      </c>
      <c r="H4549" t="s">
        <v>312</v>
      </c>
      <c r="I4549" t="s">
        <v>385</v>
      </c>
    </row>
    <row r="4550" spans="1:27" x14ac:dyDescent="0.3">
      <c r="A4550" t="s">
        <v>4351</v>
      </c>
      <c r="B4550" t="s">
        <v>2733</v>
      </c>
      <c r="C4550" t="s">
        <v>378</v>
      </c>
      <c r="D4550">
        <v>140</v>
      </c>
      <c r="H4550" t="s">
        <v>312</v>
      </c>
      <c r="I4550" t="s">
        <v>327</v>
      </c>
    </row>
    <row r="4551" spans="1:27" x14ac:dyDescent="0.3">
      <c r="A4551" t="s">
        <v>4351</v>
      </c>
      <c r="B4551" t="s">
        <v>2733</v>
      </c>
      <c r="C4551" t="s">
        <v>380</v>
      </c>
      <c r="D4551" t="s">
        <v>554</v>
      </c>
      <c r="E4551" t="s">
        <v>279</v>
      </c>
      <c r="F4551" t="s">
        <v>25</v>
      </c>
      <c r="G4551" t="s">
        <v>4360</v>
      </c>
      <c r="J4551" t="s">
        <v>2089</v>
      </c>
      <c r="K4551" t="s">
        <v>2750</v>
      </c>
      <c r="N4551" t="s">
        <v>2751</v>
      </c>
      <c r="O4551">
        <v>1</v>
      </c>
      <c r="R4551" t="s">
        <v>2752</v>
      </c>
      <c r="S4551">
        <v>158</v>
      </c>
      <c r="V4551" t="s">
        <v>2753</v>
      </c>
      <c r="W4551" t="s">
        <v>2754</v>
      </c>
      <c r="Z4551" t="s">
        <v>2755</v>
      </c>
      <c r="AA4551" t="s">
        <v>2756</v>
      </c>
    </row>
    <row r="4552" spans="1:27" x14ac:dyDescent="0.3">
      <c r="A4552" t="s">
        <v>4351</v>
      </c>
      <c r="B4552" t="s">
        <v>2733</v>
      </c>
      <c r="C4552" t="s">
        <v>16</v>
      </c>
      <c r="D4552" t="s">
        <v>212</v>
      </c>
      <c r="E4552" t="s">
        <v>37</v>
      </c>
    </row>
    <row r="4553" spans="1:27" x14ac:dyDescent="0.3">
      <c r="A4553" t="s">
        <v>4351</v>
      </c>
      <c r="B4553" t="s">
        <v>2733</v>
      </c>
      <c r="C4553" t="s">
        <v>11</v>
      </c>
      <c r="D4553" t="s">
        <v>12</v>
      </c>
      <c r="E4553" t="s">
        <v>13</v>
      </c>
      <c r="H4553" t="s">
        <v>382</v>
      </c>
      <c r="I4553" t="s">
        <v>4361</v>
      </c>
      <c r="L4553" t="s">
        <v>14</v>
      </c>
      <c r="M4553" t="s">
        <v>4361</v>
      </c>
    </row>
    <row r="4554" spans="1:27" x14ac:dyDescent="0.3">
      <c r="A4554" t="s">
        <v>4354</v>
      </c>
      <c r="B4554" t="s">
        <v>527</v>
      </c>
      <c r="C4554" t="s">
        <v>11</v>
      </c>
      <c r="D4554" t="s">
        <v>12</v>
      </c>
      <c r="E4554" t="s">
        <v>391</v>
      </c>
      <c r="H4554" t="s">
        <v>392</v>
      </c>
      <c r="I4554" t="s">
        <v>2758</v>
      </c>
      <c r="L4554" t="s">
        <v>394</v>
      </c>
      <c r="M4554" t="s">
        <v>4361</v>
      </c>
    </row>
    <row r="4555" spans="1:27" x14ac:dyDescent="0.3">
      <c r="A4555" t="s">
        <v>4353</v>
      </c>
      <c r="B4555" t="s">
        <v>2738</v>
      </c>
      <c r="C4555" t="s">
        <v>11</v>
      </c>
      <c r="D4555" t="s">
        <v>12</v>
      </c>
      <c r="E4555" t="s">
        <v>391</v>
      </c>
      <c r="H4555" t="s">
        <v>392</v>
      </c>
      <c r="I4555" t="s">
        <v>4362</v>
      </c>
      <c r="L4555" t="s">
        <v>394</v>
      </c>
      <c r="M4555" t="s">
        <v>4361</v>
      </c>
    </row>
    <row r="4556" spans="1:27" x14ac:dyDescent="0.3">
      <c r="A4556" t="s">
        <v>4352</v>
      </c>
      <c r="B4556" t="s">
        <v>2735</v>
      </c>
      <c r="C4556" t="s">
        <v>308</v>
      </c>
      <c r="D4556" t="s">
        <v>4363</v>
      </c>
      <c r="E4556" t="s">
        <v>406</v>
      </c>
      <c r="H4556" t="s">
        <v>25</v>
      </c>
      <c r="I4556" t="s">
        <v>2761</v>
      </c>
      <c r="L4556" t="s">
        <v>312</v>
      </c>
      <c r="M4556" t="s">
        <v>404</v>
      </c>
    </row>
    <row r="4557" spans="1:27" x14ac:dyDescent="0.3">
      <c r="A4557" t="s">
        <v>4363</v>
      </c>
      <c r="B4557" t="s">
        <v>406</v>
      </c>
      <c r="C4557" t="s">
        <v>11</v>
      </c>
      <c r="D4557" t="s">
        <v>12</v>
      </c>
      <c r="E4557" t="s">
        <v>391</v>
      </c>
      <c r="H4557" t="s">
        <v>392</v>
      </c>
      <c r="I4557" t="s">
        <v>4364</v>
      </c>
      <c r="L4557" t="s">
        <v>394</v>
      </c>
      <c r="M4557" t="s">
        <v>4361</v>
      </c>
    </row>
    <row r="4558" spans="1:27" x14ac:dyDescent="0.3">
      <c r="A4558" t="s">
        <v>4356</v>
      </c>
      <c r="B4558" t="s">
        <v>1138</v>
      </c>
      <c r="C4558" t="s">
        <v>11</v>
      </c>
      <c r="D4558" t="s">
        <v>12</v>
      </c>
      <c r="E4558" t="s">
        <v>391</v>
      </c>
      <c r="H4558" t="s">
        <v>392</v>
      </c>
      <c r="I4558" t="s">
        <v>4365</v>
      </c>
      <c r="L4558" t="s">
        <v>394</v>
      </c>
      <c r="M4558" t="s">
        <v>4361</v>
      </c>
    </row>
    <row r="4559" spans="1:27" x14ac:dyDescent="0.3">
      <c r="A4559" t="s">
        <v>4359</v>
      </c>
      <c r="B4559" t="s">
        <v>341</v>
      </c>
      <c r="C4559" t="s">
        <v>11</v>
      </c>
      <c r="D4559" t="s">
        <v>12</v>
      </c>
      <c r="E4559" t="s">
        <v>391</v>
      </c>
      <c r="H4559" t="s">
        <v>392</v>
      </c>
      <c r="I4559" t="s">
        <v>4366</v>
      </c>
      <c r="L4559" t="s">
        <v>394</v>
      </c>
      <c r="M4559" t="s">
        <v>4361</v>
      </c>
    </row>
    <row r="4560" spans="1:27" x14ac:dyDescent="0.3">
      <c r="A4560" t="s">
        <v>4357</v>
      </c>
      <c r="B4560" t="s">
        <v>1134</v>
      </c>
      <c r="C4560" t="s">
        <v>11</v>
      </c>
      <c r="D4560" t="s">
        <v>12</v>
      </c>
      <c r="E4560" t="s">
        <v>391</v>
      </c>
      <c r="H4560" t="s">
        <v>392</v>
      </c>
      <c r="I4560" t="s">
        <v>4367</v>
      </c>
      <c r="L4560" t="s">
        <v>394</v>
      </c>
      <c r="M4560" t="s">
        <v>4361</v>
      </c>
    </row>
    <row r="4561" spans="1:27" x14ac:dyDescent="0.3">
      <c r="A4561" t="s">
        <v>4358</v>
      </c>
      <c r="B4561" t="s">
        <v>1138</v>
      </c>
      <c r="C4561" t="s">
        <v>11</v>
      </c>
      <c r="D4561" t="s">
        <v>12</v>
      </c>
      <c r="E4561" t="s">
        <v>391</v>
      </c>
      <c r="H4561" t="s">
        <v>392</v>
      </c>
      <c r="I4561" t="s">
        <v>4368</v>
      </c>
      <c r="L4561" t="s">
        <v>394</v>
      </c>
      <c r="M4561" t="s">
        <v>4361</v>
      </c>
    </row>
    <row r="4562" spans="1:27" x14ac:dyDescent="0.3">
      <c r="A4562" t="s">
        <v>4355</v>
      </c>
      <c r="B4562" t="s">
        <v>2077</v>
      </c>
      <c r="C4562" t="s">
        <v>11</v>
      </c>
      <c r="D4562" t="s">
        <v>12</v>
      </c>
      <c r="E4562" t="s">
        <v>391</v>
      </c>
      <c r="H4562" t="s">
        <v>392</v>
      </c>
      <c r="I4562" t="s">
        <v>2128</v>
      </c>
      <c r="L4562" t="s">
        <v>394</v>
      </c>
      <c r="M4562" t="s">
        <v>4361</v>
      </c>
    </row>
    <row r="4563" spans="1:27" x14ac:dyDescent="0.3">
      <c r="A4563" t="s">
        <v>4369</v>
      </c>
      <c r="B4563" t="s">
        <v>2733</v>
      </c>
      <c r="C4563" t="s">
        <v>280</v>
      </c>
      <c r="D4563" t="s">
        <v>4370</v>
      </c>
      <c r="E4563" t="s">
        <v>2735</v>
      </c>
      <c r="H4563" t="s">
        <v>25</v>
      </c>
      <c r="I4563" t="s">
        <v>2736</v>
      </c>
    </row>
    <row r="4564" spans="1:27" x14ac:dyDescent="0.3">
      <c r="A4564" t="s">
        <v>4369</v>
      </c>
      <c r="B4564" t="s">
        <v>2733</v>
      </c>
      <c r="C4564" t="s">
        <v>308</v>
      </c>
      <c r="D4564" t="s">
        <v>4371</v>
      </c>
      <c r="E4564" t="s">
        <v>2738</v>
      </c>
      <c r="H4564" t="s">
        <v>25</v>
      </c>
      <c r="I4564" t="s">
        <v>2739</v>
      </c>
      <c r="L4564" t="s">
        <v>312</v>
      </c>
      <c r="M4564" t="s">
        <v>327</v>
      </c>
    </row>
    <row r="4565" spans="1:27" x14ac:dyDescent="0.3">
      <c r="A4565" t="s">
        <v>4369</v>
      </c>
      <c r="B4565" t="s">
        <v>2733</v>
      </c>
      <c r="C4565" t="s">
        <v>308</v>
      </c>
      <c r="D4565" t="s">
        <v>4372</v>
      </c>
      <c r="E4565" t="s">
        <v>527</v>
      </c>
      <c r="H4565" t="s">
        <v>25</v>
      </c>
      <c r="I4565" t="s">
        <v>2741</v>
      </c>
      <c r="L4565" t="s">
        <v>312</v>
      </c>
      <c r="M4565" t="s">
        <v>343</v>
      </c>
    </row>
    <row r="4566" spans="1:27" x14ac:dyDescent="0.3">
      <c r="A4566" t="s">
        <v>4369</v>
      </c>
      <c r="B4566" t="s">
        <v>2733</v>
      </c>
      <c r="C4566" t="s">
        <v>308</v>
      </c>
      <c r="D4566" t="s">
        <v>4373</v>
      </c>
      <c r="E4566" t="s">
        <v>2077</v>
      </c>
      <c r="H4566" t="s">
        <v>25</v>
      </c>
      <c r="I4566" t="s">
        <v>2078</v>
      </c>
      <c r="L4566" t="s">
        <v>312</v>
      </c>
      <c r="M4566" t="s">
        <v>1687</v>
      </c>
    </row>
    <row r="4567" spans="1:27" x14ac:dyDescent="0.3">
      <c r="A4567" t="s">
        <v>4369</v>
      </c>
      <c r="B4567" t="s">
        <v>2733</v>
      </c>
      <c r="C4567" t="s">
        <v>308</v>
      </c>
      <c r="D4567" t="s">
        <v>4374</v>
      </c>
      <c r="E4567" t="s">
        <v>1138</v>
      </c>
      <c r="H4567" t="s">
        <v>25</v>
      </c>
      <c r="I4567" t="s">
        <v>2065</v>
      </c>
      <c r="L4567" t="s">
        <v>312</v>
      </c>
      <c r="M4567" t="s">
        <v>317</v>
      </c>
    </row>
    <row r="4568" spans="1:27" x14ac:dyDescent="0.3">
      <c r="A4568" t="s">
        <v>4369</v>
      </c>
      <c r="B4568" t="s">
        <v>2733</v>
      </c>
      <c r="C4568" t="s">
        <v>308</v>
      </c>
      <c r="D4568" t="s">
        <v>4375</v>
      </c>
      <c r="E4568" t="s">
        <v>1134</v>
      </c>
      <c r="H4568" t="s">
        <v>25</v>
      </c>
      <c r="I4568" t="s">
        <v>2069</v>
      </c>
      <c r="L4568" t="s">
        <v>312</v>
      </c>
      <c r="M4568" t="s">
        <v>317</v>
      </c>
    </row>
    <row r="4569" spans="1:27" x14ac:dyDescent="0.3">
      <c r="A4569" t="s">
        <v>4369</v>
      </c>
      <c r="B4569" t="s">
        <v>2733</v>
      </c>
      <c r="C4569" t="s">
        <v>308</v>
      </c>
      <c r="D4569" t="s">
        <v>4376</v>
      </c>
      <c r="E4569" t="s">
        <v>1138</v>
      </c>
      <c r="H4569" t="s">
        <v>25</v>
      </c>
      <c r="I4569" t="s">
        <v>2746</v>
      </c>
      <c r="L4569" t="s">
        <v>312</v>
      </c>
      <c r="M4569" t="s">
        <v>317</v>
      </c>
    </row>
    <row r="4570" spans="1:27" x14ac:dyDescent="0.3">
      <c r="A4570" t="s">
        <v>4369</v>
      </c>
      <c r="B4570" t="s">
        <v>2733</v>
      </c>
      <c r="C4570" t="s">
        <v>308</v>
      </c>
      <c r="D4570" t="s">
        <v>4377</v>
      </c>
      <c r="E4570" t="s">
        <v>341</v>
      </c>
      <c r="H4570" t="s">
        <v>25</v>
      </c>
      <c r="I4570" t="s">
        <v>342</v>
      </c>
      <c r="L4570" t="s">
        <v>312</v>
      </c>
      <c r="M4570" t="s">
        <v>343</v>
      </c>
    </row>
    <row r="4571" spans="1:27" x14ac:dyDescent="0.3">
      <c r="A4571" t="s">
        <v>4369</v>
      </c>
      <c r="B4571" t="s">
        <v>2733</v>
      </c>
      <c r="C4571" t="s">
        <v>22</v>
      </c>
      <c r="D4571" t="s">
        <v>23</v>
      </c>
      <c r="E4571" t="s">
        <v>28</v>
      </c>
    </row>
    <row r="4572" spans="1:27" x14ac:dyDescent="0.3">
      <c r="A4572" t="s">
        <v>4369</v>
      </c>
      <c r="B4572" t="s">
        <v>2733</v>
      </c>
      <c r="C4572" t="s">
        <v>2748</v>
      </c>
      <c r="D4572">
        <v>1.5</v>
      </c>
      <c r="H4572" t="s">
        <v>312</v>
      </c>
      <c r="I4572" t="s">
        <v>385</v>
      </c>
    </row>
    <row r="4573" spans="1:27" x14ac:dyDescent="0.3">
      <c r="A4573" t="s">
        <v>4369</v>
      </c>
      <c r="B4573" t="s">
        <v>2733</v>
      </c>
      <c r="C4573" t="s">
        <v>378</v>
      </c>
      <c r="D4573">
        <v>120</v>
      </c>
      <c r="H4573" t="s">
        <v>312</v>
      </c>
      <c r="I4573" t="s">
        <v>327</v>
      </c>
    </row>
    <row r="4574" spans="1:27" x14ac:dyDescent="0.3">
      <c r="A4574" t="s">
        <v>4369</v>
      </c>
      <c r="B4574" t="s">
        <v>2733</v>
      </c>
      <c r="C4574" t="s">
        <v>380</v>
      </c>
      <c r="D4574" t="s">
        <v>554</v>
      </c>
      <c r="E4574" t="s">
        <v>279</v>
      </c>
      <c r="F4574" t="s">
        <v>25</v>
      </c>
      <c r="G4574" t="s">
        <v>4378</v>
      </c>
      <c r="J4574" t="s">
        <v>2089</v>
      </c>
      <c r="K4574" t="s">
        <v>2750</v>
      </c>
      <c r="N4574" t="s">
        <v>2751</v>
      </c>
      <c r="O4574">
        <v>1</v>
      </c>
      <c r="R4574" t="s">
        <v>2752</v>
      </c>
      <c r="S4574">
        <v>158</v>
      </c>
      <c r="V4574" t="s">
        <v>2753</v>
      </c>
      <c r="W4574" t="s">
        <v>2754</v>
      </c>
      <c r="Z4574" t="s">
        <v>2755</v>
      </c>
      <c r="AA4574" t="s">
        <v>2756</v>
      </c>
    </row>
    <row r="4575" spans="1:27" x14ac:dyDescent="0.3">
      <c r="A4575" t="s">
        <v>4369</v>
      </c>
      <c r="B4575" t="s">
        <v>2733</v>
      </c>
      <c r="C4575" t="s">
        <v>16</v>
      </c>
      <c r="D4575" t="s">
        <v>210</v>
      </c>
      <c r="E4575" t="s">
        <v>37</v>
      </c>
    </row>
    <row r="4576" spans="1:27" x14ac:dyDescent="0.3">
      <c r="A4576" t="s">
        <v>4369</v>
      </c>
      <c r="B4576" t="s">
        <v>2733</v>
      </c>
      <c r="C4576" t="s">
        <v>11</v>
      </c>
      <c r="D4576" t="s">
        <v>12</v>
      </c>
      <c r="E4576" t="s">
        <v>13</v>
      </c>
      <c r="H4576" t="s">
        <v>382</v>
      </c>
      <c r="I4576" t="s">
        <v>4379</v>
      </c>
      <c r="L4576" t="s">
        <v>14</v>
      </c>
      <c r="M4576" t="s">
        <v>4379</v>
      </c>
    </row>
    <row r="4577" spans="1:13" x14ac:dyDescent="0.3">
      <c r="A4577" t="s">
        <v>4372</v>
      </c>
      <c r="B4577" t="s">
        <v>527</v>
      </c>
      <c r="C4577" t="s">
        <v>11</v>
      </c>
      <c r="D4577" t="s">
        <v>12</v>
      </c>
      <c r="E4577" t="s">
        <v>391</v>
      </c>
      <c r="H4577" t="s">
        <v>392</v>
      </c>
      <c r="I4577" t="s">
        <v>2758</v>
      </c>
      <c r="L4577" t="s">
        <v>394</v>
      </c>
      <c r="M4577" t="s">
        <v>4379</v>
      </c>
    </row>
    <row r="4578" spans="1:13" x14ac:dyDescent="0.3">
      <c r="A4578" t="s">
        <v>4371</v>
      </c>
      <c r="B4578" t="s">
        <v>2738</v>
      </c>
      <c r="C4578" t="s">
        <v>11</v>
      </c>
      <c r="D4578" t="s">
        <v>12</v>
      </c>
      <c r="E4578" t="s">
        <v>391</v>
      </c>
      <c r="H4578" t="s">
        <v>392</v>
      </c>
      <c r="I4578" t="s">
        <v>4380</v>
      </c>
      <c r="L4578" t="s">
        <v>394</v>
      </c>
      <c r="M4578" t="s">
        <v>4379</v>
      </c>
    </row>
    <row r="4579" spans="1:13" x14ac:dyDescent="0.3">
      <c r="A4579" t="s">
        <v>4370</v>
      </c>
      <c r="B4579" t="s">
        <v>2735</v>
      </c>
      <c r="C4579" t="s">
        <v>308</v>
      </c>
      <c r="D4579" t="s">
        <v>4381</v>
      </c>
      <c r="E4579" t="s">
        <v>406</v>
      </c>
      <c r="H4579" t="s">
        <v>25</v>
      </c>
      <c r="I4579" t="s">
        <v>2761</v>
      </c>
      <c r="L4579" t="s">
        <v>312</v>
      </c>
      <c r="M4579" t="s">
        <v>404</v>
      </c>
    </row>
    <row r="4580" spans="1:13" x14ac:dyDescent="0.3">
      <c r="A4580" t="s">
        <v>4381</v>
      </c>
      <c r="B4580" t="s">
        <v>406</v>
      </c>
      <c r="C4580" t="s">
        <v>11</v>
      </c>
      <c r="D4580" t="s">
        <v>12</v>
      </c>
      <c r="E4580" t="s">
        <v>391</v>
      </c>
      <c r="H4580" t="s">
        <v>392</v>
      </c>
      <c r="I4580" t="s">
        <v>4382</v>
      </c>
      <c r="L4580" t="s">
        <v>394</v>
      </c>
      <c r="M4580" t="s">
        <v>4379</v>
      </c>
    </row>
    <row r="4581" spans="1:13" x14ac:dyDescent="0.3">
      <c r="A4581" t="s">
        <v>4374</v>
      </c>
      <c r="B4581" t="s">
        <v>1138</v>
      </c>
      <c r="C4581" t="s">
        <v>11</v>
      </c>
      <c r="D4581" t="s">
        <v>12</v>
      </c>
      <c r="E4581" t="s">
        <v>391</v>
      </c>
      <c r="H4581" t="s">
        <v>392</v>
      </c>
      <c r="I4581" t="s">
        <v>4383</v>
      </c>
      <c r="L4581" t="s">
        <v>394</v>
      </c>
      <c r="M4581" t="s">
        <v>4379</v>
      </c>
    </row>
    <row r="4582" spans="1:13" x14ac:dyDescent="0.3">
      <c r="A4582" t="s">
        <v>4377</v>
      </c>
      <c r="B4582" t="s">
        <v>341</v>
      </c>
      <c r="C4582" t="s">
        <v>11</v>
      </c>
      <c r="D4582" t="s">
        <v>12</v>
      </c>
      <c r="E4582" t="s">
        <v>391</v>
      </c>
      <c r="H4582" t="s">
        <v>392</v>
      </c>
      <c r="I4582" t="s">
        <v>4384</v>
      </c>
      <c r="L4582" t="s">
        <v>394</v>
      </c>
      <c r="M4582" t="s">
        <v>4379</v>
      </c>
    </row>
    <row r="4583" spans="1:13" x14ac:dyDescent="0.3">
      <c r="A4583" t="s">
        <v>4375</v>
      </c>
      <c r="B4583" t="s">
        <v>1134</v>
      </c>
      <c r="C4583" t="s">
        <v>11</v>
      </c>
      <c r="D4583" t="s">
        <v>12</v>
      </c>
      <c r="E4583" t="s">
        <v>391</v>
      </c>
      <c r="H4583" t="s">
        <v>392</v>
      </c>
      <c r="I4583" t="s">
        <v>4385</v>
      </c>
      <c r="L4583" t="s">
        <v>394</v>
      </c>
      <c r="M4583" t="s">
        <v>4379</v>
      </c>
    </row>
    <row r="4584" spans="1:13" x14ac:dyDescent="0.3">
      <c r="A4584" t="s">
        <v>4376</v>
      </c>
      <c r="B4584" t="s">
        <v>1138</v>
      </c>
      <c r="C4584" t="s">
        <v>11</v>
      </c>
      <c r="D4584" t="s">
        <v>12</v>
      </c>
      <c r="E4584" t="s">
        <v>391</v>
      </c>
      <c r="H4584" t="s">
        <v>392</v>
      </c>
      <c r="I4584" t="s">
        <v>4386</v>
      </c>
      <c r="L4584" t="s">
        <v>394</v>
      </c>
      <c r="M4584" t="s">
        <v>4379</v>
      </c>
    </row>
    <row r="4585" spans="1:13" x14ac:dyDescent="0.3">
      <c r="A4585" t="s">
        <v>4373</v>
      </c>
      <c r="B4585" t="s">
        <v>2077</v>
      </c>
      <c r="C4585" t="s">
        <v>11</v>
      </c>
      <c r="D4585" t="s">
        <v>12</v>
      </c>
      <c r="E4585" t="s">
        <v>391</v>
      </c>
      <c r="H4585" t="s">
        <v>392</v>
      </c>
      <c r="I4585" t="s">
        <v>2128</v>
      </c>
      <c r="L4585" t="s">
        <v>394</v>
      </c>
      <c r="M4585" t="s">
        <v>4379</v>
      </c>
    </row>
    <row r="4586" spans="1:13" x14ac:dyDescent="0.3">
      <c r="A4586" t="s">
        <v>4387</v>
      </c>
      <c r="B4586" t="s">
        <v>2733</v>
      </c>
      <c r="C4586" t="s">
        <v>280</v>
      </c>
      <c r="D4586" t="s">
        <v>4388</v>
      </c>
      <c r="E4586" t="s">
        <v>2735</v>
      </c>
      <c r="H4586" t="s">
        <v>25</v>
      </c>
      <c r="I4586" t="s">
        <v>2736</v>
      </c>
    </row>
    <row r="4587" spans="1:13" x14ac:dyDescent="0.3">
      <c r="A4587" t="s">
        <v>4387</v>
      </c>
      <c r="B4587" t="s">
        <v>2733</v>
      </c>
      <c r="C4587" t="s">
        <v>308</v>
      </c>
      <c r="D4587" t="s">
        <v>4389</v>
      </c>
      <c r="E4587" t="s">
        <v>2738</v>
      </c>
      <c r="H4587" t="s">
        <v>25</v>
      </c>
      <c r="I4587" t="s">
        <v>2739</v>
      </c>
      <c r="L4587" t="s">
        <v>312</v>
      </c>
      <c r="M4587" t="s">
        <v>327</v>
      </c>
    </row>
    <row r="4588" spans="1:13" x14ac:dyDescent="0.3">
      <c r="A4588" t="s">
        <v>4387</v>
      </c>
      <c r="B4588" t="s">
        <v>2733</v>
      </c>
      <c r="C4588" t="s">
        <v>308</v>
      </c>
      <c r="D4588" t="s">
        <v>4390</v>
      </c>
      <c r="E4588" t="s">
        <v>527</v>
      </c>
      <c r="H4588" t="s">
        <v>25</v>
      </c>
      <c r="I4588" t="s">
        <v>2741</v>
      </c>
      <c r="L4588" t="s">
        <v>312</v>
      </c>
      <c r="M4588" t="s">
        <v>343</v>
      </c>
    </row>
    <row r="4589" spans="1:13" x14ac:dyDescent="0.3">
      <c r="A4589" t="s">
        <v>4387</v>
      </c>
      <c r="B4589" t="s">
        <v>2733</v>
      </c>
      <c r="C4589" t="s">
        <v>308</v>
      </c>
      <c r="D4589" t="s">
        <v>4391</v>
      </c>
      <c r="E4589" t="s">
        <v>2077</v>
      </c>
      <c r="H4589" t="s">
        <v>25</v>
      </c>
      <c r="I4589" t="s">
        <v>2078</v>
      </c>
      <c r="L4589" t="s">
        <v>312</v>
      </c>
      <c r="M4589" t="s">
        <v>1687</v>
      </c>
    </row>
    <row r="4590" spans="1:13" x14ac:dyDescent="0.3">
      <c r="A4590" t="s">
        <v>4387</v>
      </c>
      <c r="B4590" t="s">
        <v>2733</v>
      </c>
      <c r="C4590" t="s">
        <v>308</v>
      </c>
      <c r="D4590" t="s">
        <v>4392</v>
      </c>
      <c r="E4590" t="s">
        <v>1138</v>
      </c>
      <c r="H4590" t="s">
        <v>25</v>
      </c>
      <c r="I4590" t="s">
        <v>2065</v>
      </c>
      <c r="L4590" t="s">
        <v>312</v>
      </c>
      <c r="M4590" t="s">
        <v>317</v>
      </c>
    </row>
    <row r="4591" spans="1:13" x14ac:dyDescent="0.3">
      <c r="A4591" t="s">
        <v>4387</v>
      </c>
      <c r="B4591" t="s">
        <v>2733</v>
      </c>
      <c r="C4591" t="s">
        <v>308</v>
      </c>
      <c r="D4591" t="s">
        <v>4393</v>
      </c>
      <c r="E4591" t="s">
        <v>1134</v>
      </c>
      <c r="H4591" t="s">
        <v>25</v>
      </c>
      <c r="I4591" t="s">
        <v>2069</v>
      </c>
      <c r="L4591" t="s">
        <v>312</v>
      </c>
      <c r="M4591" t="s">
        <v>317</v>
      </c>
    </row>
    <row r="4592" spans="1:13" x14ac:dyDescent="0.3">
      <c r="A4592" t="s">
        <v>4387</v>
      </c>
      <c r="B4592" t="s">
        <v>2733</v>
      </c>
      <c r="C4592" t="s">
        <v>308</v>
      </c>
      <c r="D4592" t="s">
        <v>4394</v>
      </c>
      <c r="E4592" t="s">
        <v>1138</v>
      </c>
      <c r="H4592" t="s">
        <v>25</v>
      </c>
      <c r="I4592" t="s">
        <v>2746</v>
      </c>
      <c r="L4592" t="s">
        <v>312</v>
      </c>
      <c r="M4592" t="s">
        <v>317</v>
      </c>
    </row>
    <row r="4593" spans="1:27" x14ac:dyDescent="0.3">
      <c r="A4593" t="s">
        <v>4387</v>
      </c>
      <c r="B4593" t="s">
        <v>2733</v>
      </c>
      <c r="C4593" t="s">
        <v>308</v>
      </c>
      <c r="D4593" t="s">
        <v>4395</v>
      </c>
      <c r="E4593" t="s">
        <v>341</v>
      </c>
      <c r="H4593" t="s">
        <v>25</v>
      </c>
      <c r="I4593" t="s">
        <v>342</v>
      </c>
      <c r="L4593" t="s">
        <v>312</v>
      </c>
      <c r="M4593" t="s">
        <v>343</v>
      </c>
    </row>
    <row r="4594" spans="1:27" x14ac:dyDescent="0.3">
      <c r="A4594" t="s">
        <v>4387</v>
      </c>
      <c r="B4594" t="s">
        <v>2733</v>
      </c>
      <c r="C4594" t="s">
        <v>22</v>
      </c>
      <c r="D4594" t="s">
        <v>23</v>
      </c>
      <c r="E4594" t="s">
        <v>28</v>
      </c>
    </row>
    <row r="4595" spans="1:27" x14ac:dyDescent="0.3">
      <c r="A4595" t="s">
        <v>4387</v>
      </c>
      <c r="B4595" t="s">
        <v>2733</v>
      </c>
      <c r="C4595" t="s">
        <v>2748</v>
      </c>
      <c r="D4595">
        <v>1.5</v>
      </c>
      <c r="H4595" t="s">
        <v>312</v>
      </c>
      <c r="I4595" t="s">
        <v>385</v>
      </c>
    </row>
    <row r="4596" spans="1:27" x14ac:dyDescent="0.3">
      <c r="A4596" t="s">
        <v>4387</v>
      </c>
      <c r="B4596" t="s">
        <v>2733</v>
      </c>
      <c r="C4596" t="s">
        <v>378</v>
      </c>
      <c r="D4596">
        <v>140</v>
      </c>
      <c r="H4596" t="s">
        <v>312</v>
      </c>
      <c r="I4596" t="s">
        <v>327</v>
      </c>
    </row>
    <row r="4597" spans="1:27" x14ac:dyDescent="0.3">
      <c r="A4597" t="s">
        <v>4387</v>
      </c>
      <c r="B4597" t="s">
        <v>2733</v>
      </c>
      <c r="C4597" t="s">
        <v>380</v>
      </c>
      <c r="D4597" t="s">
        <v>554</v>
      </c>
      <c r="E4597" t="s">
        <v>279</v>
      </c>
      <c r="F4597" t="s">
        <v>25</v>
      </c>
      <c r="G4597" t="s">
        <v>4396</v>
      </c>
      <c r="J4597" t="s">
        <v>2089</v>
      </c>
      <c r="K4597" t="s">
        <v>2750</v>
      </c>
      <c r="N4597" t="s">
        <v>2751</v>
      </c>
      <c r="O4597">
        <v>1</v>
      </c>
      <c r="R4597" t="s">
        <v>2752</v>
      </c>
      <c r="S4597">
        <v>158</v>
      </c>
      <c r="V4597" t="s">
        <v>2753</v>
      </c>
      <c r="W4597" t="s">
        <v>2754</v>
      </c>
      <c r="Z4597" t="s">
        <v>2755</v>
      </c>
      <c r="AA4597" t="s">
        <v>2756</v>
      </c>
    </row>
    <row r="4598" spans="1:27" x14ac:dyDescent="0.3">
      <c r="A4598" t="s">
        <v>4387</v>
      </c>
      <c r="B4598" t="s">
        <v>2733</v>
      </c>
      <c r="C4598" t="s">
        <v>16</v>
      </c>
      <c r="D4598" t="s">
        <v>208</v>
      </c>
      <c r="E4598" t="s">
        <v>37</v>
      </c>
    </row>
    <row r="4599" spans="1:27" x14ac:dyDescent="0.3">
      <c r="A4599" t="s">
        <v>4387</v>
      </c>
      <c r="B4599" t="s">
        <v>2733</v>
      </c>
      <c r="C4599" t="s">
        <v>11</v>
      </c>
      <c r="D4599" t="s">
        <v>12</v>
      </c>
      <c r="E4599" t="s">
        <v>13</v>
      </c>
      <c r="H4599" t="s">
        <v>382</v>
      </c>
      <c r="I4599" t="s">
        <v>4397</v>
      </c>
      <c r="L4599" t="s">
        <v>14</v>
      </c>
      <c r="M4599" t="s">
        <v>4397</v>
      </c>
    </row>
    <row r="4600" spans="1:27" x14ac:dyDescent="0.3">
      <c r="A4600" t="s">
        <v>4390</v>
      </c>
      <c r="B4600" t="s">
        <v>527</v>
      </c>
      <c r="C4600" t="s">
        <v>11</v>
      </c>
      <c r="D4600" t="s">
        <v>12</v>
      </c>
      <c r="E4600" t="s">
        <v>391</v>
      </c>
      <c r="H4600" t="s">
        <v>392</v>
      </c>
      <c r="I4600" t="s">
        <v>2758</v>
      </c>
      <c r="L4600" t="s">
        <v>394</v>
      </c>
      <c r="M4600" t="s">
        <v>4397</v>
      </c>
    </row>
    <row r="4601" spans="1:27" x14ac:dyDescent="0.3">
      <c r="A4601" t="s">
        <v>4389</v>
      </c>
      <c r="B4601" t="s">
        <v>2738</v>
      </c>
      <c r="C4601" t="s">
        <v>11</v>
      </c>
      <c r="D4601" t="s">
        <v>12</v>
      </c>
      <c r="E4601" t="s">
        <v>391</v>
      </c>
      <c r="H4601" t="s">
        <v>392</v>
      </c>
      <c r="I4601" t="s">
        <v>4398</v>
      </c>
      <c r="L4601" t="s">
        <v>394</v>
      </c>
      <c r="M4601" t="s">
        <v>4397</v>
      </c>
    </row>
    <row r="4602" spans="1:27" x14ac:dyDescent="0.3">
      <c r="A4602" t="s">
        <v>4388</v>
      </c>
      <c r="B4602" t="s">
        <v>2735</v>
      </c>
      <c r="C4602" t="s">
        <v>308</v>
      </c>
      <c r="D4602" t="s">
        <v>4399</v>
      </c>
      <c r="E4602" t="s">
        <v>406</v>
      </c>
      <c r="H4602" t="s">
        <v>25</v>
      </c>
      <c r="I4602" t="s">
        <v>2761</v>
      </c>
      <c r="L4602" t="s">
        <v>312</v>
      </c>
      <c r="M4602" t="s">
        <v>404</v>
      </c>
    </row>
    <row r="4603" spans="1:27" x14ac:dyDescent="0.3">
      <c r="A4603" t="s">
        <v>4399</v>
      </c>
      <c r="B4603" t="s">
        <v>406</v>
      </c>
      <c r="C4603" t="s">
        <v>11</v>
      </c>
      <c r="D4603" t="s">
        <v>12</v>
      </c>
      <c r="E4603" t="s">
        <v>391</v>
      </c>
      <c r="H4603" t="s">
        <v>392</v>
      </c>
      <c r="I4603" t="s">
        <v>4400</v>
      </c>
      <c r="L4603" t="s">
        <v>394</v>
      </c>
      <c r="M4603" t="s">
        <v>4397</v>
      </c>
    </row>
    <row r="4604" spans="1:27" x14ac:dyDescent="0.3">
      <c r="A4604" t="s">
        <v>4392</v>
      </c>
      <c r="B4604" t="s">
        <v>1138</v>
      </c>
      <c r="C4604" t="s">
        <v>11</v>
      </c>
      <c r="D4604" t="s">
        <v>12</v>
      </c>
      <c r="E4604" t="s">
        <v>391</v>
      </c>
      <c r="H4604" t="s">
        <v>392</v>
      </c>
      <c r="I4604" t="s">
        <v>4401</v>
      </c>
      <c r="L4604" t="s">
        <v>394</v>
      </c>
      <c r="M4604" t="s">
        <v>4397</v>
      </c>
    </row>
    <row r="4605" spans="1:27" x14ac:dyDescent="0.3">
      <c r="A4605" t="s">
        <v>4395</v>
      </c>
      <c r="B4605" t="s">
        <v>341</v>
      </c>
      <c r="C4605" t="s">
        <v>11</v>
      </c>
      <c r="D4605" t="s">
        <v>12</v>
      </c>
      <c r="E4605" t="s">
        <v>391</v>
      </c>
      <c r="H4605" t="s">
        <v>392</v>
      </c>
      <c r="I4605" t="s">
        <v>4402</v>
      </c>
      <c r="L4605" t="s">
        <v>394</v>
      </c>
      <c r="M4605" t="s">
        <v>4397</v>
      </c>
    </row>
    <row r="4606" spans="1:27" x14ac:dyDescent="0.3">
      <c r="A4606" t="s">
        <v>4393</v>
      </c>
      <c r="B4606" t="s">
        <v>1134</v>
      </c>
      <c r="C4606" t="s">
        <v>11</v>
      </c>
      <c r="D4606" t="s">
        <v>12</v>
      </c>
      <c r="E4606" t="s">
        <v>391</v>
      </c>
      <c r="H4606" t="s">
        <v>392</v>
      </c>
      <c r="I4606" t="s">
        <v>4403</v>
      </c>
      <c r="L4606" t="s">
        <v>394</v>
      </c>
      <c r="M4606" t="s">
        <v>4397</v>
      </c>
    </row>
    <row r="4607" spans="1:27" x14ac:dyDescent="0.3">
      <c r="A4607" t="s">
        <v>4394</v>
      </c>
      <c r="B4607" t="s">
        <v>1138</v>
      </c>
      <c r="C4607" t="s">
        <v>11</v>
      </c>
      <c r="D4607" t="s">
        <v>12</v>
      </c>
      <c r="E4607" t="s">
        <v>391</v>
      </c>
      <c r="H4607" t="s">
        <v>392</v>
      </c>
      <c r="I4607" t="s">
        <v>4404</v>
      </c>
      <c r="L4607" t="s">
        <v>394</v>
      </c>
      <c r="M4607" t="s">
        <v>4397</v>
      </c>
    </row>
    <row r="4608" spans="1:27" x14ac:dyDescent="0.3">
      <c r="A4608" t="s">
        <v>4391</v>
      </c>
      <c r="B4608" t="s">
        <v>2077</v>
      </c>
      <c r="C4608" t="s">
        <v>11</v>
      </c>
      <c r="D4608" t="s">
        <v>12</v>
      </c>
      <c r="E4608" t="s">
        <v>391</v>
      </c>
      <c r="H4608" t="s">
        <v>392</v>
      </c>
      <c r="I4608" t="s">
        <v>2128</v>
      </c>
      <c r="L4608" t="s">
        <v>394</v>
      </c>
      <c r="M4608" t="s">
        <v>4397</v>
      </c>
    </row>
    <row r="4609" spans="1:27" x14ac:dyDescent="0.3">
      <c r="A4609" t="s">
        <v>4405</v>
      </c>
      <c r="B4609" t="s">
        <v>2733</v>
      </c>
      <c r="C4609" t="s">
        <v>280</v>
      </c>
      <c r="D4609" t="s">
        <v>4406</v>
      </c>
      <c r="E4609" t="s">
        <v>2735</v>
      </c>
      <c r="H4609" t="s">
        <v>25</v>
      </c>
      <c r="I4609" t="s">
        <v>2736</v>
      </c>
    </row>
    <row r="4610" spans="1:27" x14ac:dyDescent="0.3">
      <c r="A4610" t="s">
        <v>4405</v>
      </c>
      <c r="B4610" t="s">
        <v>2733</v>
      </c>
      <c r="C4610" t="s">
        <v>308</v>
      </c>
      <c r="D4610" t="s">
        <v>4407</v>
      </c>
      <c r="E4610" t="s">
        <v>2738</v>
      </c>
      <c r="H4610" t="s">
        <v>25</v>
      </c>
      <c r="I4610" t="s">
        <v>2739</v>
      </c>
      <c r="L4610" t="s">
        <v>312</v>
      </c>
      <c r="M4610" t="s">
        <v>327</v>
      </c>
    </row>
    <row r="4611" spans="1:27" x14ac:dyDescent="0.3">
      <c r="A4611" t="s">
        <v>4405</v>
      </c>
      <c r="B4611" t="s">
        <v>2733</v>
      </c>
      <c r="C4611" t="s">
        <v>308</v>
      </c>
      <c r="D4611" t="s">
        <v>4408</v>
      </c>
      <c r="E4611" t="s">
        <v>527</v>
      </c>
      <c r="H4611" t="s">
        <v>25</v>
      </c>
      <c r="I4611" t="s">
        <v>2741</v>
      </c>
      <c r="L4611" t="s">
        <v>312</v>
      </c>
      <c r="M4611" t="s">
        <v>343</v>
      </c>
    </row>
    <row r="4612" spans="1:27" x14ac:dyDescent="0.3">
      <c r="A4612" t="s">
        <v>4405</v>
      </c>
      <c r="B4612" t="s">
        <v>2733</v>
      </c>
      <c r="C4612" t="s">
        <v>308</v>
      </c>
      <c r="D4612" t="s">
        <v>4409</v>
      </c>
      <c r="E4612" t="s">
        <v>2077</v>
      </c>
      <c r="H4612" t="s">
        <v>25</v>
      </c>
      <c r="I4612" t="s">
        <v>2078</v>
      </c>
      <c r="L4612" t="s">
        <v>312</v>
      </c>
      <c r="M4612" t="s">
        <v>1687</v>
      </c>
    </row>
    <row r="4613" spans="1:27" x14ac:dyDescent="0.3">
      <c r="A4613" t="s">
        <v>4405</v>
      </c>
      <c r="B4613" t="s">
        <v>2733</v>
      </c>
      <c r="C4613" t="s">
        <v>308</v>
      </c>
      <c r="D4613" t="s">
        <v>4410</v>
      </c>
      <c r="E4613" t="s">
        <v>1138</v>
      </c>
      <c r="H4613" t="s">
        <v>25</v>
      </c>
      <c r="I4613" t="s">
        <v>2065</v>
      </c>
      <c r="L4613" t="s">
        <v>312</v>
      </c>
      <c r="M4613" t="s">
        <v>317</v>
      </c>
    </row>
    <row r="4614" spans="1:27" x14ac:dyDescent="0.3">
      <c r="A4614" t="s">
        <v>4405</v>
      </c>
      <c r="B4614" t="s">
        <v>2733</v>
      </c>
      <c r="C4614" t="s">
        <v>308</v>
      </c>
      <c r="D4614" t="s">
        <v>4411</v>
      </c>
      <c r="E4614" t="s">
        <v>1134</v>
      </c>
      <c r="H4614" t="s">
        <v>25</v>
      </c>
      <c r="I4614" t="s">
        <v>2069</v>
      </c>
      <c r="L4614" t="s">
        <v>312</v>
      </c>
      <c r="M4614" t="s">
        <v>317</v>
      </c>
    </row>
    <row r="4615" spans="1:27" x14ac:dyDescent="0.3">
      <c r="A4615" t="s">
        <v>4405</v>
      </c>
      <c r="B4615" t="s">
        <v>2733</v>
      </c>
      <c r="C4615" t="s">
        <v>308</v>
      </c>
      <c r="D4615" t="s">
        <v>4412</v>
      </c>
      <c r="E4615" t="s">
        <v>1138</v>
      </c>
      <c r="H4615" t="s">
        <v>25</v>
      </c>
      <c r="I4615" t="s">
        <v>2746</v>
      </c>
      <c r="L4615" t="s">
        <v>312</v>
      </c>
      <c r="M4615" t="s">
        <v>317</v>
      </c>
    </row>
    <row r="4616" spans="1:27" x14ac:dyDescent="0.3">
      <c r="A4616" t="s">
        <v>4405</v>
      </c>
      <c r="B4616" t="s">
        <v>2733</v>
      </c>
      <c r="C4616" t="s">
        <v>308</v>
      </c>
      <c r="D4616" t="s">
        <v>4413</v>
      </c>
      <c r="E4616" t="s">
        <v>341</v>
      </c>
      <c r="H4616" t="s">
        <v>25</v>
      </c>
      <c r="I4616" t="s">
        <v>342</v>
      </c>
      <c r="L4616" t="s">
        <v>312</v>
      </c>
      <c r="M4616" t="s">
        <v>343</v>
      </c>
    </row>
    <row r="4617" spans="1:27" x14ac:dyDescent="0.3">
      <c r="A4617" t="s">
        <v>4405</v>
      </c>
      <c r="B4617" t="s">
        <v>2733</v>
      </c>
      <c r="C4617" t="s">
        <v>22</v>
      </c>
      <c r="D4617" t="s">
        <v>23</v>
      </c>
      <c r="E4617" t="s">
        <v>28</v>
      </c>
    </row>
    <row r="4618" spans="1:27" x14ac:dyDescent="0.3">
      <c r="A4618" t="s">
        <v>4405</v>
      </c>
      <c r="B4618" t="s">
        <v>2733</v>
      </c>
      <c r="C4618" t="s">
        <v>2748</v>
      </c>
      <c r="D4618">
        <v>1.5</v>
      </c>
      <c r="H4618" t="s">
        <v>312</v>
      </c>
      <c r="I4618" t="s">
        <v>385</v>
      </c>
    </row>
    <row r="4619" spans="1:27" x14ac:dyDescent="0.3">
      <c r="A4619" t="s">
        <v>4405</v>
      </c>
      <c r="B4619" t="s">
        <v>2733</v>
      </c>
      <c r="C4619" t="s">
        <v>378</v>
      </c>
      <c r="D4619">
        <v>125</v>
      </c>
      <c r="H4619" t="s">
        <v>312</v>
      </c>
      <c r="I4619" t="s">
        <v>327</v>
      </c>
    </row>
    <row r="4620" spans="1:27" x14ac:dyDescent="0.3">
      <c r="A4620" t="s">
        <v>4405</v>
      </c>
      <c r="B4620" t="s">
        <v>2733</v>
      </c>
      <c r="C4620" t="s">
        <v>380</v>
      </c>
      <c r="D4620" t="s">
        <v>554</v>
      </c>
      <c r="E4620" t="s">
        <v>279</v>
      </c>
      <c r="F4620" t="s">
        <v>25</v>
      </c>
      <c r="G4620" t="s">
        <v>4414</v>
      </c>
      <c r="J4620" t="s">
        <v>2089</v>
      </c>
      <c r="K4620" t="s">
        <v>2750</v>
      </c>
      <c r="N4620" t="s">
        <v>2751</v>
      </c>
      <c r="O4620">
        <v>1</v>
      </c>
      <c r="R4620" t="s">
        <v>2752</v>
      </c>
      <c r="S4620">
        <v>158</v>
      </c>
      <c r="V4620" t="s">
        <v>2753</v>
      </c>
      <c r="W4620" t="s">
        <v>2754</v>
      </c>
      <c r="Z4620" t="s">
        <v>2755</v>
      </c>
      <c r="AA4620" t="s">
        <v>2756</v>
      </c>
    </row>
    <row r="4621" spans="1:27" x14ac:dyDescent="0.3">
      <c r="A4621" t="s">
        <v>4405</v>
      </c>
      <c r="B4621" t="s">
        <v>2733</v>
      </c>
      <c r="C4621" t="s">
        <v>16</v>
      </c>
      <c r="D4621" t="s">
        <v>206</v>
      </c>
      <c r="E4621" t="s">
        <v>37</v>
      </c>
    </row>
    <row r="4622" spans="1:27" x14ac:dyDescent="0.3">
      <c r="A4622" t="s">
        <v>4405</v>
      </c>
      <c r="B4622" t="s">
        <v>2733</v>
      </c>
      <c r="C4622" t="s">
        <v>11</v>
      </c>
      <c r="D4622" t="s">
        <v>12</v>
      </c>
      <c r="E4622" t="s">
        <v>13</v>
      </c>
      <c r="H4622" t="s">
        <v>382</v>
      </c>
      <c r="I4622" t="s">
        <v>4415</v>
      </c>
      <c r="L4622" t="s">
        <v>14</v>
      </c>
      <c r="M4622" t="s">
        <v>4415</v>
      </c>
    </row>
    <row r="4623" spans="1:27" x14ac:dyDescent="0.3">
      <c r="A4623" t="s">
        <v>4408</v>
      </c>
      <c r="B4623" t="s">
        <v>527</v>
      </c>
      <c r="C4623" t="s">
        <v>11</v>
      </c>
      <c r="D4623" t="s">
        <v>12</v>
      </c>
      <c r="E4623" t="s">
        <v>391</v>
      </c>
      <c r="H4623" t="s">
        <v>392</v>
      </c>
      <c r="I4623" t="s">
        <v>2758</v>
      </c>
      <c r="L4623" t="s">
        <v>394</v>
      </c>
      <c r="M4623" t="s">
        <v>4415</v>
      </c>
    </row>
    <row r="4624" spans="1:27" x14ac:dyDescent="0.3">
      <c r="A4624" t="s">
        <v>4407</v>
      </c>
      <c r="B4624" t="s">
        <v>2738</v>
      </c>
      <c r="C4624" t="s">
        <v>11</v>
      </c>
      <c r="D4624" t="s">
        <v>12</v>
      </c>
      <c r="E4624" t="s">
        <v>391</v>
      </c>
      <c r="H4624" t="s">
        <v>392</v>
      </c>
      <c r="I4624" t="s">
        <v>4416</v>
      </c>
      <c r="L4624" t="s">
        <v>394</v>
      </c>
      <c r="M4624" t="s">
        <v>4415</v>
      </c>
    </row>
    <row r="4625" spans="1:13" x14ac:dyDescent="0.3">
      <c r="A4625" t="s">
        <v>4406</v>
      </c>
      <c r="B4625" t="s">
        <v>2735</v>
      </c>
      <c r="C4625" t="s">
        <v>308</v>
      </c>
      <c r="D4625" t="s">
        <v>4417</v>
      </c>
      <c r="E4625" t="s">
        <v>406</v>
      </c>
      <c r="H4625" t="s">
        <v>25</v>
      </c>
      <c r="I4625" t="s">
        <v>2761</v>
      </c>
      <c r="L4625" t="s">
        <v>312</v>
      </c>
      <c r="M4625" t="s">
        <v>404</v>
      </c>
    </row>
    <row r="4626" spans="1:13" x14ac:dyDescent="0.3">
      <c r="A4626" t="s">
        <v>4417</v>
      </c>
      <c r="B4626" t="s">
        <v>406</v>
      </c>
      <c r="C4626" t="s">
        <v>11</v>
      </c>
      <c r="D4626" t="s">
        <v>12</v>
      </c>
      <c r="E4626" t="s">
        <v>391</v>
      </c>
      <c r="H4626" t="s">
        <v>392</v>
      </c>
      <c r="I4626" t="s">
        <v>4418</v>
      </c>
      <c r="L4626" t="s">
        <v>394</v>
      </c>
      <c r="M4626" t="s">
        <v>4415</v>
      </c>
    </row>
    <row r="4627" spans="1:13" x14ac:dyDescent="0.3">
      <c r="A4627" t="s">
        <v>4410</v>
      </c>
      <c r="B4627" t="s">
        <v>1138</v>
      </c>
      <c r="C4627" t="s">
        <v>11</v>
      </c>
      <c r="D4627" t="s">
        <v>12</v>
      </c>
      <c r="E4627" t="s">
        <v>391</v>
      </c>
      <c r="H4627" t="s">
        <v>392</v>
      </c>
      <c r="I4627" t="s">
        <v>4419</v>
      </c>
      <c r="L4627" t="s">
        <v>394</v>
      </c>
      <c r="M4627" t="s">
        <v>4415</v>
      </c>
    </row>
    <row r="4628" spans="1:13" x14ac:dyDescent="0.3">
      <c r="A4628" t="s">
        <v>4413</v>
      </c>
      <c r="B4628" t="s">
        <v>341</v>
      </c>
      <c r="C4628" t="s">
        <v>11</v>
      </c>
      <c r="D4628" t="s">
        <v>12</v>
      </c>
      <c r="E4628" t="s">
        <v>391</v>
      </c>
      <c r="H4628" t="s">
        <v>392</v>
      </c>
      <c r="I4628" t="s">
        <v>4420</v>
      </c>
      <c r="L4628" t="s">
        <v>394</v>
      </c>
      <c r="M4628" t="s">
        <v>4415</v>
      </c>
    </row>
    <row r="4629" spans="1:13" x14ac:dyDescent="0.3">
      <c r="A4629" t="s">
        <v>4411</v>
      </c>
      <c r="B4629" t="s">
        <v>1134</v>
      </c>
      <c r="C4629" t="s">
        <v>11</v>
      </c>
      <c r="D4629" t="s">
        <v>12</v>
      </c>
      <c r="E4629" t="s">
        <v>391</v>
      </c>
      <c r="H4629" t="s">
        <v>392</v>
      </c>
      <c r="I4629" t="s">
        <v>4421</v>
      </c>
      <c r="L4629" t="s">
        <v>394</v>
      </c>
      <c r="M4629" t="s">
        <v>4415</v>
      </c>
    </row>
    <row r="4630" spans="1:13" x14ac:dyDescent="0.3">
      <c r="A4630" t="s">
        <v>4412</v>
      </c>
      <c r="B4630" t="s">
        <v>1138</v>
      </c>
      <c r="C4630" t="s">
        <v>11</v>
      </c>
      <c r="D4630" t="s">
        <v>12</v>
      </c>
      <c r="E4630" t="s">
        <v>391</v>
      </c>
      <c r="H4630" t="s">
        <v>392</v>
      </c>
      <c r="I4630" t="s">
        <v>4422</v>
      </c>
      <c r="L4630" t="s">
        <v>394</v>
      </c>
      <c r="M4630" t="s">
        <v>4415</v>
      </c>
    </row>
    <row r="4631" spans="1:13" x14ac:dyDescent="0.3">
      <c r="A4631" t="s">
        <v>4409</v>
      </c>
      <c r="B4631" t="s">
        <v>2077</v>
      </c>
      <c r="C4631" t="s">
        <v>11</v>
      </c>
      <c r="D4631" t="s">
        <v>12</v>
      </c>
      <c r="E4631" t="s">
        <v>391</v>
      </c>
      <c r="H4631" t="s">
        <v>392</v>
      </c>
      <c r="I4631" t="s">
        <v>2128</v>
      </c>
      <c r="L4631" t="s">
        <v>394</v>
      </c>
      <c r="M4631" t="s">
        <v>4415</v>
      </c>
    </row>
    <row r="4632" spans="1:13" x14ac:dyDescent="0.3">
      <c r="A4632" t="s">
        <v>4423</v>
      </c>
      <c r="B4632" t="s">
        <v>2733</v>
      </c>
      <c r="C4632" t="s">
        <v>280</v>
      </c>
      <c r="D4632" t="s">
        <v>4424</v>
      </c>
      <c r="E4632" t="s">
        <v>2735</v>
      </c>
      <c r="H4632" t="s">
        <v>25</v>
      </c>
      <c r="I4632" t="s">
        <v>2736</v>
      </c>
    </row>
    <row r="4633" spans="1:13" x14ac:dyDescent="0.3">
      <c r="A4633" t="s">
        <v>4423</v>
      </c>
      <c r="B4633" t="s">
        <v>2733</v>
      </c>
      <c r="C4633" t="s">
        <v>308</v>
      </c>
      <c r="D4633" t="s">
        <v>4425</v>
      </c>
      <c r="E4633" t="s">
        <v>2738</v>
      </c>
      <c r="H4633" t="s">
        <v>25</v>
      </c>
      <c r="I4633" t="s">
        <v>2739</v>
      </c>
      <c r="L4633" t="s">
        <v>312</v>
      </c>
      <c r="M4633" t="s">
        <v>327</v>
      </c>
    </row>
    <row r="4634" spans="1:13" x14ac:dyDescent="0.3">
      <c r="A4634" t="s">
        <v>4423</v>
      </c>
      <c r="B4634" t="s">
        <v>2733</v>
      </c>
      <c r="C4634" t="s">
        <v>308</v>
      </c>
      <c r="D4634" t="s">
        <v>4426</v>
      </c>
      <c r="E4634" t="s">
        <v>527</v>
      </c>
      <c r="H4634" t="s">
        <v>25</v>
      </c>
      <c r="I4634" t="s">
        <v>2741</v>
      </c>
      <c r="L4634" t="s">
        <v>312</v>
      </c>
      <c r="M4634" t="s">
        <v>343</v>
      </c>
    </row>
    <row r="4635" spans="1:13" x14ac:dyDescent="0.3">
      <c r="A4635" t="s">
        <v>4423</v>
      </c>
      <c r="B4635" t="s">
        <v>2733</v>
      </c>
      <c r="C4635" t="s">
        <v>308</v>
      </c>
      <c r="D4635" t="s">
        <v>4427</v>
      </c>
      <c r="E4635" t="s">
        <v>2077</v>
      </c>
      <c r="H4635" t="s">
        <v>25</v>
      </c>
      <c r="I4635" t="s">
        <v>2078</v>
      </c>
      <c r="L4635" t="s">
        <v>312</v>
      </c>
      <c r="M4635" t="s">
        <v>1687</v>
      </c>
    </row>
    <row r="4636" spans="1:13" x14ac:dyDescent="0.3">
      <c r="A4636" t="s">
        <v>4423</v>
      </c>
      <c r="B4636" t="s">
        <v>2733</v>
      </c>
      <c r="C4636" t="s">
        <v>308</v>
      </c>
      <c r="D4636" t="s">
        <v>4428</v>
      </c>
      <c r="E4636" t="s">
        <v>1138</v>
      </c>
      <c r="H4636" t="s">
        <v>25</v>
      </c>
      <c r="I4636" t="s">
        <v>2065</v>
      </c>
      <c r="L4636" t="s">
        <v>312</v>
      </c>
      <c r="M4636" t="s">
        <v>317</v>
      </c>
    </row>
    <row r="4637" spans="1:13" x14ac:dyDescent="0.3">
      <c r="A4637" t="s">
        <v>4423</v>
      </c>
      <c r="B4637" t="s">
        <v>2733</v>
      </c>
      <c r="C4637" t="s">
        <v>308</v>
      </c>
      <c r="D4637" t="s">
        <v>4429</v>
      </c>
      <c r="E4637" t="s">
        <v>1134</v>
      </c>
      <c r="H4637" t="s">
        <v>25</v>
      </c>
      <c r="I4637" t="s">
        <v>2069</v>
      </c>
      <c r="L4637" t="s">
        <v>312</v>
      </c>
      <c r="M4637" t="s">
        <v>317</v>
      </c>
    </row>
    <row r="4638" spans="1:13" x14ac:dyDescent="0.3">
      <c r="A4638" t="s">
        <v>4423</v>
      </c>
      <c r="B4638" t="s">
        <v>2733</v>
      </c>
      <c r="C4638" t="s">
        <v>308</v>
      </c>
      <c r="D4638" t="s">
        <v>4430</v>
      </c>
      <c r="E4638" t="s">
        <v>1138</v>
      </c>
      <c r="H4638" t="s">
        <v>25</v>
      </c>
      <c r="I4638" t="s">
        <v>2746</v>
      </c>
      <c r="L4638" t="s">
        <v>312</v>
      </c>
      <c r="M4638" t="s">
        <v>317</v>
      </c>
    </row>
    <row r="4639" spans="1:13" x14ac:dyDescent="0.3">
      <c r="A4639" t="s">
        <v>4423</v>
      </c>
      <c r="B4639" t="s">
        <v>2733</v>
      </c>
      <c r="C4639" t="s">
        <v>308</v>
      </c>
      <c r="D4639" t="s">
        <v>4431</v>
      </c>
      <c r="E4639" t="s">
        <v>341</v>
      </c>
      <c r="H4639" t="s">
        <v>25</v>
      </c>
      <c r="I4639" t="s">
        <v>342</v>
      </c>
      <c r="L4639" t="s">
        <v>312</v>
      </c>
      <c r="M4639" t="s">
        <v>343</v>
      </c>
    </row>
    <row r="4640" spans="1:13" x14ac:dyDescent="0.3">
      <c r="A4640" t="s">
        <v>4423</v>
      </c>
      <c r="B4640" t="s">
        <v>2733</v>
      </c>
      <c r="C4640" t="s">
        <v>22</v>
      </c>
      <c r="D4640" t="s">
        <v>23</v>
      </c>
      <c r="E4640" t="s">
        <v>28</v>
      </c>
    </row>
    <row r="4641" spans="1:27" x14ac:dyDescent="0.3">
      <c r="A4641" t="s">
        <v>4423</v>
      </c>
      <c r="B4641" t="s">
        <v>2733</v>
      </c>
      <c r="C4641" t="s">
        <v>2748</v>
      </c>
      <c r="D4641">
        <v>1.5</v>
      </c>
      <c r="H4641" t="s">
        <v>312</v>
      </c>
      <c r="I4641" t="s">
        <v>385</v>
      </c>
    </row>
    <row r="4642" spans="1:27" x14ac:dyDescent="0.3">
      <c r="A4642" t="s">
        <v>4423</v>
      </c>
      <c r="B4642" t="s">
        <v>2733</v>
      </c>
      <c r="C4642" t="s">
        <v>378</v>
      </c>
      <c r="D4642">
        <v>120</v>
      </c>
      <c r="H4642" t="s">
        <v>312</v>
      </c>
      <c r="I4642" t="s">
        <v>327</v>
      </c>
    </row>
    <row r="4643" spans="1:27" x14ac:dyDescent="0.3">
      <c r="A4643" t="s">
        <v>4423</v>
      </c>
      <c r="B4643" t="s">
        <v>2733</v>
      </c>
      <c r="C4643" t="s">
        <v>380</v>
      </c>
      <c r="D4643" t="s">
        <v>554</v>
      </c>
      <c r="E4643" t="s">
        <v>279</v>
      </c>
      <c r="F4643" t="s">
        <v>25</v>
      </c>
      <c r="G4643" t="s">
        <v>4432</v>
      </c>
      <c r="J4643" t="s">
        <v>2089</v>
      </c>
      <c r="K4643" t="s">
        <v>2750</v>
      </c>
      <c r="N4643" t="s">
        <v>2751</v>
      </c>
      <c r="O4643">
        <v>2</v>
      </c>
      <c r="R4643" t="s">
        <v>2752</v>
      </c>
      <c r="S4643">
        <v>158</v>
      </c>
      <c r="V4643" t="s">
        <v>2753</v>
      </c>
      <c r="W4643" t="s">
        <v>2754</v>
      </c>
      <c r="Z4643" t="s">
        <v>2755</v>
      </c>
      <c r="AA4643" t="s">
        <v>2756</v>
      </c>
    </row>
    <row r="4644" spans="1:27" x14ac:dyDescent="0.3">
      <c r="A4644" t="s">
        <v>4423</v>
      </c>
      <c r="B4644" t="s">
        <v>2733</v>
      </c>
      <c r="C4644" t="s">
        <v>16</v>
      </c>
      <c r="D4644" t="s">
        <v>204</v>
      </c>
      <c r="E4644" t="s">
        <v>37</v>
      </c>
    </row>
    <row r="4645" spans="1:27" x14ac:dyDescent="0.3">
      <c r="A4645" t="s">
        <v>4423</v>
      </c>
      <c r="B4645" t="s">
        <v>2733</v>
      </c>
      <c r="C4645" t="s">
        <v>11</v>
      </c>
      <c r="D4645" t="s">
        <v>12</v>
      </c>
      <c r="E4645" t="s">
        <v>13</v>
      </c>
      <c r="H4645" t="s">
        <v>382</v>
      </c>
      <c r="I4645" t="s">
        <v>4433</v>
      </c>
      <c r="L4645" t="s">
        <v>14</v>
      </c>
      <c r="M4645" t="s">
        <v>4433</v>
      </c>
    </row>
    <row r="4646" spans="1:27" x14ac:dyDescent="0.3">
      <c r="A4646" t="s">
        <v>4426</v>
      </c>
      <c r="B4646" t="s">
        <v>527</v>
      </c>
      <c r="C4646" t="s">
        <v>11</v>
      </c>
      <c r="D4646" t="s">
        <v>12</v>
      </c>
      <c r="E4646" t="s">
        <v>391</v>
      </c>
      <c r="H4646" t="s">
        <v>392</v>
      </c>
      <c r="I4646" t="s">
        <v>2758</v>
      </c>
      <c r="L4646" t="s">
        <v>394</v>
      </c>
      <c r="M4646" t="s">
        <v>4433</v>
      </c>
    </row>
    <row r="4647" spans="1:27" x14ac:dyDescent="0.3">
      <c r="A4647" t="s">
        <v>4425</v>
      </c>
      <c r="B4647" t="s">
        <v>2738</v>
      </c>
      <c r="C4647" t="s">
        <v>11</v>
      </c>
      <c r="D4647" t="s">
        <v>12</v>
      </c>
      <c r="E4647" t="s">
        <v>391</v>
      </c>
      <c r="H4647" t="s">
        <v>392</v>
      </c>
      <c r="I4647" t="s">
        <v>4434</v>
      </c>
      <c r="L4647" t="s">
        <v>394</v>
      </c>
      <c r="M4647" t="s">
        <v>4433</v>
      </c>
    </row>
    <row r="4648" spans="1:27" x14ac:dyDescent="0.3">
      <c r="A4648" t="s">
        <v>4424</v>
      </c>
      <c r="B4648" t="s">
        <v>2735</v>
      </c>
      <c r="C4648" t="s">
        <v>308</v>
      </c>
      <c r="D4648" t="s">
        <v>4435</v>
      </c>
      <c r="E4648" t="s">
        <v>406</v>
      </c>
      <c r="H4648" t="s">
        <v>25</v>
      </c>
      <c r="I4648" t="s">
        <v>2761</v>
      </c>
      <c r="L4648" t="s">
        <v>312</v>
      </c>
      <c r="M4648" t="s">
        <v>404</v>
      </c>
    </row>
    <row r="4649" spans="1:27" x14ac:dyDescent="0.3">
      <c r="A4649" t="s">
        <v>4435</v>
      </c>
      <c r="B4649" t="s">
        <v>406</v>
      </c>
      <c r="C4649" t="s">
        <v>11</v>
      </c>
      <c r="D4649" t="s">
        <v>12</v>
      </c>
      <c r="E4649" t="s">
        <v>391</v>
      </c>
      <c r="H4649" t="s">
        <v>392</v>
      </c>
      <c r="I4649" t="s">
        <v>4436</v>
      </c>
      <c r="L4649" t="s">
        <v>394</v>
      </c>
      <c r="M4649" t="s">
        <v>4433</v>
      </c>
    </row>
    <row r="4650" spans="1:27" x14ac:dyDescent="0.3">
      <c r="A4650" t="s">
        <v>4428</v>
      </c>
      <c r="B4650" t="s">
        <v>1138</v>
      </c>
      <c r="C4650" t="s">
        <v>11</v>
      </c>
      <c r="D4650" t="s">
        <v>12</v>
      </c>
      <c r="E4650" t="s">
        <v>391</v>
      </c>
      <c r="H4650" t="s">
        <v>392</v>
      </c>
      <c r="I4650" t="s">
        <v>4437</v>
      </c>
      <c r="L4650" t="s">
        <v>394</v>
      </c>
      <c r="M4650" t="s">
        <v>4433</v>
      </c>
    </row>
    <row r="4651" spans="1:27" x14ac:dyDescent="0.3">
      <c r="A4651" t="s">
        <v>4431</v>
      </c>
      <c r="B4651" t="s">
        <v>341</v>
      </c>
      <c r="C4651" t="s">
        <v>11</v>
      </c>
      <c r="D4651" t="s">
        <v>12</v>
      </c>
      <c r="E4651" t="s">
        <v>391</v>
      </c>
      <c r="H4651" t="s">
        <v>392</v>
      </c>
      <c r="I4651" t="s">
        <v>4438</v>
      </c>
      <c r="L4651" t="s">
        <v>394</v>
      </c>
      <c r="M4651" t="s">
        <v>4433</v>
      </c>
    </row>
    <row r="4652" spans="1:27" x14ac:dyDescent="0.3">
      <c r="A4652" t="s">
        <v>4429</v>
      </c>
      <c r="B4652" t="s">
        <v>1134</v>
      </c>
      <c r="C4652" t="s">
        <v>11</v>
      </c>
      <c r="D4652" t="s">
        <v>12</v>
      </c>
      <c r="E4652" t="s">
        <v>391</v>
      </c>
      <c r="H4652" t="s">
        <v>392</v>
      </c>
      <c r="I4652" t="s">
        <v>4439</v>
      </c>
      <c r="L4652" t="s">
        <v>394</v>
      </c>
      <c r="M4652" t="s">
        <v>4433</v>
      </c>
    </row>
    <row r="4653" spans="1:27" x14ac:dyDescent="0.3">
      <c r="A4653" t="s">
        <v>4430</v>
      </c>
      <c r="B4653" t="s">
        <v>1138</v>
      </c>
      <c r="C4653" t="s">
        <v>11</v>
      </c>
      <c r="D4653" t="s">
        <v>12</v>
      </c>
      <c r="E4653" t="s">
        <v>391</v>
      </c>
      <c r="H4653" t="s">
        <v>392</v>
      </c>
      <c r="I4653" t="s">
        <v>4440</v>
      </c>
      <c r="L4653" t="s">
        <v>394</v>
      </c>
      <c r="M4653" t="s">
        <v>4433</v>
      </c>
    </row>
    <row r="4654" spans="1:27" x14ac:dyDescent="0.3">
      <c r="A4654" t="s">
        <v>4427</v>
      </c>
      <c r="B4654" t="s">
        <v>2077</v>
      </c>
      <c r="C4654" t="s">
        <v>11</v>
      </c>
      <c r="D4654" t="s">
        <v>12</v>
      </c>
      <c r="E4654" t="s">
        <v>391</v>
      </c>
      <c r="H4654" t="s">
        <v>392</v>
      </c>
      <c r="I4654" t="s">
        <v>2128</v>
      </c>
      <c r="L4654" t="s">
        <v>394</v>
      </c>
      <c r="M4654" t="s">
        <v>4433</v>
      </c>
    </row>
    <row r="4655" spans="1:27" x14ac:dyDescent="0.3">
      <c r="A4655" t="s">
        <v>4441</v>
      </c>
      <c r="B4655" t="s">
        <v>2733</v>
      </c>
      <c r="C4655" t="s">
        <v>280</v>
      </c>
      <c r="D4655" t="s">
        <v>4442</v>
      </c>
      <c r="E4655" t="s">
        <v>2735</v>
      </c>
      <c r="H4655" t="s">
        <v>25</v>
      </c>
      <c r="I4655" t="s">
        <v>2736</v>
      </c>
    </row>
    <row r="4656" spans="1:27" x14ac:dyDescent="0.3">
      <c r="A4656" t="s">
        <v>4441</v>
      </c>
      <c r="B4656" t="s">
        <v>2733</v>
      </c>
      <c r="C4656" t="s">
        <v>308</v>
      </c>
      <c r="D4656" t="s">
        <v>4443</v>
      </c>
      <c r="E4656" t="s">
        <v>2738</v>
      </c>
      <c r="H4656" t="s">
        <v>25</v>
      </c>
      <c r="I4656" t="s">
        <v>2739</v>
      </c>
      <c r="L4656" t="s">
        <v>312</v>
      </c>
      <c r="M4656" t="s">
        <v>327</v>
      </c>
    </row>
    <row r="4657" spans="1:27" x14ac:dyDescent="0.3">
      <c r="A4657" t="s">
        <v>4441</v>
      </c>
      <c r="B4657" t="s">
        <v>2733</v>
      </c>
      <c r="C4657" t="s">
        <v>308</v>
      </c>
      <c r="D4657" t="s">
        <v>4444</v>
      </c>
      <c r="E4657" t="s">
        <v>527</v>
      </c>
      <c r="H4657" t="s">
        <v>25</v>
      </c>
      <c r="I4657" t="s">
        <v>2741</v>
      </c>
      <c r="L4657" t="s">
        <v>312</v>
      </c>
      <c r="M4657" t="s">
        <v>343</v>
      </c>
    </row>
    <row r="4658" spans="1:27" x14ac:dyDescent="0.3">
      <c r="A4658" t="s">
        <v>4441</v>
      </c>
      <c r="B4658" t="s">
        <v>2733</v>
      </c>
      <c r="C4658" t="s">
        <v>308</v>
      </c>
      <c r="D4658" t="s">
        <v>4445</v>
      </c>
      <c r="E4658" t="s">
        <v>2077</v>
      </c>
      <c r="H4658" t="s">
        <v>25</v>
      </c>
      <c r="I4658" t="s">
        <v>2078</v>
      </c>
      <c r="L4658" t="s">
        <v>312</v>
      </c>
      <c r="M4658" t="s">
        <v>1687</v>
      </c>
    </row>
    <row r="4659" spans="1:27" x14ac:dyDescent="0.3">
      <c r="A4659" t="s">
        <v>4441</v>
      </c>
      <c r="B4659" t="s">
        <v>2733</v>
      </c>
      <c r="C4659" t="s">
        <v>308</v>
      </c>
      <c r="D4659" t="s">
        <v>4446</v>
      </c>
      <c r="E4659" t="s">
        <v>1138</v>
      </c>
      <c r="H4659" t="s">
        <v>25</v>
      </c>
      <c r="I4659" t="s">
        <v>2065</v>
      </c>
      <c r="L4659" t="s">
        <v>312</v>
      </c>
      <c r="M4659" t="s">
        <v>317</v>
      </c>
    </row>
    <row r="4660" spans="1:27" x14ac:dyDescent="0.3">
      <c r="A4660" t="s">
        <v>4441</v>
      </c>
      <c r="B4660" t="s">
        <v>2733</v>
      </c>
      <c r="C4660" t="s">
        <v>308</v>
      </c>
      <c r="D4660" t="s">
        <v>4447</v>
      </c>
      <c r="E4660" t="s">
        <v>1134</v>
      </c>
      <c r="H4660" t="s">
        <v>25</v>
      </c>
      <c r="I4660" t="s">
        <v>2069</v>
      </c>
      <c r="L4660" t="s">
        <v>312</v>
      </c>
      <c r="M4660" t="s">
        <v>317</v>
      </c>
    </row>
    <row r="4661" spans="1:27" x14ac:dyDescent="0.3">
      <c r="A4661" t="s">
        <v>4441</v>
      </c>
      <c r="B4661" t="s">
        <v>2733</v>
      </c>
      <c r="C4661" t="s">
        <v>308</v>
      </c>
      <c r="D4661" t="s">
        <v>4448</v>
      </c>
      <c r="E4661" t="s">
        <v>1138</v>
      </c>
      <c r="H4661" t="s">
        <v>25</v>
      </c>
      <c r="I4661" t="s">
        <v>2746</v>
      </c>
      <c r="L4661" t="s">
        <v>312</v>
      </c>
      <c r="M4661" t="s">
        <v>317</v>
      </c>
    </row>
    <row r="4662" spans="1:27" x14ac:dyDescent="0.3">
      <c r="A4662" t="s">
        <v>4441</v>
      </c>
      <c r="B4662" t="s">
        <v>2733</v>
      </c>
      <c r="C4662" t="s">
        <v>308</v>
      </c>
      <c r="D4662" t="s">
        <v>4449</v>
      </c>
      <c r="E4662" t="s">
        <v>341</v>
      </c>
      <c r="H4662" t="s">
        <v>25</v>
      </c>
      <c r="I4662" t="s">
        <v>342</v>
      </c>
      <c r="L4662" t="s">
        <v>312</v>
      </c>
      <c r="M4662" t="s">
        <v>343</v>
      </c>
    </row>
    <row r="4663" spans="1:27" x14ac:dyDescent="0.3">
      <c r="A4663" t="s">
        <v>4441</v>
      </c>
      <c r="B4663" t="s">
        <v>2733</v>
      </c>
      <c r="C4663" t="s">
        <v>22</v>
      </c>
      <c r="D4663" t="s">
        <v>23</v>
      </c>
      <c r="E4663" t="s">
        <v>28</v>
      </c>
    </row>
    <row r="4664" spans="1:27" x14ac:dyDescent="0.3">
      <c r="A4664" t="s">
        <v>4441</v>
      </c>
      <c r="B4664" t="s">
        <v>2733</v>
      </c>
      <c r="C4664" t="s">
        <v>2748</v>
      </c>
      <c r="D4664">
        <v>2</v>
      </c>
      <c r="H4664" t="s">
        <v>312</v>
      </c>
      <c r="I4664" t="s">
        <v>385</v>
      </c>
    </row>
    <row r="4665" spans="1:27" x14ac:dyDescent="0.3">
      <c r="A4665" t="s">
        <v>4441</v>
      </c>
      <c r="B4665" t="s">
        <v>2733</v>
      </c>
      <c r="C4665" t="s">
        <v>378</v>
      </c>
      <c r="D4665">
        <v>225</v>
      </c>
      <c r="H4665" t="s">
        <v>312</v>
      </c>
      <c r="I4665" t="s">
        <v>327</v>
      </c>
    </row>
    <row r="4666" spans="1:27" x14ac:dyDescent="0.3">
      <c r="A4666" t="s">
        <v>4441</v>
      </c>
      <c r="B4666" t="s">
        <v>2733</v>
      </c>
      <c r="C4666" t="s">
        <v>380</v>
      </c>
      <c r="D4666" t="s">
        <v>554</v>
      </c>
      <c r="E4666" t="s">
        <v>279</v>
      </c>
      <c r="F4666" t="s">
        <v>25</v>
      </c>
      <c r="G4666" t="s">
        <v>4450</v>
      </c>
      <c r="J4666" t="s">
        <v>2089</v>
      </c>
      <c r="K4666" t="s">
        <v>2750</v>
      </c>
      <c r="N4666" t="s">
        <v>2751</v>
      </c>
      <c r="O4666">
        <v>4</v>
      </c>
      <c r="R4666" t="s">
        <v>2752</v>
      </c>
      <c r="S4666">
        <v>248</v>
      </c>
      <c r="V4666" t="s">
        <v>2753</v>
      </c>
      <c r="W4666" t="s">
        <v>2754</v>
      </c>
      <c r="Z4666" t="s">
        <v>2755</v>
      </c>
      <c r="AA4666" t="s">
        <v>2756</v>
      </c>
    </row>
    <row r="4667" spans="1:27" x14ac:dyDescent="0.3">
      <c r="A4667" t="s">
        <v>4441</v>
      </c>
      <c r="B4667" t="s">
        <v>2733</v>
      </c>
      <c r="C4667" t="s">
        <v>16</v>
      </c>
      <c r="D4667" t="s">
        <v>202</v>
      </c>
      <c r="E4667" t="s">
        <v>37</v>
      </c>
    </row>
    <row r="4668" spans="1:27" x14ac:dyDescent="0.3">
      <c r="A4668" t="s">
        <v>4441</v>
      </c>
      <c r="B4668" t="s">
        <v>2733</v>
      </c>
      <c r="C4668" t="s">
        <v>11</v>
      </c>
      <c r="D4668" t="s">
        <v>12</v>
      </c>
      <c r="E4668" t="s">
        <v>13</v>
      </c>
      <c r="H4668" t="s">
        <v>382</v>
      </c>
      <c r="I4668" t="s">
        <v>4451</v>
      </c>
      <c r="L4668" t="s">
        <v>14</v>
      </c>
      <c r="M4668" t="s">
        <v>4451</v>
      </c>
    </row>
    <row r="4669" spans="1:27" x14ac:dyDescent="0.3">
      <c r="A4669" t="s">
        <v>4444</v>
      </c>
      <c r="B4669" t="s">
        <v>527</v>
      </c>
      <c r="C4669" t="s">
        <v>11</v>
      </c>
      <c r="D4669" t="s">
        <v>12</v>
      </c>
      <c r="E4669" t="s">
        <v>391</v>
      </c>
      <c r="H4669" t="s">
        <v>392</v>
      </c>
      <c r="I4669" t="s">
        <v>2758</v>
      </c>
      <c r="L4669" t="s">
        <v>394</v>
      </c>
      <c r="M4669" t="s">
        <v>4451</v>
      </c>
    </row>
    <row r="4670" spans="1:27" x14ac:dyDescent="0.3">
      <c r="A4670" t="s">
        <v>4443</v>
      </c>
      <c r="B4670" t="s">
        <v>2738</v>
      </c>
      <c r="C4670" t="s">
        <v>11</v>
      </c>
      <c r="D4670" t="s">
        <v>12</v>
      </c>
      <c r="E4670" t="s">
        <v>391</v>
      </c>
      <c r="H4670" t="s">
        <v>392</v>
      </c>
      <c r="I4670" t="s">
        <v>4452</v>
      </c>
      <c r="L4670" t="s">
        <v>394</v>
      </c>
      <c r="M4670" t="s">
        <v>4451</v>
      </c>
    </row>
    <row r="4671" spans="1:27" x14ac:dyDescent="0.3">
      <c r="A4671" t="s">
        <v>4442</v>
      </c>
      <c r="B4671" t="s">
        <v>2735</v>
      </c>
      <c r="C4671" t="s">
        <v>308</v>
      </c>
      <c r="D4671" t="s">
        <v>4453</v>
      </c>
      <c r="E4671" t="s">
        <v>406</v>
      </c>
      <c r="H4671" t="s">
        <v>25</v>
      </c>
      <c r="I4671" t="s">
        <v>2761</v>
      </c>
      <c r="L4671" t="s">
        <v>312</v>
      </c>
      <c r="M4671" t="s">
        <v>404</v>
      </c>
    </row>
    <row r="4672" spans="1:27" x14ac:dyDescent="0.3">
      <c r="A4672" t="s">
        <v>4453</v>
      </c>
      <c r="B4672" t="s">
        <v>406</v>
      </c>
      <c r="C4672" t="s">
        <v>11</v>
      </c>
      <c r="D4672" t="s">
        <v>12</v>
      </c>
      <c r="E4672" t="s">
        <v>391</v>
      </c>
      <c r="H4672" t="s">
        <v>392</v>
      </c>
      <c r="I4672" t="s">
        <v>4454</v>
      </c>
      <c r="L4672" t="s">
        <v>394</v>
      </c>
      <c r="M4672" t="s">
        <v>4451</v>
      </c>
    </row>
    <row r="4673" spans="1:13" x14ac:dyDescent="0.3">
      <c r="A4673" t="s">
        <v>4446</v>
      </c>
      <c r="B4673" t="s">
        <v>1138</v>
      </c>
      <c r="C4673" t="s">
        <v>11</v>
      </c>
      <c r="D4673" t="s">
        <v>12</v>
      </c>
      <c r="E4673" t="s">
        <v>391</v>
      </c>
      <c r="H4673" t="s">
        <v>392</v>
      </c>
      <c r="I4673" t="s">
        <v>4455</v>
      </c>
      <c r="L4673" t="s">
        <v>394</v>
      </c>
      <c r="M4673" t="s">
        <v>4451</v>
      </c>
    </row>
    <row r="4674" spans="1:13" x14ac:dyDescent="0.3">
      <c r="A4674" t="s">
        <v>4449</v>
      </c>
      <c r="B4674" t="s">
        <v>341</v>
      </c>
      <c r="C4674" t="s">
        <v>11</v>
      </c>
      <c r="D4674" t="s">
        <v>12</v>
      </c>
      <c r="E4674" t="s">
        <v>391</v>
      </c>
      <c r="H4674" t="s">
        <v>392</v>
      </c>
      <c r="I4674" t="s">
        <v>4456</v>
      </c>
      <c r="L4674" t="s">
        <v>394</v>
      </c>
      <c r="M4674" t="s">
        <v>4451</v>
      </c>
    </row>
    <row r="4675" spans="1:13" x14ac:dyDescent="0.3">
      <c r="A4675" t="s">
        <v>4447</v>
      </c>
      <c r="B4675" t="s">
        <v>1134</v>
      </c>
      <c r="C4675" t="s">
        <v>11</v>
      </c>
      <c r="D4675" t="s">
        <v>12</v>
      </c>
      <c r="E4675" t="s">
        <v>391</v>
      </c>
      <c r="H4675" t="s">
        <v>392</v>
      </c>
      <c r="I4675" t="s">
        <v>4457</v>
      </c>
      <c r="L4675" t="s">
        <v>394</v>
      </c>
      <c r="M4675" t="s">
        <v>4451</v>
      </c>
    </row>
    <row r="4676" spans="1:13" x14ac:dyDescent="0.3">
      <c r="A4676" t="s">
        <v>4448</v>
      </c>
      <c r="B4676" t="s">
        <v>1138</v>
      </c>
      <c r="C4676" t="s">
        <v>11</v>
      </c>
      <c r="D4676" t="s">
        <v>12</v>
      </c>
      <c r="E4676" t="s">
        <v>391</v>
      </c>
      <c r="H4676" t="s">
        <v>392</v>
      </c>
      <c r="I4676" t="s">
        <v>4458</v>
      </c>
      <c r="L4676" t="s">
        <v>394</v>
      </c>
      <c r="M4676" t="s">
        <v>4451</v>
      </c>
    </row>
    <row r="4677" spans="1:13" x14ac:dyDescent="0.3">
      <c r="A4677" t="s">
        <v>4445</v>
      </c>
      <c r="B4677" t="s">
        <v>2077</v>
      </c>
      <c r="C4677" t="s">
        <v>11</v>
      </c>
      <c r="D4677" t="s">
        <v>12</v>
      </c>
      <c r="E4677" t="s">
        <v>391</v>
      </c>
      <c r="H4677" t="s">
        <v>392</v>
      </c>
      <c r="I4677" t="s">
        <v>2128</v>
      </c>
      <c r="L4677" t="s">
        <v>394</v>
      </c>
      <c r="M4677" t="s">
        <v>4451</v>
      </c>
    </row>
    <row r="4678" spans="1:13" x14ac:dyDescent="0.3">
      <c r="A4678" t="s">
        <v>4459</v>
      </c>
      <c r="B4678" t="s">
        <v>2733</v>
      </c>
      <c r="C4678" t="s">
        <v>280</v>
      </c>
      <c r="D4678" t="s">
        <v>4460</v>
      </c>
      <c r="E4678" t="s">
        <v>2735</v>
      </c>
      <c r="H4678" t="s">
        <v>25</v>
      </c>
      <c r="I4678" t="s">
        <v>2736</v>
      </c>
    </row>
    <row r="4679" spans="1:13" x14ac:dyDescent="0.3">
      <c r="A4679" t="s">
        <v>4459</v>
      </c>
      <c r="B4679" t="s">
        <v>2733</v>
      </c>
      <c r="C4679" t="s">
        <v>308</v>
      </c>
      <c r="D4679" t="s">
        <v>4461</v>
      </c>
      <c r="E4679" t="s">
        <v>2738</v>
      </c>
      <c r="H4679" t="s">
        <v>25</v>
      </c>
      <c r="I4679" t="s">
        <v>2739</v>
      </c>
      <c r="L4679" t="s">
        <v>312</v>
      </c>
      <c r="M4679" t="s">
        <v>327</v>
      </c>
    </row>
    <row r="4680" spans="1:13" x14ac:dyDescent="0.3">
      <c r="A4680" t="s">
        <v>4459</v>
      </c>
      <c r="B4680" t="s">
        <v>2733</v>
      </c>
      <c r="C4680" t="s">
        <v>308</v>
      </c>
      <c r="D4680" t="s">
        <v>4462</v>
      </c>
      <c r="E4680" t="s">
        <v>527</v>
      </c>
      <c r="H4680" t="s">
        <v>25</v>
      </c>
      <c r="I4680" t="s">
        <v>2741</v>
      </c>
      <c r="L4680" t="s">
        <v>312</v>
      </c>
      <c r="M4680" t="s">
        <v>343</v>
      </c>
    </row>
    <row r="4681" spans="1:13" x14ac:dyDescent="0.3">
      <c r="A4681" t="s">
        <v>4459</v>
      </c>
      <c r="B4681" t="s">
        <v>2733</v>
      </c>
      <c r="C4681" t="s">
        <v>308</v>
      </c>
      <c r="D4681" t="s">
        <v>4463</v>
      </c>
      <c r="E4681" t="s">
        <v>2077</v>
      </c>
      <c r="H4681" t="s">
        <v>25</v>
      </c>
      <c r="I4681" t="s">
        <v>2078</v>
      </c>
      <c r="L4681" t="s">
        <v>312</v>
      </c>
      <c r="M4681" t="s">
        <v>1687</v>
      </c>
    </row>
    <row r="4682" spans="1:13" x14ac:dyDescent="0.3">
      <c r="A4682" t="s">
        <v>4459</v>
      </c>
      <c r="B4682" t="s">
        <v>2733</v>
      </c>
      <c r="C4682" t="s">
        <v>308</v>
      </c>
      <c r="D4682" t="s">
        <v>4464</v>
      </c>
      <c r="E4682" t="s">
        <v>1138</v>
      </c>
      <c r="H4682" t="s">
        <v>25</v>
      </c>
      <c r="I4682" t="s">
        <v>2065</v>
      </c>
      <c r="L4682" t="s">
        <v>312</v>
      </c>
      <c r="M4682" t="s">
        <v>317</v>
      </c>
    </row>
    <row r="4683" spans="1:13" x14ac:dyDescent="0.3">
      <c r="A4683" t="s">
        <v>4459</v>
      </c>
      <c r="B4683" t="s">
        <v>2733</v>
      </c>
      <c r="C4683" t="s">
        <v>308</v>
      </c>
      <c r="D4683" t="s">
        <v>4465</v>
      </c>
      <c r="E4683" t="s">
        <v>1134</v>
      </c>
      <c r="H4683" t="s">
        <v>25</v>
      </c>
      <c r="I4683" t="s">
        <v>2069</v>
      </c>
      <c r="L4683" t="s">
        <v>312</v>
      </c>
      <c r="M4683" t="s">
        <v>317</v>
      </c>
    </row>
    <row r="4684" spans="1:13" x14ac:dyDescent="0.3">
      <c r="A4684" t="s">
        <v>4459</v>
      </c>
      <c r="B4684" t="s">
        <v>2733</v>
      </c>
      <c r="C4684" t="s">
        <v>308</v>
      </c>
      <c r="D4684" t="s">
        <v>4466</v>
      </c>
      <c r="E4684" t="s">
        <v>1138</v>
      </c>
      <c r="H4684" t="s">
        <v>25</v>
      </c>
      <c r="I4684" t="s">
        <v>2746</v>
      </c>
      <c r="L4684" t="s">
        <v>312</v>
      </c>
      <c r="M4684" t="s">
        <v>317</v>
      </c>
    </row>
    <row r="4685" spans="1:13" x14ac:dyDescent="0.3">
      <c r="A4685" t="s">
        <v>4459</v>
      </c>
      <c r="B4685" t="s">
        <v>2733</v>
      </c>
      <c r="C4685" t="s">
        <v>308</v>
      </c>
      <c r="D4685" t="s">
        <v>4467</v>
      </c>
      <c r="E4685" t="s">
        <v>341</v>
      </c>
      <c r="H4685" t="s">
        <v>25</v>
      </c>
      <c r="I4685" t="s">
        <v>342</v>
      </c>
      <c r="L4685" t="s">
        <v>312</v>
      </c>
      <c r="M4685" t="s">
        <v>343</v>
      </c>
    </row>
    <row r="4686" spans="1:13" x14ac:dyDescent="0.3">
      <c r="A4686" t="s">
        <v>4459</v>
      </c>
      <c r="B4686" t="s">
        <v>2733</v>
      </c>
      <c r="C4686" t="s">
        <v>22</v>
      </c>
      <c r="D4686" t="s">
        <v>23</v>
      </c>
      <c r="E4686" t="s">
        <v>28</v>
      </c>
    </row>
    <row r="4687" spans="1:13" x14ac:dyDescent="0.3">
      <c r="A4687" t="s">
        <v>4459</v>
      </c>
      <c r="B4687" t="s">
        <v>2733</v>
      </c>
      <c r="C4687" t="s">
        <v>2748</v>
      </c>
      <c r="D4687">
        <v>2</v>
      </c>
      <c r="H4687" t="s">
        <v>312</v>
      </c>
      <c r="I4687" t="s">
        <v>385</v>
      </c>
    </row>
    <row r="4688" spans="1:13" x14ac:dyDescent="0.3">
      <c r="A4688" t="s">
        <v>4459</v>
      </c>
      <c r="B4688" t="s">
        <v>2733</v>
      </c>
      <c r="C4688" t="s">
        <v>378</v>
      </c>
      <c r="D4688">
        <v>420</v>
      </c>
      <c r="H4688" t="s">
        <v>312</v>
      </c>
      <c r="I4688" t="s">
        <v>327</v>
      </c>
    </row>
    <row r="4689" spans="1:27" x14ac:dyDescent="0.3">
      <c r="A4689" t="s">
        <v>4459</v>
      </c>
      <c r="B4689" t="s">
        <v>2733</v>
      </c>
      <c r="C4689" t="s">
        <v>380</v>
      </c>
      <c r="D4689" t="s">
        <v>554</v>
      </c>
      <c r="E4689" t="s">
        <v>279</v>
      </c>
      <c r="F4689" t="s">
        <v>25</v>
      </c>
      <c r="G4689" t="s">
        <v>4468</v>
      </c>
      <c r="J4689" t="s">
        <v>2089</v>
      </c>
      <c r="K4689" t="s">
        <v>2750</v>
      </c>
      <c r="N4689" t="s">
        <v>2751</v>
      </c>
      <c r="O4689">
        <v>4</v>
      </c>
      <c r="R4689" t="s">
        <v>2752</v>
      </c>
      <c r="S4689">
        <v>248</v>
      </c>
      <c r="V4689" t="s">
        <v>2753</v>
      </c>
      <c r="W4689" t="s">
        <v>2754</v>
      </c>
      <c r="Z4689" t="s">
        <v>2755</v>
      </c>
      <c r="AA4689" t="s">
        <v>2756</v>
      </c>
    </row>
    <row r="4690" spans="1:27" x14ac:dyDescent="0.3">
      <c r="A4690" t="s">
        <v>4459</v>
      </c>
      <c r="B4690" t="s">
        <v>2733</v>
      </c>
      <c r="C4690" t="s">
        <v>16</v>
      </c>
      <c r="D4690" t="s">
        <v>200</v>
      </c>
      <c r="E4690" t="s">
        <v>37</v>
      </c>
    </row>
    <row r="4691" spans="1:27" x14ac:dyDescent="0.3">
      <c r="A4691" t="s">
        <v>4459</v>
      </c>
      <c r="B4691" t="s">
        <v>2733</v>
      </c>
      <c r="C4691" t="s">
        <v>11</v>
      </c>
      <c r="D4691" t="s">
        <v>12</v>
      </c>
      <c r="E4691" t="s">
        <v>13</v>
      </c>
      <c r="H4691" t="s">
        <v>382</v>
      </c>
      <c r="I4691" t="s">
        <v>4469</v>
      </c>
      <c r="L4691" t="s">
        <v>14</v>
      </c>
      <c r="M4691" t="s">
        <v>4469</v>
      </c>
    </row>
    <row r="4692" spans="1:27" x14ac:dyDescent="0.3">
      <c r="A4692" t="s">
        <v>4462</v>
      </c>
      <c r="B4692" t="s">
        <v>527</v>
      </c>
      <c r="C4692" t="s">
        <v>11</v>
      </c>
      <c r="D4692" t="s">
        <v>12</v>
      </c>
      <c r="E4692" t="s">
        <v>391</v>
      </c>
      <c r="H4692" t="s">
        <v>392</v>
      </c>
      <c r="I4692" t="s">
        <v>2758</v>
      </c>
      <c r="L4692" t="s">
        <v>394</v>
      </c>
      <c r="M4692" t="s">
        <v>4469</v>
      </c>
    </row>
    <row r="4693" spans="1:27" x14ac:dyDescent="0.3">
      <c r="A4693" t="s">
        <v>4461</v>
      </c>
      <c r="B4693" t="s">
        <v>2738</v>
      </c>
      <c r="C4693" t="s">
        <v>11</v>
      </c>
      <c r="D4693" t="s">
        <v>12</v>
      </c>
      <c r="E4693" t="s">
        <v>391</v>
      </c>
      <c r="H4693" t="s">
        <v>392</v>
      </c>
      <c r="I4693" t="s">
        <v>4470</v>
      </c>
      <c r="L4693" t="s">
        <v>394</v>
      </c>
      <c r="M4693" t="s">
        <v>4469</v>
      </c>
    </row>
    <row r="4694" spans="1:27" x14ac:dyDescent="0.3">
      <c r="A4694" t="s">
        <v>4460</v>
      </c>
      <c r="B4694" t="s">
        <v>2735</v>
      </c>
      <c r="C4694" t="s">
        <v>308</v>
      </c>
      <c r="D4694" t="s">
        <v>4471</v>
      </c>
      <c r="E4694" t="s">
        <v>406</v>
      </c>
      <c r="H4694" t="s">
        <v>25</v>
      </c>
      <c r="I4694" t="s">
        <v>2761</v>
      </c>
      <c r="L4694" t="s">
        <v>312</v>
      </c>
      <c r="M4694" t="s">
        <v>404</v>
      </c>
    </row>
    <row r="4695" spans="1:27" x14ac:dyDescent="0.3">
      <c r="A4695" t="s">
        <v>4471</v>
      </c>
      <c r="B4695" t="s">
        <v>406</v>
      </c>
      <c r="C4695" t="s">
        <v>11</v>
      </c>
      <c r="D4695" t="s">
        <v>12</v>
      </c>
      <c r="E4695" t="s">
        <v>391</v>
      </c>
      <c r="H4695" t="s">
        <v>392</v>
      </c>
      <c r="I4695" t="s">
        <v>4472</v>
      </c>
      <c r="L4695" t="s">
        <v>394</v>
      </c>
      <c r="M4695" t="s">
        <v>4469</v>
      </c>
    </row>
    <row r="4696" spans="1:27" x14ac:dyDescent="0.3">
      <c r="A4696" t="s">
        <v>4464</v>
      </c>
      <c r="B4696" t="s">
        <v>1138</v>
      </c>
      <c r="C4696" t="s">
        <v>11</v>
      </c>
      <c r="D4696" t="s">
        <v>12</v>
      </c>
      <c r="E4696" t="s">
        <v>391</v>
      </c>
      <c r="H4696" t="s">
        <v>392</v>
      </c>
      <c r="I4696" t="s">
        <v>4473</v>
      </c>
      <c r="L4696" t="s">
        <v>394</v>
      </c>
      <c r="M4696" t="s">
        <v>4469</v>
      </c>
    </row>
    <row r="4697" spans="1:27" x14ac:dyDescent="0.3">
      <c r="A4697" t="s">
        <v>4467</v>
      </c>
      <c r="B4697" t="s">
        <v>341</v>
      </c>
      <c r="C4697" t="s">
        <v>11</v>
      </c>
      <c r="D4697" t="s">
        <v>12</v>
      </c>
      <c r="E4697" t="s">
        <v>391</v>
      </c>
      <c r="H4697" t="s">
        <v>392</v>
      </c>
      <c r="I4697" t="s">
        <v>4474</v>
      </c>
      <c r="L4697" t="s">
        <v>394</v>
      </c>
      <c r="M4697" t="s">
        <v>4469</v>
      </c>
    </row>
    <row r="4698" spans="1:27" x14ac:dyDescent="0.3">
      <c r="A4698" t="s">
        <v>4465</v>
      </c>
      <c r="B4698" t="s">
        <v>1134</v>
      </c>
      <c r="C4698" t="s">
        <v>11</v>
      </c>
      <c r="D4698" t="s">
        <v>12</v>
      </c>
      <c r="E4698" t="s">
        <v>391</v>
      </c>
      <c r="H4698" t="s">
        <v>392</v>
      </c>
      <c r="I4698" t="s">
        <v>4475</v>
      </c>
      <c r="L4698" t="s">
        <v>394</v>
      </c>
      <c r="M4698" t="s">
        <v>4469</v>
      </c>
    </row>
    <row r="4699" spans="1:27" x14ac:dyDescent="0.3">
      <c r="A4699" t="s">
        <v>4466</v>
      </c>
      <c r="B4699" t="s">
        <v>1138</v>
      </c>
      <c r="C4699" t="s">
        <v>11</v>
      </c>
      <c r="D4699" t="s">
        <v>12</v>
      </c>
      <c r="E4699" t="s">
        <v>391</v>
      </c>
      <c r="H4699" t="s">
        <v>392</v>
      </c>
      <c r="I4699" t="s">
        <v>4476</v>
      </c>
      <c r="L4699" t="s">
        <v>394</v>
      </c>
      <c r="M4699" t="s">
        <v>4469</v>
      </c>
    </row>
    <row r="4700" spans="1:27" x14ac:dyDescent="0.3">
      <c r="A4700" t="s">
        <v>4463</v>
      </c>
      <c r="B4700" t="s">
        <v>2077</v>
      </c>
      <c r="C4700" t="s">
        <v>11</v>
      </c>
      <c r="D4700" t="s">
        <v>12</v>
      </c>
      <c r="E4700" t="s">
        <v>391</v>
      </c>
      <c r="H4700" t="s">
        <v>392</v>
      </c>
      <c r="I4700" t="s">
        <v>2128</v>
      </c>
      <c r="L4700" t="s">
        <v>394</v>
      </c>
      <c r="M4700" t="s">
        <v>4469</v>
      </c>
    </row>
    <row r="4701" spans="1:27" x14ac:dyDescent="0.3">
      <c r="A4701" t="s">
        <v>4477</v>
      </c>
      <c r="B4701" t="s">
        <v>2733</v>
      </c>
      <c r="C4701" t="s">
        <v>280</v>
      </c>
      <c r="D4701" t="s">
        <v>4478</v>
      </c>
      <c r="E4701" t="s">
        <v>2735</v>
      </c>
      <c r="H4701" t="s">
        <v>25</v>
      </c>
      <c r="I4701" t="s">
        <v>2736</v>
      </c>
    </row>
    <row r="4702" spans="1:27" x14ac:dyDescent="0.3">
      <c r="A4702" t="s">
        <v>4477</v>
      </c>
      <c r="B4702" t="s">
        <v>2733</v>
      </c>
      <c r="C4702" t="s">
        <v>308</v>
      </c>
      <c r="D4702" t="s">
        <v>4479</v>
      </c>
      <c r="E4702" t="s">
        <v>2738</v>
      </c>
      <c r="H4702" t="s">
        <v>25</v>
      </c>
      <c r="I4702" t="s">
        <v>2739</v>
      </c>
      <c r="L4702" t="s">
        <v>312</v>
      </c>
      <c r="M4702" t="s">
        <v>327</v>
      </c>
    </row>
    <row r="4703" spans="1:27" x14ac:dyDescent="0.3">
      <c r="A4703" t="s">
        <v>4477</v>
      </c>
      <c r="B4703" t="s">
        <v>2733</v>
      </c>
      <c r="C4703" t="s">
        <v>308</v>
      </c>
      <c r="D4703" t="s">
        <v>4480</v>
      </c>
      <c r="E4703" t="s">
        <v>527</v>
      </c>
      <c r="H4703" t="s">
        <v>25</v>
      </c>
      <c r="I4703" t="s">
        <v>2741</v>
      </c>
      <c r="L4703" t="s">
        <v>312</v>
      </c>
      <c r="M4703" t="s">
        <v>343</v>
      </c>
    </row>
    <row r="4704" spans="1:27" x14ac:dyDescent="0.3">
      <c r="A4704" t="s">
        <v>4477</v>
      </c>
      <c r="B4704" t="s">
        <v>2733</v>
      </c>
      <c r="C4704" t="s">
        <v>308</v>
      </c>
      <c r="D4704" t="s">
        <v>4481</v>
      </c>
      <c r="E4704" t="s">
        <v>2077</v>
      </c>
      <c r="H4704" t="s">
        <v>25</v>
      </c>
      <c r="I4704" t="s">
        <v>2078</v>
      </c>
      <c r="L4704" t="s">
        <v>312</v>
      </c>
      <c r="M4704" t="s">
        <v>1687</v>
      </c>
    </row>
    <row r="4705" spans="1:27" x14ac:dyDescent="0.3">
      <c r="A4705" t="s">
        <v>4477</v>
      </c>
      <c r="B4705" t="s">
        <v>2733</v>
      </c>
      <c r="C4705" t="s">
        <v>308</v>
      </c>
      <c r="D4705" t="s">
        <v>4482</v>
      </c>
      <c r="E4705" t="s">
        <v>1138</v>
      </c>
      <c r="H4705" t="s">
        <v>25</v>
      </c>
      <c r="I4705" t="s">
        <v>2065</v>
      </c>
      <c r="L4705" t="s">
        <v>312</v>
      </c>
      <c r="M4705" t="s">
        <v>317</v>
      </c>
    </row>
    <row r="4706" spans="1:27" x14ac:dyDescent="0.3">
      <c r="A4706" t="s">
        <v>4477</v>
      </c>
      <c r="B4706" t="s">
        <v>2733</v>
      </c>
      <c r="C4706" t="s">
        <v>308</v>
      </c>
      <c r="D4706" t="s">
        <v>4483</v>
      </c>
      <c r="E4706" t="s">
        <v>1134</v>
      </c>
      <c r="H4706" t="s">
        <v>25</v>
      </c>
      <c r="I4706" t="s">
        <v>2069</v>
      </c>
      <c r="L4706" t="s">
        <v>312</v>
      </c>
      <c r="M4706" t="s">
        <v>317</v>
      </c>
    </row>
    <row r="4707" spans="1:27" x14ac:dyDescent="0.3">
      <c r="A4707" t="s">
        <v>4477</v>
      </c>
      <c r="B4707" t="s">
        <v>2733</v>
      </c>
      <c r="C4707" t="s">
        <v>308</v>
      </c>
      <c r="D4707" t="s">
        <v>4484</v>
      </c>
      <c r="E4707" t="s">
        <v>1138</v>
      </c>
      <c r="H4707" t="s">
        <v>25</v>
      </c>
      <c r="I4707" t="s">
        <v>2746</v>
      </c>
      <c r="L4707" t="s">
        <v>312</v>
      </c>
      <c r="M4707" t="s">
        <v>317</v>
      </c>
    </row>
    <row r="4708" spans="1:27" x14ac:dyDescent="0.3">
      <c r="A4708" t="s">
        <v>4477</v>
      </c>
      <c r="B4708" t="s">
        <v>2733</v>
      </c>
      <c r="C4708" t="s">
        <v>308</v>
      </c>
      <c r="D4708" t="s">
        <v>4485</v>
      </c>
      <c r="E4708" t="s">
        <v>341</v>
      </c>
      <c r="H4708" t="s">
        <v>25</v>
      </c>
      <c r="I4708" t="s">
        <v>342</v>
      </c>
      <c r="L4708" t="s">
        <v>312</v>
      </c>
      <c r="M4708" t="s">
        <v>343</v>
      </c>
    </row>
    <row r="4709" spans="1:27" x14ac:dyDescent="0.3">
      <c r="A4709" t="s">
        <v>4477</v>
      </c>
      <c r="B4709" t="s">
        <v>2733</v>
      </c>
      <c r="C4709" t="s">
        <v>22</v>
      </c>
      <c r="D4709" t="s">
        <v>23</v>
      </c>
      <c r="E4709" t="s">
        <v>28</v>
      </c>
    </row>
    <row r="4710" spans="1:27" x14ac:dyDescent="0.3">
      <c r="A4710" t="s">
        <v>4477</v>
      </c>
      <c r="B4710" t="s">
        <v>2733</v>
      </c>
      <c r="C4710" t="s">
        <v>2748</v>
      </c>
      <c r="D4710">
        <v>1.5</v>
      </c>
      <c r="H4710" t="s">
        <v>312</v>
      </c>
      <c r="I4710" t="s">
        <v>385</v>
      </c>
    </row>
    <row r="4711" spans="1:27" x14ac:dyDescent="0.3">
      <c r="A4711" t="s">
        <v>4477</v>
      </c>
      <c r="B4711" t="s">
        <v>2733</v>
      </c>
      <c r="C4711" t="s">
        <v>378</v>
      </c>
      <c r="D4711">
        <v>420</v>
      </c>
      <c r="H4711" t="s">
        <v>312</v>
      </c>
      <c r="I4711" t="s">
        <v>327</v>
      </c>
    </row>
    <row r="4712" spans="1:27" x14ac:dyDescent="0.3">
      <c r="A4712" t="s">
        <v>4477</v>
      </c>
      <c r="B4712" t="s">
        <v>2733</v>
      </c>
      <c r="C4712" t="s">
        <v>380</v>
      </c>
      <c r="D4712" t="s">
        <v>554</v>
      </c>
      <c r="E4712" t="s">
        <v>279</v>
      </c>
      <c r="F4712" t="s">
        <v>25</v>
      </c>
      <c r="G4712" t="s">
        <v>4486</v>
      </c>
      <c r="J4712" t="s">
        <v>2089</v>
      </c>
      <c r="K4712" t="s">
        <v>2750</v>
      </c>
      <c r="N4712" t="s">
        <v>2751</v>
      </c>
      <c r="O4712">
        <v>1</v>
      </c>
      <c r="R4712" t="s">
        <v>2752</v>
      </c>
      <c r="S4712">
        <v>158</v>
      </c>
      <c r="V4712" t="s">
        <v>2753</v>
      </c>
      <c r="W4712" t="s">
        <v>2754</v>
      </c>
      <c r="Z4712" t="s">
        <v>2755</v>
      </c>
      <c r="AA4712" t="s">
        <v>2756</v>
      </c>
    </row>
    <row r="4713" spans="1:27" x14ac:dyDescent="0.3">
      <c r="A4713" t="s">
        <v>4477</v>
      </c>
      <c r="B4713" t="s">
        <v>2733</v>
      </c>
      <c r="C4713" t="s">
        <v>16</v>
      </c>
      <c r="D4713" t="s">
        <v>200</v>
      </c>
      <c r="E4713" t="s">
        <v>37</v>
      </c>
    </row>
    <row r="4714" spans="1:27" x14ac:dyDescent="0.3">
      <c r="A4714" t="s">
        <v>4477</v>
      </c>
      <c r="B4714" t="s">
        <v>2733</v>
      </c>
      <c r="C4714" t="s">
        <v>11</v>
      </c>
      <c r="D4714" t="s">
        <v>12</v>
      </c>
      <c r="E4714" t="s">
        <v>13</v>
      </c>
      <c r="H4714" t="s">
        <v>382</v>
      </c>
      <c r="I4714" t="s">
        <v>4487</v>
      </c>
      <c r="L4714" t="s">
        <v>14</v>
      </c>
      <c r="M4714" t="s">
        <v>4487</v>
      </c>
    </row>
    <row r="4715" spans="1:27" x14ac:dyDescent="0.3">
      <c r="A4715" t="s">
        <v>4480</v>
      </c>
      <c r="B4715" t="s">
        <v>527</v>
      </c>
      <c r="C4715" t="s">
        <v>11</v>
      </c>
      <c r="D4715" t="s">
        <v>12</v>
      </c>
      <c r="E4715" t="s">
        <v>391</v>
      </c>
      <c r="H4715" t="s">
        <v>392</v>
      </c>
      <c r="I4715" t="s">
        <v>2758</v>
      </c>
      <c r="L4715" t="s">
        <v>394</v>
      </c>
      <c r="M4715" t="s">
        <v>4487</v>
      </c>
    </row>
    <row r="4716" spans="1:27" x14ac:dyDescent="0.3">
      <c r="A4716" t="s">
        <v>4479</v>
      </c>
      <c r="B4716" t="s">
        <v>2738</v>
      </c>
      <c r="C4716" t="s">
        <v>11</v>
      </c>
      <c r="D4716" t="s">
        <v>12</v>
      </c>
      <c r="E4716" t="s">
        <v>391</v>
      </c>
      <c r="H4716" t="s">
        <v>392</v>
      </c>
      <c r="I4716" t="s">
        <v>4488</v>
      </c>
      <c r="L4716" t="s">
        <v>394</v>
      </c>
      <c r="M4716" t="s">
        <v>4487</v>
      </c>
    </row>
    <row r="4717" spans="1:27" x14ac:dyDescent="0.3">
      <c r="A4717" t="s">
        <v>4478</v>
      </c>
      <c r="B4717" t="s">
        <v>2735</v>
      </c>
      <c r="C4717" t="s">
        <v>308</v>
      </c>
      <c r="D4717" t="s">
        <v>4489</v>
      </c>
      <c r="E4717" t="s">
        <v>406</v>
      </c>
      <c r="H4717" t="s">
        <v>25</v>
      </c>
      <c r="I4717" t="s">
        <v>2761</v>
      </c>
      <c r="L4717" t="s">
        <v>312</v>
      </c>
      <c r="M4717" t="s">
        <v>404</v>
      </c>
    </row>
    <row r="4718" spans="1:27" x14ac:dyDescent="0.3">
      <c r="A4718" t="s">
        <v>4489</v>
      </c>
      <c r="B4718" t="s">
        <v>406</v>
      </c>
      <c r="C4718" t="s">
        <v>11</v>
      </c>
      <c r="D4718" t="s">
        <v>12</v>
      </c>
      <c r="E4718" t="s">
        <v>391</v>
      </c>
      <c r="H4718" t="s">
        <v>392</v>
      </c>
      <c r="I4718" t="s">
        <v>4490</v>
      </c>
      <c r="L4718" t="s">
        <v>394</v>
      </c>
      <c r="M4718" t="s">
        <v>4487</v>
      </c>
    </row>
    <row r="4719" spans="1:27" x14ac:dyDescent="0.3">
      <c r="A4719" t="s">
        <v>4482</v>
      </c>
      <c r="B4719" t="s">
        <v>1138</v>
      </c>
      <c r="C4719" t="s">
        <v>11</v>
      </c>
      <c r="D4719" t="s">
        <v>12</v>
      </c>
      <c r="E4719" t="s">
        <v>391</v>
      </c>
      <c r="H4719" t="s">
        <v>392</v>
      </c>
      <c r="I4719" t="s">
        <v>4491</v>
      </c>
      <c r="L4719" t="s">
        <v>394</v>
      </c>
      <c r="M4719" t="s">
        <v>4487</v>
      </c>
    </row>
    <row r="4720" spans="1:27" x14ac:dyDescent="0.3">
      <c r="A4720" t="s">
        <v>4485</v>
      </c>
      <c r="B4720" t="s">
        <v>341</v>
      </c>
      <c r="C4720" t="s">
        <v>11</v>
      </c>
      <c r="D4720" t="s">
        <v>12</v>
      </c>
      <c r="E4720" t="s">
        <v>391</v>
      </c>
      <c r="H4720" t="s">
        <v>392</v>
      </c>
      <c r="I4720" t="s">
        <v>4492</v>
      </c>
      <c r="L4720" t="s">
        <v>394</v>
      </c>
      <c r="M4720" t="s">
        <v>4487</v>
      </c>
    </row>
    <row r="4721" spans="1:27" x14ac:dyDescent="0.3">
      <c r="A4721" t="s">
        <v>4483</v>
      </c>
      <c r="B4721" t="s">
        <v>1134</v>
      </c>
      <c r="C4721" t="s">
        <v>11</v>
      </c>
      <c r="D4721" t="s">
        <v>12</v>
      </c>
      <c r="E4721" t="s">
        <v>391</v>
      </c>
      <c r="H4721" t="s">
        <v>392</v>
      </c>
      <c r="I4721" t="s">
        <v>4493</v>
      </c>
      <c r="L4721" t="s">
        <v>394</v>
      </c>
      <c r="M4721" t="s">
        <v>4487</v>
      </c>
    </row>
    <row r="4722" spans="1:27" x14ac:dyDescent="0.3">
      <c r="A4722" t="s">
        <v>4484</v>
      </c>
      <c r="B4722" t="s">
        <v>1138</v>
      </c>
      <c r="C4722" t="s">
        <v>11</v>
      </c>
      <c r="D4722" t="s">
        <v>12</v>
      </c>
      <c r="E4722" t="s">
        <v>391</v>
      </c>
      <c r="H4722" t="s">
        <v>392</v>
      </c>
      <c r="I4722" t="s">
        <v>4494</v>
      </c>
      <c r="L4722" t="s">
        <v>394</v>
      </c>
      <c r="M4722" t="s">
        <v>4487</v>
      </c>
    </row>
    <row r="4723" spans="1:27" x14ac:dyDescent="0.3">
      <c r="A4723" t="s">
        <v>4481</v>
      </c>
      <c r="B4723" t="s">
        <v>2077</v>
      </c>
      <c r="C4723" t="s">
        <v>11</v>
      </c>
      <c r="D4723" t="s">
        <v>12</v>
      </c>
      <c r="E4723" t="s">
        <v>391</v>
      </c>
      <c r="H4723" t="s">
        <v>392</v>
      </c>
      <c r="I4723" t="s">
        <v>2128</v>
      </c>
      <c r="L4723" t="s">
        <v>394</v>
      </c>
      <c r="M4723" t="s">
        <v>4487</v>
      </c>
    </row>
    <row r="4724" spans="1:27" x14ac:dyDescent="0.3">
      <c r="A4724" t="s">
        <v>4495</v>
      </c>
      <c r="B4724" t="s">
        <v>2733</v>
      </c>
      <c r="C4724" t="s">
        <v>280</v>
      </c>
      <c r="D4724" t="s">
        <v>4496</v>
      </c>
      <c r="E4724" t="s">
        <v>2735</v>
      </c>
      <c r="H4724" t="s">
        <v>25</v>
      </c>
      <c r="I4724" t="s">
        <v>2736</v>
      </c>
    </row>
    <row r="4725" spans="1:27" x14ac:dyDescent="0.3">
      <c r="A4725" t="s">
        <v>4495</v>
      </c>
      <c r="B4725" t="s">
        <v>2733</v>
      </c>
      <c r="C4725" t="s">
        <v>308</v>
      </c>
      <c r="D4725" t="s">
        <v>4497</v>
      </c>
      <c r="E4725" t="s">
        <v>2738</v>
      </c>
      <c r="H4725" t="s">
        <v>25</v>
      </c>
      <c r="I4725" t="s">
        <v>2739</v>
      </c>
      <c r="L4725" t="s">
        <v>312</v>
      </c>
      <c r="M4725" t="s">
        <v>327</v>
      </c>
    </row>
    <row r="4726" spans="1:27" x14ac:dyDescent="0.3">
      <c r="A4726" t="s">
        <v>4495</v>
      </c>
      <c r="B4726" t="s">
        <v>2733</v>
      </c>
      <c r="C4726" t="s">
        <v>308</v>
      </c>
      <c r="D4726" t="s">
        <v>4498</v>
      </c>
      <c r="E4726" t="s">
        <v>527</v>
      </c>
      <c r="H4726" t="s">
        <v>25</v>
      </c>
      <c r="I4726" t="s">
        <v>2741</v>
      </c>
      <c r="L4726" t="s">
        <v>312</v>
      </c>
      <c r="M4726" t="s">
        <v>343</v>
      </c>
    </row>
    <row r="4727" spans="1:27" x14ac:dyDescent="0.3">
      <c r="A4727" t="s">
        <v>4495</v>
      </c>
      <c r="B4727" t="s">
        <v>2733</v>
      </c>
      <c r="C4727" t="s">
        <v>308</v>
      </c>
      <c r="D4727" t="s">
        <v>4499</v>
      </c>
      <c r="E4727" t="s">
        <v>2077</v>
      </c>
      <c r="H4727" t="s">
        <v>25</v>
      </c>
      <c r="I4727" t="s">
        <v>2078</v>
      </c>
      <c r="L4727" t="s">
        <v>312</v>
      </c>
      <c r="M4727" t="s">
        <v>1687</v>
      </c>
    </row>
    <row r="4728" spans="1:27" x14ac:dyDescent="0.3">
      <c r="A4728" t="s">
        <v>4495</v>
      </c>
      <c r="B4728" t="s">
        <v>2733</v>
      </c>
      <c r="C4728" t="s">
        <v>308</v>
      </c>
      <c r="D4728" t="s">
        <v>4500</v>
      </c>
      <c r="E4728" t="s">
        <v>1138</v>
      </c>
      <c r="H4728" t="s">
        <v>25</v>
      </c>
      <c r="I4728" t="s">
        <v>2065</v>
      </c>
      <c r="L4728" t="s">
        <v>312</v>
      </c>
      <c r="M4728" t="s">
        <v>317</v>
      </c>
    </row>
    <row r="4729" spans="1:27" x14ac:dyDescent="0.3">
      <c r="A4729" t="s">
        <v>4495</v>
      </c>
      <c r="B4729" t="s">
        <v>2733</v>
      </c>
      <c r="C4729" t="s">
        <v>308</v>
      </c>
      <c r="D4729" t="s">
        <v>4501</v>
      </c>
      <c r="E4729" t="s">
        <v>1134</v>
      </c>
      <c r="H4729" t="s">
        <v>25</v>
      </c>
      <c r="I4729" t="s">
        <v>2069</v>
      </c>
      <c r="L4729" t="s">
        <v>312</v>
      </c>
      <c r="M4729" t="s">
        <v>317</v>
      </c>
    </row>
    <row r="4730" spans="1:27" x14ac:dyDescent="0.3">
      <c r="A4730" t="s">
        <v>4495</v>
      </c>
      <c r="B4730" t="s">
        <v>2733</v>
      </c>
      <c r="C4730" t="s">
        <v>308</v>
      </c>
      <c r="D4730" t="s">
        <v>4502</v>
      </c>
      <c r="E4730" t="s">
        <v>1138</v>
      </c>
      <c r="H4730" t="s">
        <v>25</v>
      </c>
      <c r="I4730" t="s">
        <v>2746</v>
      </c>
      <c r="L4730" t="s">
        <v>312</v>
      </c>
      <c r="M4730" t="s">
        <v>317</v>
      </c>
    </row>
    <row r="4731" spans="1:27" x14ac:dyDescent="0.3">
      <c r="A4731" t="s">
        <v>4495</v>
      </c>
      <c r="B4731" t="s">
        <v>2733</v>
      </c>
      <c r="C4731" t="s">
        <v>308</v>
      </c>
      <c r="D4731" t="s">
        <v>4503</v>
      </c>
      <c r="E4731" t="s">
        <v>341</v>
      </c>
      <c r="H4731" t="s">
        <v>25</v>
      </c>
      <c r="I4731" t="s">
        <v>342</v>
      </c>
      <c r="L4731" t="s">
        <v>312</v>
      </c>
      <c r="M4731" t="s">
        <v>343</v>
      </c>
    </row>
    <row r="4732" spans="1:27" x14ac:dyDescent="0.3">
      <c r="A4732" t="s">
        <v>4495</v>
      </c>
      <c r="B4732" t="s">
        <v>2733</v>
      </c>
      <c r="C4732" t="s">
        <v>22</v>
      </c>
      <c r="D4732" t="s">
        <v>23</v>
      </c>
      <c r="E4732" t="s">
        <v>28</v>
      </c>
    </row>
    <row r="4733" spans="1:27" x14ac:dyDescent="0.3">
      <c r="A4733" t="s">
        <v>4495</v>
      </c>
      <c r="B4733" t="s">
        <v>2733</v>
      </c>
      <c r="C4733" t="s">
        <v>2748</v>
      </c>
      <c r="D4733">
        <v>1.5</v>
      </c>
      <c r="H4733" t="s">
        <v>312</v>
      </c>
      <c r="I4733" t="s">
        <v>385</v>
      </c>
    </row>
    <row r="4734" spans="1:27" x14ac:dyDescent="0.3">
      <c r="A4734" t="s">
        <v>4495</v>
      </c>
      <c r="B4734" t="s">
        <v>2733</v>
      </c>
      <c r="C4734" t="s">
        <v>378</v>
      </c>
      <c r="D4734">
        <v>130</v>
      </c>
      <c r="H4734" t="s">
        <v>312</v>
      </c>
      <c r="I4734" t="s">
        <v>327</v>
      </c>
    </row>
    <row r="4735" spans="1:27" x14ac:dyDescent="0.3">
      <c r="A4735" t="s">
        <v>4495</v>
      </c>
      <c r="B4735" t="s">
        <v>2733</v>
      </c>
      <c r="C4735" t="s">
        <v>380</v>
      </c>
      <c r="D4735" t="s">
        <v>554</v>
      </c>
      <c r="E4735" t="s">
        <v>279</v>
      </c>
      <c r="F4735" t="s">
        <v>25</v>
      </c>
      <c r="G4735" t="s">
        <v>4504</v>
      </c>
      <c r="J4735" t="s">
        <v>2089</v>
      </c>
      <c r="K4735" t="s">
        <v>2750</v>
      </c>
      <c r="N4735" t="s">
        <v>2751</v>
      </c>
      <c r="O4735">
        <v>1</v>
      </c>
      <c r="R4735" t="s">
        <v>2752</v>
      </c>
      <c r="S4735">
        <v>158</v>
      </c>
      <c r="V4735" t="s">
        <v>2753</v>
      </c>
      <c r="W4735" t="s">
        <v>2754</v>
      </c>
      <c r="Z4735" t="s">
        <v>2755</v>
      </c>
      <c r="AA4735" t="s">
        <v>2756</v>
      </c>
    </row>
    <row r="4736" spans="1:27" x14ac:dyDescent="0.3">
      <c r="A4736" t="s">
        <v>4495</v>
      </c>
      <c r="B4736" t="s">
        <v>2733</v>
      </c>
      <c r="C4736" t="s">
        <v>16</v>
      </c>
      <c r="D4736" t="s">
        <v>266</v>
      </c>
      <c r="E4736" t="s">
        <v>37</v>
      </c>
    </row>
    <row r="4737" spans="1:13" x14ac:dyDescent="0.3">
      <c r="A4737" t="s">
        <v>4495</v>
      </c>
      <c r="B4737" t="s">
        <v>2733</v>
      </c>
      <c r="C4737" t="s">
        <v>11</v>
      </c>
      <c r="D4737" t="s">
        <v>12</v>
      </c>
      <c r="E4737" t="s">
        <v>13</v>
      </c>
      <c r="H4737" t="s">
        <v>382</v>
      </c>
      <c r="I4737" t="s">
        <v>4505</v>
      </c>
      <c r="L4737" t="s">
        <v>14</v>
      </c>
      <c r="M4737" t="s">
        <v>4505</v>
      </c>
    </row>
    <row r="4738" spans="1:13" x14ac:dyDescent="0.3">
      <c r="A4738" t="s">
        <v>4498</v>
      </c>
      <c r="B4738" t="s">
        <v>527</v>
      </c>
      <c r="C4738" t="s">
        <v>11</v>
      </c>
      <c r="D4738" t="s">
        <v>12</v>
      </c>
      <c r="E4738" t="s">
        <v>391</v>
      </c>
      <c r="H4738" t="s">
        <v>392</v>
      </c>
      <c r="I4738" t="s">
        <v>2758</v>
      </c>
      <c r="L4738" t="s">
        <v>394</v>
      </c>
      <c r="M4738" t="s">
        <v>4505</v>
      </c>
    </row>
    <row r="4739" spans="1:13" x14ac:dyDescent="0.3">
      <c r="A4739" t="s">
        <v>4497</v>
      </c>
      <c r="B4739" t="s">
        <v>2738</v>
      </c>
      <c r="C4739" t="s">
        <v>11</v>
      </c>
      <c r="D4739" t="s">
        <v>12</v>
      </c>
      <c r="E4739" t="s">
        <v>391</v>
      </c>
      <c r="H4739" t="s">
        <v>392</v>
      </c>
      <c r="I4739" t="s">
        <v>4506</v>
      </c>
      <c r="L4739" t="s">
        <v>394</v>
      </c>
      <c r="M4739" t="s">
        <v>4505</v>
      </c>
    </row>
    <row r="4740" spans="1:13" x14ac:dyDescent="0.3">
      <c r="A4740" t="s">
        <v>4496</v>
      </c>
      <c r="B4740" t="s">
        <v>2735</v>
      </c>
      <c r="C4740" t="s">
        <v>308</v>
      </c>
      <c r="D4740" t="s">
        <v>4507</v>
      </c>
      <c r="E4740" t="s">
        <v>406</v>
      </c>
      <c r="H4740" t="s">
        <v>25</v>
      </c>
      <c r="I4740" t="s">
        <v>2761</v>
      </c>
      <c r="L4740" t="s">
        <v>312</v>
      </c>
      <c r="M4740" t="s">
        <v>404</v>
      </c>
    </row>
    <row r="4741" spans="1:13" x14ac:dyDescent="0.3">
      <c r="A4741" t="s">
        <v>4507</v>
      </c>
      <c r="B4741" t="s">
        <v>406</v>
      </c>
      <c r="C4741" t="s">
        <v>11</v>
      </c>
      <c r="D4741" t="s">
        <v>12</v>
      </c>
      <c r="E4741" t="s">
        <v>391</v>
      </c>
      <c r="H4741" t="s">
        <v>392</v>
      </c>
      <c r="I4741" t="s">
        <v>4508</v>
      </c>
      <c r="L4741" t="s">
        <v>394</v>
      </c>
      <c r="M4741" t="s">
        <v>4505</v>
      </c>
    </row>
    <row r="4742" spans="1:13" x14ac:dyDescent="0.3">
      <c r="A4742" t="s">
        <v>4500</v>
      </c>
      <c r="B4742" t="s">
        <v>1138</v>
      </c>
      <c r="C4742" t="s">
        <v>11</v>
      </c>
      <c r="D4742" t="s">
        <v>12</v>
      </c>
      <c r="E4742" t="s">
        <v>391</v>
      </c>
      <c r="H4742" t="s">
        <v>392</v>
      </c>
      <c r="I4742" t="s">
        <v>4509</v>
      </c>
      <c r="L4742" t="s">
        <v>394</v>
      </c>
      <c r="M4742" t="s">
        <v>4505</v>
      </c>
    </row>
    <row r="4743" spans="1:13" x14ac:dyDescent="0.3">
      <c r="A4743" t="s">
        <v>4503</v>
      </c>
      <c r="B4743" t="s">
        <v>341</v>
      </c>
      <c r="C4743" t="s">
        <v>11</v>
      </c>
      <c r="D4743" t="s">
        <v>12</v>
      </c>
      <c r="E4743" t="s">
        <v>391</v>
      </c>
      <c r="H4743" t="s">
        <v>392</v>
      </c>
      <c r="I4743" t="s">
        <v>4510</v>
      </c>
      <c r="L4743" t="s">
        <v>394</v>
      </c>
      <c r="M4743" t="s">
        <v>4505</v>
      </c>
    </row>
    <row r="4744" spans="1:13" x14ac:dyDescent="0.3">
      <c r="A4744" t="s">
        <v>4501</v>
      </c>
      <c r="B4744" t="s">
        <v>1134</v>
      </c>
      <c r="C4744" t="s">
        <v>11</v>
      </c>
      <c r="D4744" t="s">
        <v>12</v>
      </c>
      <c r="E4744" t="s">
        <v>391</v>
      </c>
      <c r="H4744" t="s">
        <v>392</v>
      </c>
      <c r="I4744" t="s">
        <v>4511</v>
      </c>
      <c r="L4744" t="s">
        <v>394</v>
      </c>
      <c r="M4744" t="s">
        <v>4505</v>
      </c>
    </row>
    <row r="4745" spans="1:13" x14ac:dyDescent="0.3">
      <c r="A4745" t="s">
        <v>4502</v>
      </c>
      <c r="B4745" t="s">
        <v>1138</v>
      </c>
      <c r="C4745" t="s">
        <v>11</v>
      </c>
      <c r="D4745" t="s">
        <v>12</v>
      </c>
      <c r="E4745" t="s">
        <v>391</v>
      </c>
      <c r="H4745" t="s">
        <v>392</v>
      </c>
      <c r="I4745" t="s">
        <v>4512</v>
      </c>
      <c r="L4745" t="s">
        <v>394</v>
      </c>
      <c r="M4745" t="s">
        <v>4505</v>
      </c>
    </row>
    <row r="4746" spans="1:13" x14ac:dyDescent="0.3">
      <c r="A4746" t="s">
        <v>4499</v>
      </c>
      <c r="B4746" t="s">
        <v>2077</v>
      </c>
      <c r="C4746" t="s">
        <v>11</v>
      </c>
      <c r="D4746" t="s">
        <v>12</v>
      </c>
      <c r="E4746" t="s">
        <v>391</v>
      </c>
      <c r="H4746" t="s">
        <v>392</v>
      </c>
      <c r="I4746" t="s">
        <v>2128</v>
      </c>
      <c r="L4746" t="s">
        <v>394</v>
      </c>
      <c r="M4746" t="s">
        <v>4505</v>
      </c>
    </row>
    <row r="4747" spans="1:13" x14ac:dyDescent="0.3">
      <c r="A4747" t="s">
        <v>4513</v>
      </c>
      <c r="B4747" t="s">
        <v>2733</v>
      </c>
      <c r="C4747" t="s">
        <v>280</v>
      </c>
      <c r="D4747" t="s">
        <v>4514</v>
      </c>
      <c r="E4747" t="s">
        <v>2735</v>
      </c>
      <c r="H4747" t="s">
        <v>25</v>
      </c>
      <c r="I4747" t="s">
        <v>2736</v>
      </c>
    </row>
    <row r="4748" spans="1:13" x14ac:dyDescent="0.3">
      <c r="A4748" t="s">
        <v>4513</v>
      </c>
      <c r="B4748" t="s">
        <v>2733</v>
      </c>
      <c r="C4748" t="s">
        <v>308</v>
      </c>
      <c r="D4748" t="s">
        <v>4515</v>
      </c>
      <c r="E4748" t="s">
        <v>2738</v>
      </c>
      <c r="H4748" t="s">
        <v>25</v>
      </c>
      <c r="I4748" t="s">
        <v>2739</v>
      </c>
      <c r="L4748" t="s">
        <v>312</v>
      </c>
      <c r="M4748" t="s">
        <v>327</v>
      </c>
    </row>
    <row r="4749" spans="1:13" x14ac:dyDescent="0.3">
      <c r="A4749" t="s">
        <v>4513</v>
      </c>
      <c r="B4749" t="s">
        <v>2733</v>
      </c>
      <c r="C4749" t="s">
        <v>308</v>
      </c>
      <c r="D4749" t="s">
        <v>4516</v>
      </c>
      <c r="E4749" t="s">
        <v>527</v>
      </c>
      <c r="H4749" t="s">
        <v>25</v>
      </c>
      <c r="I4749" t="s">
        <v>2741</v>
      </c>
      <c r="L4749" t="s">
        <v>312</v>
      </c>
      <c r="M4749" t="s">
        <v>343</v>
      </c>
    </row>
    <row r="4750" spans="1:13" x14ac:dyDescent="0.3">
      <c r="A4750" t="s">
        <v>4513</v>
      </c>
      <c r="B4750" t="s">
        <v>2733</v>
      </c>
      <c r="C4750" t="s">
        <v>308</v>
      </c>
      <c r="D4750" t="s">
        <v>4517</v>
      </c>
      <c r="E4750" t="s">
        <v>2077</v>
      </c>
      <c r="H4750" t="s">
        <v>25</v>
      </c>
      <c r="I4750" t="s">
        <v>2078</v>
      </c>
      <c r="L4750" t="s">
        <v>312</v>
      </c>
      <c r="M4750" t="s">
        <v>1687</v>
      </c>
    </row>
    <row r="4751" spans="1:13" x14ac:dyDescent="0.3">
      <c r="A4751" t="s">
        <v>4513</v>
      </c>
      <c r="B4751" t="s">
        <v>2733</v>
      </c>
      <c r="C4751" t="s">
        <v>308</v>
      </c>
      <c r="D4751" t="s">
        <v>4518</v>
      </c>
      <c r="E4751" t="s">
        <v>1138</v>
      </c>
      <c r="H4751" t="s">
        <v>25</v>
      </c>
      <c r="I4751" t="s">
        <v>2065</v>
      </c>
      <c r="L4751" t="s">
        <v>312</v>
      </c>
      <c r="M4751" t="s">
        <v>317</v>
      </c>
    </row>
    <row r="4752" spans="1:13" x14ac:dyDescent="0.3">
      <c r="A4752" t="s">
        <v>4513</v>
      </c>
      <c r="B4752" t="s">
        <v>2733</v>
      </c>
      <c r="C4752" t="s">
        <v>308</v>
      </c>
      <c r="D4752" t="s">
        <v>4519</v>
      </c>
      <c r="E4752" t="s">
        <v>1134</v>
      </c>
      <c r="H4752" t="s">
        <v>25</v>
      </c>
      <c r="I4752" t="s">
        <v>2069</v>
      </c>
      <c r="L4752" t="s">
        <v>312</v>
      </c>
      <c r="M4752" t="s">
        <v>317</v>
      </c>
    </row>
    <row r="4753" spans="1:27" x14ac:dyDescent="0.3">
      <c r="A4753" t="s">
        <v>4513</v>
      </c>
      <c r="B4753" t="s">
        <v>2733</v>
      </c>
      <c r="C4753" t="s">
        <v>308</v>
      </c>
      <c r="D4753" t="s">
        <v>4520</v>
      </c>
      <c r="E4753" t="s">
        <v>1138</v>
      </c>
      <c r="H4753" t="s">
        <v>25</v>
      </c>
      <c r="I4753" t="s">
        <v>2746</v>
      </c>
      <c r="L4753" t="s">
        <v>312</v>
      </c>
      <c r="M4753" t="s">
        <v>317</v>
      </c>
    </row>
    <row r="4754" spans="1:27" x14ac:dyDescent="0.3">
      <c r="A4754" t="s">
        <v>4513</v>
      </c>
      <c r="B4754" t="s">
        <v>2733</v>
      </c>
      <c r="C4754" t="s">
        <v>308</v>
      </c>
      <c r="D4754" t="s">
        <v>4521</v>
      </c>
      <c r="E4754" t="s">
        <v>341</v>
      </c>
      <c r="H4754" t="s">
        <v>25</v>
      </c>
      <c r="I4754" t="s">
        <v>342</v>
      </c>
      <c r="L4754" t="s">
        <v>312</v>
      </c>
      <c r="M4754" t="s">
        <v>343</v>
      </c>
    </row>
    <row r="4755" spans="1:27" x14ac:dyDescent="0.3">
      <c r="A4755" t="s">
        <v>4513</v>
      </c>
      <c r="B4755" t="s">
        <v>2733</v>
      </c>
      <c r="C4755" t="s">
        <v>22</v>
      </c>
      <c r="D4755" t="s">
        <v>23</v>
      </c>
      <c r="E4755" t="s">
        <v>28</v>
      </c>
    </row>
    <row r="4756" spans="1:27" x14ac:dyDescent="0.3">
      <c r="A4756" t="s">
        <v>4513</v>
      </c>
      <c r="B4756" t="s">
        <v>2733</v>
      </c>
      <c r="C4756" t="s">
        <v>2748</v>
      </c>
      <c r="D4756">
        <v>1.5</v>
      </c>
      <c r="H4756" t="s">
        <v>312</v>
      </c>
      <c r="I4756" t="s">
        <v>385</v>
      </c>
    </row>
    <row r="4757" spans="1:27" x14ac:dyDescent="0.3">
      <c r="A4757" t="s">
        <v>4513</v>
      </c>
      <c r="B4757" t="s">
        <v>2733</v>
      </c>
      <c r="C4757" t="s">
        <v>378</v>
      </c>
      <c r="D4757">
        <v>105</v>
      </c>
      <c r="H4757" t="s">
        <v>312</v>
      </c>
      <c r="I4757" t="s">
        <v>327</v>
      </c>
    </row>
    <row r="4758" spans="1:27" x14ac:dyDescent="0.3">
      <c r="A4758" t="s">
        <v>4513</v>
      </c>
      <c r="B4758" t="s">
        <v>2733</v>
      </c>
      <c r="C4758" t="s">
        <v>380</v>
      </c>
      <c r="D4758" t="s">
        <v>554</v>
      </c>
      <c r="E4758" t="s">
        <v>279</v>
      </c>
      <c r="F4758" t="s">
        <v>25</v>
      </c>
      <c r="G4758" t="s">
        <v>4522</v>
      </c>
      <c r="J4758" t="s">
        <v>2089</v>
      </c>
      <c r="K4758" t="s">
        <v>2750</v>
      </c>
      <c r="N4758" t="s">
        <v>2751</v>
      </c>
      <c r="O4758">
        <v>1</v>
      </c>
      <c r="R4758" t="s">
        <v>2752</v>
      </c>
      <c r="S4758">
        <v>158</v>
      </c>
      <c r="V4758" t="s">
        <v>2753</v>
      </c>
      <c r="W4758" t="s">
        <v>2754</v>
      </c>
      <c r="Z4758" t="s">
        <v>2755</v>
      </c>
      <c r="AA4758" t="s">
        <v>2756</v>
      </c>
    </row>
    <row r="4759" spans="1:27" x14ac:dyDescent="0.3">
      <c r="A4759" t="s">
        <v>4513</v>
      </c>
      <c r="B4759" t="s">
        <v>2733</v>
      </c>
      <c r="C4759" t="s">
        <v>16</v>
      </c>
      <c r="D4759" t="s">
        <v>252</v>
      </c>
      <c r="E4759" t="s">
        <v>37</v>
      </c>
    </row>
    <row r="4760" spans="1:27" x14ac:dyDescent="0.3">
      <c r="A4760" t="s">
        <v>4513</v>
      </c>
      <c r="B4760" t="s">
        <v>2733</v>
      </c>
      <c r="C4760" t="s">
        <v>11</v>
      </c>
      <c r="D4760" t="s">
        <v>12</v>
      </c>
      <c r="E4760" t="s">
        <v>13</v>
      </c>
      <c r="H4760" t="s">
        <v>382</v>
      </c>
      <c r="I4760" t="s">
        <v>4523</v>
      </c>
      <c r="L4760" t="s">
        <v>14</v>
      </c>
      <c r="M4760" t="s">
        <v>4523</v>
      </c>
    </row>
    <row r="4761" spans="1:27" x14ac:dyDescent="0.3">
      <c r="A4761" t="s">
        <v>4516</v>
      </c>
      <c r="B4761" t="s">
        <v>527</v>
      </c>
      <c r="C4761" t="s">
        <v>11</v>
      </c>
      <c r="D4761" t="s">
        <v>12</v>
      </c>
      <c r="E4761" t="s">
        <v>391</v>
      </c>
      <c r="H4761" t="s">
        <v>392</v>
      </c>
      <c r="I4761" t="s">
        <v>2758</v>
      </c>
      <c r="L4761" t="s">
        <v>394</v>
      </c>
      <c r="M4761" t="s">
        <v>4523</v>
      </c>
    </row>
    <row r="4762" spans="1:27" x14ac:dyDescent="0.3">
      <c r="A4762" t="s">
        <v>4515</v>
      </c>
      <c r="B4762" t="s">
        <v>2738</v>
      </c>
      <c r="C4762" t="s">
        <v>11</v>
      </c>
      <c r="D4762" t="s">
        <v>12</v>
      </c>
      <c r="E4762" t="s">
        <v>391</v>
      </c>
      <c r="H4762" t="s">
        <v>392</v>
      </c>
      <c r="I4762" t="s">
        <v>4524</v>
      </c>
      <c r="L4762" t="s">
        <v>394</v>
      </c>
      <c r="M4762" t="s">
        <v>4523</v>
      </c>
    </row>
    <row r="4763" spans="1:27" x14ac:dyDescent="0.3">
      <c r="A4763" t="s">
        <v>4514</v>
      </c>
      <c r="B4763" t="s">
        <v>2735</v>
      </c>
      <c r="C4763" t="s">
        <v>308</v>
      </c>
      <c r="D4763" t="s">
        <v>4525</v>
      </c>
      <c r="E4763" t="s">
        <v>406</v>
      </c>
      <c r="H4763" t="s">
        <v>25</v>
      </c>
      <c r="I4763" t="s">
        <v>2761</v>
      </c>
      <c r="L4763" t="s">
        <v>312</v>
      </c>
      <c r="M4763" t="s">
        <v>404</v>
      </c>
    </row>
    <row r="4764" spans="1:27" x14ac:dyDescent="0.3">
      <c r="A4764" t="s">
        <v>4525</v>
      </c>
      <c r="B4764" t="s">
        <v>406</v>
      </c>
      <c r="C4764" t="s">
        <v>11</v>
      </c>
      <c r="D4764" t="s">
        <v>12</v>
      </c>
      <c r="E4764" t="s">
        <v>391</v>
      </c>
      <c r="H4764" t="s">
        <v>392</v>
      </c>
      <c r="I4764" t="s">
        <v>4526</v>
      </c>
      <c r="L4764" t="s">
        <v>394</v>
      </c>
      <c r="M4764" t="s">
        <v>4523</v>
      </c>
    </row>
    <row r="4765" spans="1:27" x14ac:dyDescent="0.3">
      <c r="A4765" t="s">
        <v>4518</v>
      </c>
      <c r="B4765" t="s">
        <v>1138</v>
      </c>
      <c r="C4765" t="s">
        <v>11</v>
      </c>
      <c r="D4765" t="s">
        <v>12</v>
      </c>
      <c r="E4765" t="s">
        <v>391</v>
      </c>
      <c r="H4765" t="s">
        <v>392</v>
      </c>
      <c r="I4765" t="s">
        <v>4527</v>
      </c>
      <c r="L4765" t="s">
        <v>394</v>
      </c>
      <c r="M4765" t="s">
        <v>4523</v>
      </c>
    </row>
    <row r="4766" spans="1:27" x14ac:dyDescent="0.3">
      <c r="A4766" t="s">
        <v>4521</v>
      </c>
      <c r="B4766" t="s">
        <v>341</v>
      </c>
      <c r="C4766" t="s">
        <v>11</v>
      </c>
      <c r="D4766" t="s">
        <v>12</v>
      </c>
      <c r="E4766" t="s">
        <v>391</v>
      </c>
      <c r="H4766" t="s">
        <v>392</v>
      </c>
      <c r="I4766" t="s">
        <v>4528</v>
      </c>
      <c r="L4766" t="s">
        <v>394</v>
      </c>
      <c r="M4766" t="s">
        <v>4523</v>
      </c>
    </row>
    <row r="4767" spans="1:27" x14ac:dyDescent="0.3">
      <c r="A4767" t="s">
        <v>4519</v>
      </c>
      <c r="B4767" t="s">
        <v>1134</v>
      </c>
      <c r="C4767" t="s">
        <v>11</v>
      </c>
      <c r="D4767" t="s">
        <v>12</v>
      </c>
      <c r="E4767" t="s">
        <v>391</v>
      </c>
      <c r="H4767" t="s">
        <v>392</v>
      </c>
      <c r="I4767" t="s">
        <v>4529</v>
      </c>
      <c r="L4767" t="s">
        <v>394</v>
      </c>
      <c r="M4767" t="s">
        <v>4523</v>
      </c>
    </row>
    <row r="4768" spans="1:27" x14ac:dyDescent="0.3">
      <c r="A4768" t="s">
        <v>4520</v>
      </c>
      <c r="B4768" t="s">
        <v>1138</v>
      </c>
      <c r="C4768" t="s">
        <v>11</v>
      </c>
      <c r="D4768" t="s">
        <v>12</v>
      </c>
      <c r="E4768" t="s">
        <v>391</v>
      </c>
      <c r="H4768" t="s">
        <v>392</v>
      </c>
      <c r="I4768" t="s">
        <v>4530</v>
      </c>
      <c r="L4768" t="s">
        <v>394</v>
      </c>
      <c r="M4768" t="s">
        <v>4523</v>
      </c>
    </row>
    <row r="4769" spans="1:27" x14ac:dyDescent="0.3">
      <c r="A4769" t="s">
        <v>4517</v>
      </c>
      <c r="B4769" t="s">
        <v>2077</v>
      </c>
      <c r="C4769" t="s">
        <v>11</v>
      </c>
      <c r="D4769" t="s">
        <v>12</v>
      </c>
      <c r="E4769" t="s">
        <v>391</v>
      </c>
      <c r="H4769" t="s">
        <v>392</v>
      </c>
      <c r="I4769" t="s">
        <v>2128</v>
      </c>
      <c r="L4769" t="s">
        <v>394</v>
      </c>
      <c r="M4769" t="s">
        <v>4523</v>
      </c>
    </row>
    <row r="4770" spans="1:27" x14ac:dyDescent="0.3">
      <c r="A4770" t="s">
        <v>4531</v>
      </c>
      <c r="B4770" t="s">
        <v>2733</v>
      </c>
      <c r="C4770" t="s">
        <v>280</v>
      </c>
      <c r="D4770" t="s">
        <v>4532</v>
      </c>
      <c r="E4770" t="s">
        <v>2735</v>
      </c>
      <c r="H4770" t="s">
        <v>25</v>
      </c>
      <c r="I4770" t="s">
        <v>2736</v>
      </c>
    </row>
    <row r="4771" spans="1:27" x14ac:dyDescent="0.3">
      <c r="A4771" t="s">
        <v>4531</v>
      </c>
      <c r="B4771" t="s">
        <v>2733</v>
      </c>
      <c r="C4771" t="s">
        <v>308</v>
      </c>
      <c r="D4771" t="s">
        <v>4533</v>
      </c>
      <c r="E4771" t="s">
        <v>2738</v>
      </c>
      <c r="H4771" t="s">
        <v>25</v>
      </c>
      <c r="I4771" t="s">
        <v>2739</v>
      </c>
      <c r="L4771" t="s">
        <v>312</v>
      </c>
      <c r="M4771" t="s">
        <v>327</v>
      </c>
    </row>
    <row r="4772" spans="1:27" x14ac:dyDescent="0.3">
      <c r="A4772" t="s">
        <v>4531</v>
      </c>
      <c r="B4772" t="s">
        <v>2733</v>
      </c>
      <c r="C4772" t="s">
        <v>308</v>
      </c>
      <c r="D4772" t="s">
        <v>4534</v>
      </c>
      <c r="E4772" t="s">
        <v>527</v>
      </c>
      <c r="H4772" t="s">
        <v>25</v>
      </c>
      <c r="I4772" t="s">
        <v>2741</v>
      </c>
      <c r="L4772" t="s">
        <v>312</v>
      </c>
      <c r="M4772" t="s">
        <v>343</v>
      </c>
    </row>
    <row r="4773" spans="1:27" x14ac:dyDescent="0.3">
      <c r="A4773" t="s">
        <v>4531</v>
      </c>
      <c r="B4773" t="s">
        <v>2733</v>
      </c>
      <c r="C4773" t="s">
        <v>308</v>
      </c>
      <c r="D4773" t="s">
        <v>4535</v>
      </c>
      <c r="E4773" t="s">
        <v>2077</v>
      </c>
      <c r="H4773" t="s">
        <v>25</v>
      </c>
      <c r="I4773" t="s">
        <v>2078</v>
      </c>
      <c r="L4773" t="s">
        <v>312</v>
      </c>
      <c r="M4773" t="s">
        <v>1687</v>
      </c>
    </row>
    <row r="4774" spans="1:27" x14ac:dyDescent="0.3">
      <c r="A4774" t="s">
        <v>4531</v>
      </c>
      <c r="B4774" t="s">
        <v>2733</v>
      </c>
      <c r="C4774" t="s">
        <v>308</v>
      </c>
      <c r="D4774" t="s">
        <v>4536</v>
      </c>
      <c r="E4774" t="s">
        <v>1138</v>
      </c>
      <c r="H4774" t="s">
        <v>25</v>
      </c>
      <c r="I4774" t="s">
        <v>2065</v>
      </c>
      <c r="L4774" t="s">
        <v>312</v>
      </c>
      <c r="M4774" t="s">
        <v>317</v>
      </c>
    </row>
    <row r="4775" spans="1:27" x14ac:dyDescent="0.3">
      <c r="A4775" t="s">
        <v>4531</v>
      </c>
      <c r="B4775" t="s">
        <v>2733</v>
      </c>
      <c r="C4775" t="s">
        <v>308</v>
      </c>
      <c r="D4775" t="s">
        <v>4537</v>
      </c>
      <c r="E4775" t="s">
        <v>1134</v>
      </c>
      <c r="H4775" t="s">
        <v>25</v>
      </c>
      <c r="I4775" t="s">
        <v>2069</v>
      </c>
      <c r="L4775" t="s">
        <v>312</v>
      </c>
      <c r="M4775" t="s">
        <v>317</v>
      </c>
    </row>
    <row r="4776" spans="1:27" x14ac:dyDescent="0.3">
      <c r="A4776" t="s">
        <v>4531</v>
      </c>
      <c r="B4776" t="s">
        <v>2733</v>
      </c>
      <c r="C4776" t="s">
        <v>308</v>
      </c>
      <c r="D4776" t="s">
        <v>4538</v>
      </c>
      <c r="E4776" t="s">
        <v>1138</v>
      </c>
      <c r="H4776" t="s">
        <v>25</v>
      </c>
      <c r="I4776" t="s">
        <v>2746</v>
      </c>
      <c r="L4776" t="s">
        <v>312</v>
      </c>
      <c r="M4776" t="s">
        <v>317</v>
      </c>
    </row>
    <row r="4777" spans="1:27" x14ac:dyDescent="0.3">
      <c r="A4777" t="s">
        <v>4531</v>
      </c>
      <c r="B4777" t="s">
        <v>2733</v>
      </c>
      <c r="C4777" t="s">
        <v>308</v>
      </c>
      <c r="D4777" t="s">
        <v>4539</v>
      </c>
      <c r="E4777" t="s">
        <v>341</v>
      </c>
      <c r="H4777" t="s">
        <v>25</v>
      </c>
      <c r="I4777" t="s">
        <v>342</v>
      </c>
      <c r="L4777" t="s">
        <v>312</v>
      </c>
      <c r="M4777" t="s">
        <v>343</v>
      </c>
    </row>
    <row r="4778" spans="1:27" x14ac:dyDescent="0.3">
      <c r="A4778" t="s">
        <v>4531</v>
      </c>
      <c r="B4778" t="s">
        <v>2733</v>
      </c>
      <c r="C4778" t="s">
        <v>22</v>
      </c>
      <c r="D4778" t="s">
        <v>23</v>
      </c>
      <c r="E4778" t="s">
        <v>28</v>
      </c>
    </row>
    <row r="4779" spans="1:27" x14ac:dyDescent="0.3">
      <c r="A4779" t="s">
        <v>4531</v>
      </c>
      <c r="B4779" t="s">
        <v>2733</v>
      </c>
      <c r="C4779" t="s">
        <v>2748</v>
      </c>
      <c r="D4779">
        <v>1.5</v>
      </c>
      <c r="H4779" t="s">
        <v>312</v>
      </c>
      <c r="I4779" t="s">
        <v>385</v>
      </c>
    </row>
    <row r="4780" spans="1:27" x14ac:dyDescent="0.3">
      <c r="A4780" t="s">
        <v>4531</v>
      </c>
      <c r="B4780" t="s">
        <v>2733</v>
      </c>
      <c r="C4780" t="s">
        <v>378</v>
      </c>
      <c r="D4780">
        <v>45</v>
      </c>
      <c r="H4780" t="s">
        <v>312</v>
      </c>
      <c r="I4780" t="s">
        <v>327</v>
      </c>
    </row>
    <row r="4781" spans="1:27" x14ac:dyDescent="0.3">
      <c r="A4781" t="s">
        <v>4531</v>
      </c>
      <c r="B4781" t="s">
        <v>2733</v>
      </c>
      <c r="C4781" t="s">
        <v>380</v>
      </c>
      <c r="D4781" t="s">
        <v>278</v>
      </c>
      <c r="E4781" t="s">
        <v>279</v>
      </c>
      <c r="F4781" t="s">
        <v>25</v>
      </c>
      <c r="G4781" t="s">
        <v>4540</v>
      </c>
      <c r="J4781" t="s">
        <v>2089</v>
      </c>
      <c r="K4781" t="s">
        <v>2750</v>
      </c>
      <c r="N4781" t="s">
        <v>2751</v>
      </c>
      <c r="O4781">
        <v>1</v>
      </c>
      <c r="R4781" t="s">
        <v>2752</v>
      </c>
      <c r="S4781">
        <v>158</v>
      </c>
      <c r="V4781" t="s">
        <v>2753</v>
      </c>
      <c r="W4781" t="s">
        <v>2754</v>
      </c>
      <c r="Z4781" t="s">
        <v>2755</v>
      </c>
      <c r="AA4781" t="s">
        <v>2756</v>
      </c>
    </row>
    <row r="4782" spans="1:27" x14ac:dyDescent="0.3">
      <c r="A4782" t="s">
        <v>4531</v>
      </c>
      <c r="B4782" t="s">
        <v>2733</v>
      </c>
      <c r="C4782" t="s">
        <v>16</v>
      </c>
      <c r="D4782" t="s">
        <v>250</v>
      </c>
      <c r="E4782" t="s">
        <v>37</v>
      </c>
    </row>
    <row r="4783" spans="1:27" x14ac:dyDescent="0.3">
      <c r="A4783" t="s">
        <v>4531</v>
      </c>
      <c r="B4783" t="s">
        <v>2733</v>
      </c>
      <c r="C4783" t="s">
        <v>11</v>
      </c>
      <c r="D4783" t="s">
        <v>12</v>
      </c>
      <c r="E4783" t="s">
        <v>13</v>
      </c>
      <c r="H4783" t="s">
        <v>382</v>
      </c>
      <c r="I4783" t="s">
        <v>4541</v>
      </c>
      <c r="L4783" t="s">
        <v>14</v>
      </c>
      <c r="M4783" t="s">
        <v>4541</v>
      </c>
    </row>
    <row r="4784" spans="1:27" x14ac:dyDescent="0.3">
      <c r="A4784" t="s">
        <v>4534</v>
      </c>
      <c r="B4784" t="s">
        <v>527</v>
      </c>
      <c r="C4784" t="s">
        <v>11</v>
      </c>
      <c r="D4784" t="s">
        <v>12</v>
      </c>
      <c r="E4784" t="s">
        <v>391</v>
      </c>
      <c r="H4784" t="s">
        <v>392</v>
      </c>
      <c r="I4784" t="s">
        <v>2758</v>
      </c>
      <c r="L4784" t="s">
        <v>394</v>
      </c>
      <c r="M4784" t="s">
        <v>4541</v>
      </c>
    </row>
    <row r="4785" spans="1:13" x14ac:dyDescent="0.3">
      <c r="A4785" t="s">
        <v>4533</v>
      </c>
      <c r="B4785" t="s">
        <v>2738</v>
      </c>
      <c r="C4785" t="s">
        <v>11</v>
      </c>
      <c r="D4785" t="s">
        <v>12</v>
      </c>
      <c r="E4785" t="s">
        <v>391</v>
      </c>
      <c r="H4785" t="s">
        <v>392</v>
      </c>
      <c r="I4785" t="s">
        <v>4542</v>
      </c>
      <c r="L4785" t="s">
        <v>394</v>
      </c>
      <c r="M4785" t="s">
        <v>4541</v>
      </c>
    </row>
    <row r="4786" spans="1:13" x14ac:dyDescent="0.3">
      <c r="A4786" t="s">
        <v>4532</v>
      </c>
      <c r="B4786" t="s">
        <v>2735</v>
      </c>
      <c r="C4786" t="s">
        <v>308</v>
      </c>
      <c r="D4786" t="s">
        <v>4543</v>
      </c>
      <c r="E4786" t="s">
        <v>406</v>
      </c>
      <c r="H4786" t="s">
        <v>25</v>
      </c>
      <c r="I4786" t="s">
        <v>2761</v>
      </c>
      <c r="L4786" t="s">
        <v>312</v>
      </c>
      <c r="M4786" t="s">
        <v>404</v>
      </c>
    </row>
    <row r="4787" spans="1:13" x14ac:dyDescent="0.3">
      <c r="A4787" t="s">
        <v>4543</v>
      </c>
      <c r="B4787" t="s">
        <v>406</v>
      </c>
      <c r="C4787" t="s">
        <v>11</v>
      </c>
      <c r="D4787" t="s">
        <v>12</v>
      </c>
      <c r="E4787" t="s">
        <v>391</v>
      </c>
      <c r="H4787" t="s">
        <v>392</v>
      </c>
      <c r="I4787" t="s">
        <v>4544</v>
      </c>
      <c r="L4787" t="s">
        <v>394</v>
      </c>
      <c r="M4787" t="s">
        <v>4541</v>
      </c>
    </row>
    <row r="4788" spans="1:13" x14ac:dyDescent="0.3">
      <c r="A4788" t="s">
        <v>4536</v>
      </c>
      <c r="B4788" t="s">
        <v>1138</v>
      </c>
      <c r="C4788" t="s">
        <v>11</v>
      </c>
      <c r="D4788" t="s">
        <v>12</v>
      </c>
      <c r="E4788" t="s">
        <v>391</v>
      </c>
      <c r="H4788" t="s">
        <v>392</v>
      </c>
      <c r="I4788" t="s">
        <v>4545</v>
      </c>
      <c r="L4788" t="s">
        <v>394</v>
      </c>
      <c r="M4788" t="s">
        <v>4541</v>
      </c>
    </row>
    <row r="4789" spans="1:13" x14ac:dyDescent="0.3">
      <c r="A4789" t="s">
        <v>4539</v>
      </c>
      <c r="B4789" t="s">
        <v>341</v>
      </c>
      <c r="C4789" t="s">
        <v>11</v>
      </c>
      <c r="D4789" t="s">
        <v>12</v>
      </c>
      <c r="E4789" t="s">
        <v>391</v>
      </c>
      <c r="H4789" t="s">
        <v>392</v>
      </c>
      <c r="I4789" t="s">
        <v>4546</v>
      </c>
      <c r="L4789" t="s">
        <v>394</v>
      </c>
      <c r="M4789" t="s">
        <v>4541</v>
      </c>
    </row>
    <row r="4790" spans="1:13" x14ac:dyDescent="0.3">
      <c r="A4790" t="s">
        <v>4537</v>
      </c>
      <c r="B4790" t="s">
        <v>1134</v>
      </c>
      <c r="C4790" t="s">
        <v>11</v>
      </c>
      <c r="D4790" t="s">
        <v>12</v>
      </c>
      <c r="E4790" t="s">
        <v>391</v>
      </c>
      <c r="H4790" t="s">
        <v>392</v>
      </c>
      <c r="I4790" t="s">
        <v>4547</v>
      </c>
      <c r="L4790" t="s">
        <v>394</v>
      </c>
      <c r="M4790" t="s">
        <v>4541</v>
      </c>
    </row>
    <row r="4791" spans="1:13" x14ac:dyDescent="0.3">
      <c r="A4791" t="s">
        <v>4538</v>
      </c>
      <c r="B4791" t="s">
        <v>1138</v>
      </c>
      <c r="C4791" t="s">
        <v>11</v>
      </c>
      <c r="D4791" t="s">
        <v>12</v>
      </c>
      <c r="E4791" t="s">
        <v>391</v>
      </c>
      <c r="H4791" t="s">
        <v>392</v>
      </c>
      <c r="I4791" t="s">
        <v>4548</v>
      </c>
      <c r="L4791" t="s">
        <v>394</v>
      </c>
      <c r="M4791" t="s">
        <v>4541</v>
      </c>
    </row>
    <row r="4792" spans="1:13" x14ac:dyDescent="0.3">
      <c r="A4792" t="s">
        <v>4535</v>
      </c>
      <c r="B4792" t="s">
        <v>2077</v>
      </c>
      <c r="C4792" t="s">
        <v>11</v>
      </c>
      <c r="D4792" t="s">
        <v>12</v>
      </c>
      <c r="E4792" t="s">
        <v>391</v>
      </c>
      <c r="H4792" t="s">
        <v>392</v>
      </c>
      <c r="I4792" t="s">
        <v>2128</v>
      </c>
      <c r="L4792" t="s">
        <v>394</v>
      </c>
      <c r="M4792" t="s">
        <v>4541</v>
      </c>
    </row>
    <row r="4793" spans="1:13" x14ac:dyDescent="0.3">
      <c r="A4793" t="s">
        <v>4549</v>
      </c>
      <c r="B4793" t="s">
        <v>2733</v>
      </c>
      <c r="C4793" t="s">
        <v>280</v>
      </c>
      <c r="D4793" t="s">
        <v>4550</v>
      </c>
      <c r="E4793" t="s">
        <v>2735</v>
      </c>
      <c r="H4793" t="s">
        <v>25</v>
      </c>
      <c r="I4793" t="s">
        <v>2736</v>
      </c>
    </row>
    <row r="4794" spans="1:13" x14ac:dyDescent="0.3">
      <c r="A4794" t="s">
        <v>4549</v>
      </c>
      <c r="B4794" t="s">
        <v>2733</v>
      </c>
      <c r="C4794" t="s">
        <v>308</v>
      </c>
      <c r="D4794" t="s">
        <v>4551</v>
      </c>
      <c r="E4794" t="s">
        <v>2738</v>
      </c>
      <c r="H4794" t="s">
        <v>25</v>
      </c>
      <c r="I4794" t="s">
        <v>2739</v>
      </c>
      <c r="L4794" t="s">
        <v>312</v>
      </c>
      <c r="M4794" t="s">
        <v>327</v>
      </c>
    </row>
    <row r="4795" spans="1:13" x14ac:dyDescent="0.3">
      <c r="A4795" t="s">
        <v>4549</v>
      </c>
      <c r="B4795" t="s">
        <v>2733</v>
      </c>
      <c r="C4795" t="s">
        <v>308</v>
      </c>
      <c r="D4795" t="s">
        <v>4552</v>
      </c>
      <c r="E4795" t="s">
        <v>527</v>
      </c>
      <c r="H4795" t="s">
        <v>25</v>
      </c>
      <c r="I4795" t="s">
        <v>2741</v>
      </c>
      <c r="L4795" t="s">
        <v>312</v>
      </c>
      <c r="M4795" t="s">
        <v>343</v>
      </c>
    </row>
    <row r="4796" spans="1:13" x14ac:dyDescent="0.3">
      <c r="A4796" t="s">
        <v>4549</v>
      </c>
      <c r="B4796" t="s">
        <v>2733</v>
      </c>
      <c r="C4796" t="s">
        <v>308</v>
      </c>
      <c r="D4796" t="s">
        <v>4553</v>
      </c>
      <c r="E4796" t="s">
        <v>2077</v>
      </c>
      <c r="H4796" t="s">
        <v>25</v>
      </c>
      <c r="I4796" t="s">
        <v>2078</v>
      </c>
      <c r="L4796" t="s">
        <v>312</v>
      </c>
      <c r="M4796" t="s">
        <v>1687</v>
      </c>
    </row>
    <row r="4797" spans="1:13" x14ac:dyDescent="0.3">
      <c r="A4797" t="s">
        <v>4549</v>
      </c>
      <c r="B4797" t="s">
        <v>2733</v>
      </c>
      <c r="C4797" t="s">
        <v>308</v>
      </c>
      <c r="D4797" t="s">
        <v>4554</v>
      </c>
      <c r="E4797" t="s">
        <v>1138</v>
      </c>
      <c r="H4797" t="s">
        <v>25</v>
      </c>
      <c r="I4797" t="s">
        <v>2065</v>
      </c>
      <c r="L4797" t="s">
        <v>312</v>
      </c>
      <c r="M4797" t="s">
        <v>317</v>
      </c>
    </row>
    <row r="4798" spans="1:13" x14ac:dyDescent="0.3">
      <c r="A4798" t="s">
        <v>4549</v>
      </c>
      <c r="B4798" t="s">
        <v>2733</v>
      </c>
      <c r="C4798" t="s">
        <v>308</v>
      </c>
      <c r="D4798" t="s">
        <v>4555</v>
      </c>
      <c r="E4798" t="s">
        <v>1134</v>
      </c>
      <c r="H4798" t="s">
        <v>25</v>
      </c>
      <c r="I4798" t="s">
        <v>2069</v>
      </c>
      <c r="L4798" t="s">
        <v>312</v>
      </c>
      <c r="M4798" t="s">
        <v>317</v>
      </c>
    </row>
    <row r="4799" spans="1:13" x14ac:dyDescent="0.3">
      <c r="A4799" t="s">
        <v>4549</v>
      </c>
      <c r="B4799" t="s">
        <v>2733</v>
      </c>
      <c r="C4799" t="s">
        <v>308</v>
      </c>
      <c r="D4799" t="s">
        <v>4556</v>
      </c>
      <c r="E4799" t="s">
        <v>1138</v>
      </c>
      <c r="H4799" t="s">
        <v>25</v>
      </c>
      <c r="I4799" t="s">
        <v>2746</v>
      </c>
      <c r="L4799" t="s">
        <v>312</v>
      </c>
      <c r="M4799" t="s">
        <v>317</v>
      </c>
    </row>
    <row r="4800" spans="1:13" x14ac:dyDescent="0.3">
      <c r="A4800" t="s">
        <v>4549</v>
      </c>
      <c r="B4800" t="s">
        <v>2733</v>
      </c>
      <c r="C4800" t="s">
        <v>308</v>
      </c>
      <c r="D4800" t="s">
        <v>4557</v>
      </c>
      <c r="E4800" t="s">
        <v>341</v>
      </c>
      <c r="H4800" t="s">
        <v>25</v>
      </c>
      <c r="I4800" t="s">
        <v>342</v>
      </c>
      <c r="L4800" t="s">
        <v>312</v>
      </c>
      <c r="M4800" t="s">
        <v>343</v>
      </c>
    </row>
    <row r="4801" spans="1:27" x14ac:dyDescent="0.3">
      <c r="A4801" t="s">
        <v>4549</v>
      </c>
      <c r="B4801" t="s">
        <v>2733</v>
      </c>
      <c r="C4801" t="s">
        <v>22</v>
      </c>
      <c r="D4801" t="s">
        <v>23</v>
      </c>
      <c r="E4801" t="s">
        <v>28</v>
      </c>
    </row>
    <row r="4802" spans="1:27" x14ac:dyDescent="0.3">
      <c r="A4802" t="s">
        <v>4549</v>
      </c>
      <c r="B4802" t="s">
        <v>2733</v>
      </c>
      <c r="C4802" t="s">
        <v>2748</v>
      </c>
      <c r="D4802">
        <v>1.5</v>
      </c>
      <c r="H4802" t="s">
        <v>312</v>
      </c>
      <c r="I4802" t="s">
        <v>385</v>
      </c>
    </row>
    <row r="4803" spans="1:27" x14ac:dyDescent="0.3">
      <c r="A4803" t="s">
        <v>4549</v>
      </c>
      <c r="B4803" t="s">
        <v>2733</v>
      </c>
      <c r="C4803" t="s">
        <v>378</v>
      </c>
      <c r="D4803" s="3">
        <v>130</v>
      </c>
      <c r="H4803" t="s">
        <v>312</v>
      </c>
      <c r="I4803" t="s">
        <v>327</v>
      </c>
    </row>
    <row r="4804" spans="1:27" x14ac:dyDescent="0.3">
      <c r="A4804" t="s">
        <v>4549</v>
      </c>
      <c r="B4804" t="s">
        <v>2733</v>
      </c>
      <c r="C4804" t="s">
        <v>380</v>
      </c>
      <c r="D4804" t="s">
        <v>678</v>
      </c>
      <c r="E4804" t="s">
        <v>279</v>
      </c>
      <c r="F4804" t="s">
        <v>25</v>
      </c>
      <c r="G4804" t="s">
        <v>4558</v>
      </c>
      <c r="J4804" t="s">
        <v>2089</v>
      </c>
      <c r="K4804" t="s">
        <v>2750</v>
      </c>
      <c r="N4804" t="s">
        <v>2751</v>
      </c>
      <c r="O4804">
        <v>2</v>
      </c>
      <c r="R4804" t="s">
        <v>2752</v>
      </c>
      <c r="S4804">
        <v>158</v>
      </c>
      <c r="V4804" t="s">
        <v>2753</v>
      </c>
      <c r="W4804" t="s">
        <v>2754</v>
      </c>
      <c r="Z4804" t="s">
        <v>2755</v>
      </c>
      <c r="AA4804" t="s">
        <v>2756</v>
      </c>
    </row>
    <row r="4805" spans="1:27" x14ac:dyDescent="0.3">
      <c r="A4805" t="s">
        <v>4549</v>
      </c>
      <c r="B4805" t="s">
        <v>2733</v>
      </c>
      <c r="C4805" t="s">
        <v>16</v>
      </c>
      <c r="D4805" s="4" t="s">
        <v>256</v>
      </c>
      <c r="E4805" t="s">
        <v>37</v>
      </c>
    </row>
    <row r="4806" spans="1:27" s="22" customFormat="1" x14ac:dyDescent="0.3">
      <c r="A4806" s="22" t="s">
        <v>4549</v>
      </c>
      <c r="B4806" s="22" t="s">
        <v>2733</v>
      </c>
      <c r="C4806" s="22" t="s">
        <v>11</v>
      </c>
      <c r="D4806" s="22">
        <v>130</v>
      </c>
      <c r="E4806" s="22" t="s">
        <v>13</v>
      </c>
      <c r="H4806" s="22" t="s">
        <v>382</v>
      </c>
      <c r="I4806" s="22" t="s">
        <v>4559</v>
      </c>
      <c r="L4806" s="22" t="s">
        <v>14</v>
      </c>
      <c r="M4806" s="22" t="s">
        <v>4559</v>
      </c>
    </row>
    <row r="4807" spans="1:27" s="22" customFormat="1" x14ac:dyDescent="0.3">
      <c r="A4807" s="22" t="s">
        <v>4552</v>
      </c>
      <c r="B4807" s="22" t="s">
        <v>527</v>
      </c>
      <c r="C4807" s="22" t="s">
        <v>11</v>
      </c>
      <c r="D4807" s="22">
        <v>130</v>
      </c>
      <c r="E4807" s="22" t="s">
        <v>391</v>
      </c>
      <c r="H4807" s="22" t="s">
        <v>392</v>
      </c>
      <c r="I4807" s="22" t="s">
        <v>2758</v>
      </c>
      <c r="L4807" s="22" t="s">
        <v>394</v>
      </c>
      <c r="M4807" s="22" t="s">
        <v>4559</v>
      </c>
    </row>
    <row r="4808" spans="1:27" s="22" customFormat="1" x14ac:dyDescent="0.3">
      <c r="A4808" s="22" t="s">
        <v>4551</v>
      </c>
      <c r="B4808" s="22" t="s">
        <v>2738</v>
      </c>
      <c r="C4808" s="22" t="s">
        <v>11</v>
      </c>
      <c r="D4808" s="22">
        <v>130</v>
      </c>
      <c r="E4808" s="22" t="s">
        <v>391</v>
      </c>
      <c r="H4808" s="22" t="s">
        <v>392</v>
      </c>
      <c r="I4808" s="22" t="s">
        <v>4560</v>
      </c>
      <c r="L4808" s="22" t="s">
        <v>394</v>
      </c>
      <c r="M4808" s="22" t="s">
        <v>4559</v>
      </c>
    </row>
    <row r="4809" spans="1:27" s="22" customFormat="1" ht="13.8" customHeight="1" x14ac:dyDescent="0.3">
      <c r="A4809" s="22" t="s">
        <v>4550</v>
      </c>
      <c r="B4809" s="22" t="s">
        <v>2735</v>
      </c>
      <c r="C4809" s="22" t="s">
        <v>308</v>
      </c>
      <c r="D4809" s="22">
        <v>130</v>
      </c>
      <c r="E4809" s="22" t="s">
        <v>406</v>
      </c>
      <c r="H4809" s="22" t="s">
        <v>25</v>
      </c>
      <c r="I4809" s="22" t="s">
        <v>2761</v>
      </c>
      <c r="L4809" s="22" t="s">
        <v>312</v>
      </c>
      <c r="M4809" s="22" t="s">
        <v>404</v>
      </c>
    </row>
    <row r="4810" spans="1:27" s="22" customFormat="1" x14ac:dyDescent="0.3">
      <c r="A4810" s="22" t="s">
        <v>4561</v>
      </c>
      <c r="B4810" s="22" t="s">
        <v>406</v>
      </c>
      <c r="C4810" s="22" t="s">
        <v>11</v>
      </c>
      <c r="D4810" s="22">
        <v>130</v>
      </c>
      <c r="E4810" s="22" t="s">
        <v>391</v>
      </c>
      <c r="H4810" s="22" t="s">
        <v>392</v>
      </c>
      <c r="I4810" s="22" t="s">
        <v>4562</v>
      </c>
      <c r="L4810" s="22" t="s">
        <v>394</v>
      </c>
      <c r="M4810" s="22" t="s">
        <v>4559</v>
      </c>
    </row>
    <row r="4811" spans="1:27" s="22" customFormat="1" x14ac:dyDescent="0.3">
      <c r="A4811" s="22" t="s">
        <v>4554</v>
      </c>
      <c r="B4811" s="22" t="s">
        <v>1138</v>
      </c>
      <c r="C4811" s="22" t="s">
        <v>11</v>
      </c>
      <c r="D4811" s="22">
        <v>130</v>
      </c>
      <c r="E4811" s="22" t="s">
        <v>391</v>
      </c>
      <c r="H4811" s="22" t="s">
        <v>392</v>
      </c>
      <c r="I4811" s="22" t="s">
        <v>4563</v>
      </c>
      <c r="L4811" s="22" t="s">
        <v>394</v>
      </c>
      <c r="M4811" s="22" t="s">
        <v>4559</v>
      </c>
    </row>
    <row r="4812" spans="1:27" s="22" customFormat="1" x14ac:dyDescent="0.3">
      <c r="A4812" s="22" t="s">
        <v>4557</v>
      </c>
      <c r="B4812" s="22" t="s">
        <v>341</v>
      </c>
      <c r="C4812" s="22" t="s">
        <v>11</v>
      </c>
      <c r="D4812" s="22">
        <v>130</v>
      </c>
      <c r="E4812" s="22" t="s">
        <v>391</v>
      </c>
      <c r="H4812" s="22" t="s">
        <v>392</v>
      </c>
      <c r="I4812" s="22" t="s">
        <v>4564</v>
      </c>
      <c r="L4812" s="22" t="s">
        <v>394</v>
      </c>
      <c r="M4812" s="22" t="s">
        <v>4559</v>
      </c>
    </row>
    <row r="4813" spans="1:27" s="22" customFormat="1" x14ac:dyDescent="0.3">
      <c r="A4813" s="22" t="s">
        <v>4555</v>
      </c>
      <c r="B4813" s="22" t="s">
        <v>1134</v>
      </c>
      <c r="C4813" s="22" t="s">
        <v>11</v>
      </c>
      <c r="D4813" s="22">
        <v>130</v>
      </c>
      <c r="E4813" s="22" t="s">
        <v>391</v>
      </c>
      <c r="H4813" s="22" t="s">
        <v>392</v>
      </c>
      <c r="I4813" s="22" t="s">
        <v>4565</v>
      </c>
      <c r="L4813" s="22" t="s">
        <v>394</v>
      </c>
      <c r="M4813" s="22" t="s">
        <v>4559</v>
      </c>
    </row>
    <row r="4814" spans="1:27" s="22" customFormat="1" x14ac:dyDescent="0.3">
      <c r="A4814" s="22" t="s">
        <v>4556</v>
      </c>
      <c r="B4814" s="22" t="s">
        <v>1138</v>
      </c>
      <c r="C4814" s="22" t="s">
        <v>11</v>
      </c>
      <c r="D4814" s="22">
        <v>130</v>
      </c>
      <c r="E4814" s="22" t="s">
        <v>391</v>
      </c>
      <c r="H4814" s="22" t="s">
        <v>392</v>
      </c>
      <c r="I4814" s="22" t="s">
        <v>4566</v>
      </c>
      <c r="L4814" s="22" t="s">
        <v>394</v>
      </c>
      <c r="M4814" s="22" t="s">
        <v>4559</v>
      </c>
    </row>
    <row r="4815" spans="1:27" s="22" customFormat="1" x14ac:dyDescent="0.3">
      <c r="A4815" s="22" t="s">
        <v>4553</v>
      </c>
      <c r="B4815" s="22" t="s">
        <v>2077</v>
      </c>
      <c r="C4815" s="22" t="s">
        <v>11</v>
      </c>
      <c r="D4815" s="22">
        <v>130</v>
      </c>
      <c r="E4815" s="22" t="s">
        <v>391</v>
      </c>
      <c r="H4815" s="22" t="s">
        <v>392</v>
      </c>
      <c r="I4815" s="22" t="s">
        <v>2128</v>
      </c>
      <c r="L4815" s="22" t="s">
        <v>394</v>
      </c>
      <c r="M4815" s="22" t="s">
        <v>4559</v>
      </c>
    </row>
    <row r="4816" spans="1:27" x14ac:dyDescent="0.3">
      <c r="A4816" s="22" t="s">
        <v>4567</v>
      </c>
      <c r="B4816" s="22" t="s">
        <v>2733</v>
      </c>
      <c r="C4816" s="22" t="s">
        <v>280</v>
      </c>
      <c r="D4816" s="22">
        <v>130</v>
      </c>
      <c r="E4816" s="22" t="s">
        <v>2735</v>
      </c>
      <c r="H4816" t="s">
        <v>25</v>
      </c>
      <c r="I4816" t="s">
        <v>2736</v>
      </c>
    </row>
    <row r="4817" spans="1:27" x14ac:dyDescent="0.3">
      <c r="A4817" s="22" t="s">
        <v>4567</v>
      </c>
      <c r="B4817" s="22" t="s">
        <v>2733</v>
      </c>
      <c r="C4817" s="22" t="s">
        <v>308</v>
      </c>
      <c r="D4817" s="22">
        <v>130</v>
      </c>
      <c r="E4817" s="22" t="s">
        <v>2738</v>
      </c>
      <c r="H4817" t="s">
        <v>25</v>
      </c>
      <c r="I4817" t="s">
        <v>2739</v>
      </c>
      <c r="L4817" t="s">
        <v>312</v>
      </c>
      <c r="M4817" t="s">
        <v>327</v>
      </c>
    </row>
    <row r="4818" spans="1:27" x14ac:dyDescent="0.3">
      <c r="A4818" s="22" t="s">
        <v>4567</v>
      </c>
      <c r="B4818" s="22" t="s">
        <v>2733</v>
      </c>
      <c r="C4818" s="22" t="s">
        <v>308</v>
      </c>
      <c r="D4818" s="22">
        <v>130</v>
      </c>
      <c r="E4818" s="22" t="s">
        <v>527</v>
      </c>
      <c r="H4818" t="s">
        <v>25</v>
      </c>
      <c r="I4818" t="s">
        <v>2741</v>
      </c>
      <c r="L4818" t="s">
        <v>312</v>
      </c>
      <c r="M4818" t="s">
        <v>343</v>
      </c>
    </row>
    <row r="4819" spans="1:27" x14ac:dyDescent="0.3">
      <c r="A4819" s="22" t="s">
        <v>4567</v>
      </c>
      <c r="B4819" s="22" t="s">
        <v>2733</v>
      </c>
      <c r="C4819" s="22" t="s">
        <v>308</v>
      </c>
      <c r="D4819" s="22">
        <v>130</v>
      </c>
      <c r="E4819" s="22" t="s">
        <v>2077</v>
      </c>
      <c r="H4819" t="s">
        <v>25</v>
      </c>
      <c r="I4819" t="s">
        <v>2078</v>
      </c>
      <c r="L4819" t="s">
        <v>312</v>
      </c>
      <c r="M4819" t="s">
        <v>1687</v>
      </c>
    </row>
    <row r="4820" spans="1:27" x14ac:dyDescent="0.3">
      <c r="A4820" s="22" t="s">
        <v>4567</v>
      </c>
      <c r="B4820" s="22" t="s">
        <v>2733</v>
      </c>
      <c r="C4820" s="22" t="s">
        <v>308</v>
      </c>
      <c r="D4820" s="22">
        <v>130</v>
      </c>
      <c r="E4820" s="22" t="s">
        <v>1138</v>
      </c>
      <c r="H4820" t="s">
        <v>25</v>
      </c>
      <c r="I4820" t="s">
        <v>2065</v>
      </c>
      <c r="L4820" t="s">
        <v>312</v>
      </c>
      <c r="M4820" t="s">
        <v>317</v>
      </c>
    </row>
    <row r="4821" spans="1:27" x14ac:dyDescent="0.3">
      <c r="A4821" s="22" t="s">
        <v>4567</v>
      </c>
      <c r="B4821" s="22" t="s">
        <v>2733</v>
      </c>
      <c r="C4821" s="22" t="s">
        <v>308</v>
      </c>
      <c r="D4821" s="22">
        <v>130</v>
      </c>
      <c r="E4821" s="22" t="s">
        <v>1134</v>
      </c>
      <c r="H4821" t="s">
        <v>25</v>
      </c>
      <c r="I4821" t="s">
        <v>2069</v>
      </c>
      <c r="L4821" t="s">
        <v>312</v>
      </c>
      <c r="M4821" t="s">
        <v>317</v>
      </c>
    </row>
    <row r="4822" spans="1:27" x14ac:dyDescent="0.3">
      <c r="A4822" s="22" t="s">
        <v>4567</v>
      </c>
      <c r="B4822" s="22" t="s">
        <v>2733</v>
      </c>
      <c r="C4822" s="22" t="s">
        <v>308</v>
      </c>
      <c r="D4822" s="22">
        <v>130</v>
      </c>
      <c r="E4822" s="22" t="s">
        <v>1138</v>
      </c>
      <c r="H4822" t="s">
        <v>25</v>
      </c>
      <c r="I4822" t="s">
        <v>2746</v>
      </c>
      <c r="L4822" t="s">
        <v>312</v>
      </c>
      <c r="M4822" t="s">
        <v>317</v>
      </c>
    </row>
    <row r="4823" spans="1:27" x14ac:dyDescent="0.3">
      <c r="A4823" s="22" t="s">
        <v>4567</v>
      </c>
      <c r="B4823" s="22" t="s">
        <v>2733</v>
      </c>
      <c r="C4823" s="22" t="s">
        <v>308</v>
      </c>
      <c r="D4823" s="22">
        <v>130</v>
      </c>
      <c r="E4823" s="22" t="s">
        <v>341</v>
      </c>
      <c r="H4823" t="s">
        <v>25</v>
      </c>
      <c r="I4823" t="s">
        <v>342</v>
      </c>
      <c r="L4823" t="s">
        <v>312</v>
      </c>
      <c r="M4823" t="s">
        <v>343</v>
      </c>
    </row>
    <row r="4824" spans="1:27" x14ac:dyDescent="0.3">
      <c r="A4824" t="s">
        <v>4567</v>
      </c>
      <c r="B4824" t="s">
        <v>2733</v>
      </c>
      <c r="C4824" t="s">
        <v>22</v>
      </c>
      <c r="D4824" t="s">
        <v>23</v>
      </c>
      <c r="E4824" t="s">
        <v>28</v>
      </c>
    </row>
    <row r="4825" spans="1:27" x14ac:dyDescent="0.3">
      <c r="A4825" t="s">
        <v>4567</v>
      </c>
      <c r="B4825" t="s">
        <v>2733</v>
      </c>
      <c r="C4825" t="s">
        <v>2748</v>
      </c>
      <c r="D4825">
        <v>1.5</v>
      </c>
      <c r="H4825" t="s">
        <v>312</v>
      </c>
      <c r="I4825" t="s">
        <v>385</v>
      </c>
    </row>
    <row r="4826" spans="1:27" x14ac:dyDescent="0.3">
      <c r="A4826" t="s">
        <v>4567</v>
      </c>
      <c r="B4826" t="s">
        <v>2733</v>
      </c>
      <c r="C4826" t="s">
        <v>378</v>
      </c>
      <c r="D4826" s="3">
        <v>130</v>
      </c>
      <c r="H4826" t="s">
        <v>312</v>
      </c>
      <c r="I4826" t="s">
        <v>327</v>
      </c>
    </row>
    <row r="4827" spans="1:27" x14ac:dyDescent="0.3">
      <c r="A4827" t="s">
        <v>4567</v>
      </c>
      <c r="B4827" t="s">
        <v>2733</v>
      </c>
      <c r="C4827" t="s">
        <v>380</v>
      </c>
      <c r="D4827" t="s">
        <v>678</v>
      </c>
      <c r="E4827" t="s">
        <v>279</v>
      </c>
      <c r="F4827" t="s">
        <v>25</v>
      </c>
      <c r="G4827" t="s">
        <v>4568</v>
      </c>
      <c r="J4827" t="s">
        <v>2089</v>
      </c>
      <c r="K4827" t="s">
        <v>2750</v>
      </c>
      <c r="N4827" t="s">
        <v>2751</v>
      </c>
      <c r="O4827">
        <v>2</v>
      </c>
      <c r="R4827" t="s">
        <v>2752</v>
      </c>
      <c r="S4827">
        <v>158</v>
      </c>
      <c r="V4827" t="s">
        <v>2753</v>
      </c>
      <c r="W4827" t="s">
        <v>2754</v>
      </c>
      <c r="Z4827" t="s">
        <v>2755</v>
      </c>
      <c r="AA4827" t="s">
        <v>2756</v>
      </c>
    </row>
    <row r="4828" spans="1:27" x14ac:dyDescent="0.3">
      <c r="A4828" t="s">
        <v>4567</v>
      </c>
      <c r="B4828" t="s">
        <v>2733</v>
      </c>
      <c r="C4828" t="s">
        <v>16</v>
      </c>
      <c r="D4828" s="4" t="s">
        <v>236</v>
      </c>
      <c r="E4828" t="s">
        <v>37</v>
      </c>
    </row>
    <row r="4829" spans="1:27" s="22" customFormat="1" x14ac:dyDescent="0.3">
      <c r="A4829" s="22" t="s">
        <v>4567</v>
      </c>
      <c r="B4829" s="22" t="s">
        <v>2733</v>
      </c>
      <c r="C4829" s="22" t="s">
        <v>11</v>
      </c>
      <c r="D4829" s="22">
        <v>130</v>
      </c>
      <c r="E4829" s="22" t="s">
        <v>13</v>
      </c>
      <c r="H4829" s="22" t="s">
        <v>382</v>
      </c>
      <c r="I4829" s="22" t="s">
        <v>4569</v>
      </c>
      <c r="L4829" s="22" t="s">
        <v>14</v>
      </c>
      <c r="M4829" s="22" t="s">
        <v>4569</v>
      </c>
    </row>
    <row r="4830" spans="1:27" s="22" customFormat="1" x14ac:dyDescent="0.3">
      <c r="A4830" s="22" t="s">
        <v>4570</v>
      </c>
      <c r="B4830" s="22" t="s">
        <v>527</v>
      </c>
      <c r="C4830" s="22" t="s">
        <v>11</v>
      </c>
      <c r="D4830" s="22">
        <v>130</v>
      </c>
      <c r="E4830" s="22" t="s">
        <v>391</v>
      </c>
      <c r="H4830" s="22" t="s">
        <v>392</v>
      </c>
      <c r="I4830" s="22" t="s">
        <v>2758</v>
      </c>
      <c r="L4830" s="22" t="s">
        <v>394</v>
      </c>
      <c r="M4830" s="22" t="s">
        <v>4569</v>
      </c>
    </row>
    <row r="4831" spans="1:27" s="22" customFormat="1" x14ac:dyDescent="0.3">
      <c r="A4831" s="22" t="s">
        <v>4571</v>
      </c>
      <c r="B4831" s="22" t="s">
        <v>2738</v>
      </c>
      <c r="C4831" s="22" t="s">
        <v>11</v>
      </c>
      <c r="D4831" s="22">
        <v>130</v>
      </c>
      <c r="E4831" s="22" t="s">
        <v>391</v>
      </c>
      <c r="H4831" s="22" t="s">
        <v>392</v>
      </c>
      <c r="I4831" s="22" t="s">
        <v>4572</v>
      </c>
      <c r="L4831" s="22" t="s">
        <v>394</v>
      </c>
      <c r="M4831" s="22" t="s">
        <v>4569</v>
      </c>
    </row>
    <row r="4832" spans="1:27" s="22" customFormat="1" x14ac:dyDescent="0.3">
      <c r="A4832" s="22" t="s">
        <v>4573</v>
      </c>
      <c r="B4832" s="22" t="s">
        <v>2735</v>
      </c>
      <c r="C4832" s="22" t="s">
        <v>308</v>
      </c>
      <c r="D4832" s="22">
        <v>130</v>
      </c>
      <c r="E4832" s="22" t="s">
        <v>406</v>
      </c>
      <c r="H4832" s="22" t="s">
        <v>25</v>
      </c>
      <c r="I4832" s="22" t="s">
        <v>2761</v>
      </c>
      <c r="L4832" s="22" t="s">
        <v>312</v>
      </c>
      <c r="M4832" s="22" t="s">
        <v>404</v>
      </c>
    </row>
    <row r="4833" spans="1:13" s="22" customFormat="1" x14ac:dyDescent="0.3">
      <c r="A4833" s="22" t="s">
        <v>4574</v>
      </c>
      <c r="B4833" s="22" t="s">
        <v>406</v>
      </c>
      <c r="C4833" s="22" t="s">
        <v>11</v>
      </c>
      <c r="D4833" s="22">
        <v>130</v>
      </c>
      <c r="E4833" s="22" t="s">
        <v>391</v>
      </c>
      <c r="H4833" s="22" t="s">
        <v>392</v>
      </c>
      <c r="I4833" s="22" t="s">
        <v>4575</v>
      </c>
      <c r="L4833" s="22" t="s">
        <v>394</v>
      </c>
      <c r="M4833" s="22" t="s">
        <v>4569</v>
      </c>
    </row>
    <row r="4834" spans="1:13" s="22" customFormat="1" x14ac:dyDescent="0.3">
      <c r="A4834" s="22" t="s">
        <v>4576</v>
      </c>
      <c r="B4834" s="22" t="s">
        <v>1138</v>
      </c>
      <c r="C4834" s="22" t="s">
        <v>11</v>
      </c>
      <c r="D4834" s="22">
        <v>130</v>
      </c>
      <c r="E4834" s="22" t="s">
        <v>391</v>
      </c>
      <c r="H4834" s="22" t="s">
        <v>392</v>
      </c>
      <c r="I4834" s="22" t="s">
        <v>4577</v>
      </c>
      <c r="L4834" s="22" t="s">
        <v>394</v>
      </c>
      <c r="M4834" s="22" t="s">
        <v>4569</v>
      </c>
    </row>
    <row r="4835" spans="1:13" s="22" customFormat="1" x14ac:dyDescent="0.3">
      <c r="A4835" s="22" t="s">
        <v>4578</v>
      </c>
      <c r="B4835" s="22" t="s">
        <v>341</v>
      </c>
      <c r="C4835" s="22" t="s">
        <v>11</v>
      </c>
      <c r="D4835" s="22">
        <v>130</v>
      </c>
      <c r="E4835" s="22" t="s">
        <v>391</v>
      </c>
      <c r="H4835" s="22" t="s">
        <v>392</v>
      </c>
      <c r="I4835" s="22" t="s">
        <v>4579</v>
      </c>
      <c r="L4835" s="22" t="s">
        <v>394</v>
      </c>
      <c r="M4835" s="22" t="s">
        <v>4569</v>
      </c>
    </row>
    <row r="4836" spans="1:13" s="22" customFormat="1" x14ac:dyDescent="0.3">
      <c r="A4836" s="22" t="s">
        <v>4580</v>
      </c>
      <c r="B4836" s="22" t="s">
        <v>1134</v>
      </c>
      <c r="C4836" s="22" t="s">
        <v>11</v>
      </c>
      <c r="D4836" s="22">
        <v>130</v>
      </c>
      <c r="E4836" s="22" t="s">
        <v>391</v>
      </c>
      <c r="H4836" s="22" t="s">
        <v>392</v>
      </c>
      <c r="I4836" s="22" t="s">
        <v>4581</v>
      </c>
      <c r="L4836" s="22" t="s">
        <v>394</v>
      </c>
      <c r="M4836" s="22" t="s">
        <v>4569</v>
      </c>
    </row>
    <row r="4837" spans="1:13" s="22" customFormat="1" x14ac:dyDescent="0.3">
      <c r="A4837" s="22" t="s">
        <v>4582</v>
      </c>
      <c r="B4837" s="22" t="s">
        <v>1138</v>
      </c>
      <c r="C4837" s="22" t="s">
        <v>11</v>
      </c>
      <c r="D4837" s="22">
        <v>130</v>
      </c>
      <c r="E4837" s="22" t="s">
        <v>391</v>
      </c>
      <c r="H4837" s="22" t="s">
        <v>392</v>
      </c>
      <c r="I4837" s="22" t="s">
        <v>4583</v>
      </c>
      <c r="L4837" s="22" t="s">
        <v>394</v>
      </c>
      <c r="M4837" s="22" t="s">
        <v>4569</v>
      </c>
    </row>
    <row r="4838" spans="1:13" s="22" customFormat="1" x14ac:dyDescent="0.3">
      <c r="A4838" s="22" t="s">
        <v>4584</v>
      </c>
      <c r="B4838" s="22" t="s">
        <v>2077</v>
      </c>
      <c r="C4838" s="22" t="s">
        <v>11</v>
      </c>
      <c r="D4838" s="22">
        <v>130</v>
      </c>
      <c r="E4838" s="22" t="s">
        <v>391</v>
      </c>
      <c r="H4838" s="22" t="s">
        <v>392</v>
      </c>
      <c r="I4838" s="22" t="s">
        <v>2128</v>
      </c>
      <c r="L4838" s="22" t="s">
        <v>394</v>
      </c>
      <c r="M4838" s="22" t="s">
        <v>4569</v>
      </c>
    </row>
    <row r="4839" spans="1:13" x14ac:dyDescent="0.3">
      <c r="A4839" s="22" t="s">
        <v>4585</v>
      </c>
      <c r="B4839" s="22" t="s">
        <v>2733</v>
      </c>
      <c r="C4839" s="22" t="s">
        <v>280</v>
      </c>
      <c r="D4839" s="22">
        <v>130</v>
      </c>
      <c r="E4839" s="22" t="s">
        <v>2735</v>
      </c>
      <c r="H4839" t="s">
        <v>25</v>
      </c>
      <c r="I4839" t="s">
        <v>2736</v>
      </c>
    </row>
    <row r="4840" spans="1:13" x14ac:dyDescent="0.3">
      <c r="A4840" s="22" t="s">
        <v>4585</v>
      </c>
      <c r="B4840" s="22" t="s">
        <v>2733</v>
      </c>
      <c r="C4840" s="22" t="s">
        <v>308</v>
      </c>
      <c r="D4840" s="22">
        <v>130</v>
      </c>
      <c r="E4840" s="22" t="s">
        <v>2738</v>
      </c>
      <c r="H4840" t="s">
        <v>25</v>
      </c>
      <c r="I4840" t="s">
        <v>2739</v>
      </c>
      <c r="L4840" t="s">
        <v>312</v>
      </c>
      <c r="M4840" t="s">
        <v>327</v>
      </c>
    </row>
    <row r="4841" spans="1:13" x14ac:dyDescent="0.3">
      <c r="A4841" s="22" t="s">
        <v>4585</v>
      </c>
      <c r="B4841" s="22" t="s">
        <v>2733</v>
      </c>
      <c r="C4841" s="22" t="s">
        <v>308</v>
      </c>
      <c r="D4841" s="22">
        <v>130</v>
      </c>
      <c r="E4841" s="22" t="s">
        <v>527</v>
      </c>
      <c r="H4841" t="s">
        <v>25</v>
      </c>
      <c r="I4841" t="s">
        <v>2741</v>
      </c>
      <c r="L4841" t="s">
        <v>312</v>
      </c>
      <c r="M4841" t="s">
        <v>343</v>
      </c>
    </row>
    <row r="4842" spans="1:13" x14ac:dyDescent="0.3">
      <c r="A4842" s="22" t="s">
        <v>4585</v>
      </c>
      <c r="B4842" s="22" t="s">
        <v>2733</v>
      </c>
      <c r="C4842" s="22" t="s">
        <v>308</v>
      </c>
      <c r="D4842" s="22">
        <v>130</v>
      </c>
      <c r="E4842" s="22" t="s">
        <v>2077</v>
      </c>
      <c r="H4842" t="s">
        <v>25</v>
      </c>
      <c r="I4842" t="s">
        <v>2078</v>
      </c>
      <c r="L4842" t="s">
        <v>312</v>
      </c>
      <c r="M4842" t="s">
        <v>1687</v>
      </c>
    </row>
    <row r="4843" spans="1:13" x14ac:dyDescent="0.3">
      <c r="A4843" s="22" t="s">
        <v>4585</v>
      </c>
      <c r="B4843" s="22" t="s">
        <v>2733</v>
      </c>
      <c r="C4843" s="22" t="s">
        <v>308</v>
      </c>
      <c r="D4843" s="22">
        <v>130</v>
      </c>
      <c r="E4843" s="22" t="s">
        <v>1138</v>
      </c>
      <c r="H4843" t="s">
        <v>25</v>
      </c>
      <c r="I4843" t="s">
        <v>2065</v>
      </c>
      <c r="L4843" t="s">
        <v>312</v>
      </c>
      <c r="M4843" t="s">
        <v>317</v>
      </c>
    </row>
    <row r="4844" spans="1:13" x14ac:dyDescent="0.3">
      <c r="A4844" s="22" t="s">
        <v>4585</v>
      </c>
      <c r="B4844" s="22" t="s">
        <v>2733</v>
      </c>
      <c r="C4844" s="22" t="s">
        <v>308</v>
      </c>
      <c r="D4844" s="22">
        <v>130</v>
      </c>
      <c r="E4844" s="22" t="s">
        <v>1134</v>
      </c>
      <c r="H4844" t="s">
        <v>25</v>
      </c>
      <c r="I4844" t="s">
        <v>2069</v>
      </c>
      <c r="L4844" t="s">
        <v>312</v>
      </c>
      <c r="M4844" t="s">
        <v>317</v>
      </c>
    </row>
    <row r="4845" spans="1:13" x14ac:dyDescent="0.3">
      <c r="A4845" s="22" t="s">
        <v>4585</v>
      </c>
      <c r="B4845" s="22" t="s">
        <v>2733</v>
      </c>
      <c r="C4845" s="22" t="s">
        <v>308</v>
      </c>
      <c r="D4845" s="22">
        <v>130</v>
      </c>
      <c r="E4845" s="22" t="s">
        <v>1138</v>
      </c>
      <c r="H4845" t="s">
        <v>25</v>
      </c>
      <c r="I4845" t="s">
        <v>2746</v>
      </c>
      <c r="L4845" t="s">
        <v>312</v>
      </c>
      <c r="M4845" t="s">
        <v>317</v>
      </c>
    </row>
    <row r="4846" spans="1:13" x14ac:dyDescent="0.3">
      <c r="A4846" s="22" t="s">
        <v>4585</v>
      </c>
      <c r="B4846" s="22" t="s">
        <v>2733</v>
      </c>
      <c r="C4846" s="22" t="s">
        <v>308</v>
      </c>
      <c r="D4846" s="22">
        <v>130</v>
      </c>
      <c r="E4846" s="22" t="s">
        <v>341</v>
      </c>
      <c r="H4846" t="s">
        <v>25</v>
      </c>
      <c r="I4846" t="s">
        <v>342</v>
      </c>
      <c r="L4846" t="s">
        <v>312</v>
      </c>
      <c r="M4846" t="s">
        <v>343</v>
      </c>
    </row>
    <row r="4847" spans="1:13" x14ac:dyDescent="0.3">
      <c r="A4847" t="s">
        <v>4585</v>
      </c>
      <c r="B4847" t="s">
        <v>2733</v>
      </c>
      <c r="C4847" t="s">
        <v>22</v>
      </c>
      <c r="D4847" t="s">
        <v>23</v>
      </c>
      <c r="E4847" t="s">
        <v>28</v>
      </c>
    </row>
    <row r="4848" spans="1:13" x14ac:dyDescent="0.3">
      <c r="A4848" t="s">
        <v>4585</v>
      </c>
      <c r="B4848" t="s">
        <v>2733</v>
      </c>
      <c r="C4848" t="s">
        <v>2748</v>
      </c>
      <c r="D4848">
        <v>1.5</v>
      </c>
      <c r="H4848" t="s">
        <v>312</v>
      </c>
      <c r="I4848" t="s">
        <v>385</v>
      </c>
    </row>
    <row r="4849" spans="1:27" x14ac:dyDescent="0.3">
      <c r="A4849" t="s">
        <v>4585</v>
      </c>
      <c r="B4849" t="s">
        <v>2733</v>
      </c>
      <c r="C4849" t="s">
        <v>378</v>
      </c>
      <c r="D4849" s="3">
        <v>130</v>
      </c>
      <c r="H4849" t="s">
        <v>312</v>
      </c>
      <c r="I4849" t="s">
        <v>327</v>
      </c>
    </row>
    <row r="4850" spans="1:27" x14ac:dyDescent="0.3">
      <c r="A4850" t="s">
        <v>4585</v>
      </c>
      <c r="B4850" t="s">
        <v>2733</v>
      </c>
      <c r="C4850" t="s">
        <v>380</v>
      </c>
      <c r="D4850" t="s">
        <v>678</v>
      </c>
      <c r="E4850" t="s">
        <v>279</v>
      </c>
      <c r="F4850" t="s">
        <v>25</v>
      </c>
      <c r="G4850" t="s">
        <v>4586</v>
      </c>
      <c r="J4850" t="s">
        <v>2089</v>
      </c>
      <c r="K4850" t="s">
        <v>2750</v>
      </c>
      <c r="N4850" t="s">
        <v>2751</v>
      </c>
      <c r="O4850">
        <v>2</v>
      </c>
      <c r="R4850" t="s">
        <v>2752</v>
      </c>
      <c r="S4850">
        <v>158</v>
      </c>
      <c r="V4850" t="s">
        <v>2753</v>
      </c>
      <c r="W4850" t="s">
        <v>2754</v>
      </c>
      <c r="Z4850" t="s">
        <v>2755</v>
      </c>
      <c r="AA4850" t="s">
        <v>2756</v>
      </c>
    </row>
    <row r="4851" spans="1:27" x14ac:dyDescent="0.3">
      <c r="A4851" t="s">
        <v>4585</v>
      </c>
      <c r="B4851" t="s">
        <v>2733</v>
      </c>
      <c r="C4851" t="s">
        <v>16</v>
      </c>
      <c r="D4851" t="s">
        <v>236</v>
      </c>
      <c r="E4851" t="s">
        <v>37</v>
      </c>
    </row>
    <row r="4852" spans="1:27" x14ac:dyDescent="0.3">
      <c r="A4852" t="s">
        <v>4585</v>
      </c>
      <c r="B4852" t="s">
        <v>2733</v>
      </c>
      <c r="C4852" t="s">
        <v>11</v>
      </c>
      <c r="D4852" t="s">
        <v>12</v>
      </c>
      <c r="E4852" t="s">
        <v>13</v>
      </c>
      <c r="H4852" t="s">
        <v>382</v>
      </c>
      <c r="I4852" t="s">
        <v>4587</v>
      </c>
      <c r="L4852" t="s">
        <v>14</v>
      </c>
      <c r="M4852" t="s">
        <v>4587</v>
      </c>
    </row>
    <row r="4853" spans="1:27" x14ac:dyDescent="0.3">
      <c r="A4853" t="s">
        <v>4588</v>
      </c>
      <c r="B4853" t="s">
        <v>527</v>
      </c>
      <c r="C4853" t="s">
        <v>11</v>
      </c>
      <c r="D4853" t="s">
        <v>12</v>
      </c>
      <c r="E4853" t="s">
        <v>391</v>
      </c>
      <c r="H4853" t="s">
        <v>392</v>
      </c>
      <c r="I4853" t="s">
        <v>2758</v>
      </c>
      <c r="L4853" t="s">
        <v>394</v>
      </c>
      <c r="M4853" t="s">
        <v>4587</v>
      </c>
    </row>
    <row r="4854" spans="1:27" x14ac:dyDescent="0.3">
      <c r="A4854" t="s">
        <v>4589</v>
      </c>
      <c r="B4854" t="s">
        <v>2738</v>
      </c>
      <c r="C4854" t="s">
        <v>11</v>
      </c>
      <c r="D4854" t="s">
        <v>12</v>
      </c>
      <c r="E4854" t="s">
        <v>391</v>
      </c>
      <c r="H4854" t="s">
        <v>392</v>
      </c>
      <c r="I4854" t="s">
        <v>4590</v>
      </c>
      <c r="L4854" t="s">
        <v>394</v>
      </c>
      <c r="M4854" t="s">
        <v>4587</v>
      </c>
    </row>
    <row r="4855" spans="1:27" x14ac:dyDescent="0.3">
      <c r="A4855" t="s">
        <v>4591</v>
      </c>
      <c r="B4855" t="s">
        <v>2735</v>
      </c>
      <c r="C4855" t="s">
        <v>308</v>
      </c>
      <c r="D4855" t="s">
        <v>4592</v>
      </c>
      <c r="E4855" t="s">
        <v>406</v>
      </c>
      <c r="H4855" t="s">
        <v>25</v>
      </c>
      <c r="I4855" t="s">
        <v>2761</v>
      </c>
      <c r="L4855" t="s">
        <v>312</v>
      </c>
      <c r="M4855" t="s">
        <v>404</v>
      </c>
    </row>
    <row r="4856" spans="1:27" x14ac:dyDescent="0.3">
      <c r="A4856" t="s">
        <v>4592</v>
      </c>
      <c r="B4856" t="s">
        <v>406</v>
      </c>
      <c r="C4856" t="s">
        <v>11</v>
      </c>
      <c r="D4856" t="s">
        <v>12</v>
      </c>
      <c r="E4856" t="s">
        <v>391</v>
      </c>
      <c r="H4856" t="s">
        <v>392</v>
      </c>
      <c r="I4856" t="s">
        <v>4593</v>
      </c>
      <c r="L4856" t="s">
        <v>394</v>
      </c>
      <c r="M4856" t="s">
        <v>4587</v>
      </c>
    </row>
    <row r="4857" spans="1:27" x14ac:dyDescent="0.3">
      <c r="A4857" t="s">
        <v>4594</v>
      </c>
      <c r="B4857" t="s">
        <v>1138</v>
      </c>
      <c r="C4857" t="s">
        <v>11</v>
      </c>
      <c r="D4857" t="s">
        <v>12</v>
      </c>
      <c r="E4857" t="s">
        <v>391</v>
      </c>
      <c r="H4857" t="s">
        <v>392</v>
      </c>
      <c r="I4857" t="s">
        <v>4595</v>
      </c>
      <c r="L4857" t="s">
        <v>394</v>
      </c>
      <c r="M4857" t="s">
        <v>4587</v>
      </c>
    </row>
    <row r="4858" spans="1:27" x14ac:dyDescent="0.3">
      <c r="A4858" t="s">
        <v>4596</v>
      </c>
      <c r="B4858" t="s">
        <v>341</v>
      </c>
      <c r="C4858" t="s">
        <v>11</v>
      </c>
      <c r="D4858" t="s">
        <v>12</v>
      </c>
      <c r="E4858" t="s">
        <v>391</v>
      </c>
      <c r="H4858" t="s">
        <v>392</v>
      </c>
      <c r="I4858" t="s">
        <v>4597</v>
      </c>
      <c r="L4858" t="s">
        <v>394</v>
      </c>
      <c r="M4858" t="s">
        <v>4587</v>
      </c>
    </row>
    <row r="4859" spans="1:27" x14ac:dyDescent="0.3">
      <c r="A4859" t="s">
        <v>4598</v>
      </c>
      <c r="B4859" t="s">
        <v>1134</v>
      </c>
      <c r="C4859" t="s">
        <v>11</v>
      </c>
      <c r="D4859" t="s">
        <v>12</v>
      </c>
      <c r="E4859" t="s">
        <v>391</v>
      </c>
      <c r="H4859" t="s">
        <v>392</v>
      </c>
      <c r="I4859" t="s">
        <v>4599</v>
      </c>
      <c r="L4859" t="s">
        <v>394</v>
      </c>
      <c r="M4859" t="s">
        <v>4587</v>
      </c>
    </row>
    <row r="4860" spans="1:27" x14ac:dyDescent="0.3">
      <c r="A4860" t="s">
        <v>4600</v>
      </c>
      <c r="B4860" t="s">
        <v>1138</v>
      </c>
      <c r="C4860" t="s">
        <v>11</v>
      </c>
      <c r="D4860" t="s">
        <v>12</v>
      </c>
      <c r="E4860" t="s">
        <v>391</v>
      </c>
      <c r="H4860" t="s">
        <v>392</v>
      </c>
      <c r="I4860" t="s">
        <v>4601</v>
      </c>
      <c r="L4860" t="s">
        <v>394</v>
      </c>
      <c r="M4860" t="s">
        <v>4587</v>
      </c>
    </row>
    <row r="4861" spans="1:27" x14ac:dyDescent="0.3">
      <c r="A4861" t="s">
        <v>4602</v>
      </c>
      <c r="B4861" t="s">
        <v>2077</v>
      </c>
      <c r="C4861" t="s">
        <v>11</v>
      </c>
      <c r="D4861" t="s">
        <v>12</v>
      </c>
      <c r="E4861" t="s">
        <v>391</v>
      </c>
      <c r="H4861" t="s">
        <v>392</v>
      </c>
      <c r="I4861" t="s">
        <v>2128</v>
      </c>
      <c r="L4861" t="s">
        <v>394</v>
      </c>
      <c r="M4861" t="s">
        <v>4587</v>
      </c>
    </row>
    <row r="4862" spans="1:27" x14ac:dyDescent="0.3">
      <c r="A4862" t="s">
        <v>4603</v>
      </c>
      <c r="B4862" t="s">
        <v>2733</v>
      </c>
      <c r="C4862" t="s">
        <v>280</v>
      </c>
      <c r="D4862" t="s">
        <v>4604</v>
      </c>
      <c r="E4862" t="s">
        <v>2735</v>
      </c>
      <c r="H4862" t="s">
        <v>25</v>
      </c>
      <c r="I4862" t="s">
        <v>2736</v>
      </c>
    </row>
    <row r="4863" spans="1:27" x14ac:dyDescent="0.3">
      <c r="A4863" t="s">
        <v>4603</v>
      </c>
      <c r="B4863" t="s">
        <v>2733</v>
      </c>
      <c r="C4863" t="s">
        <v>308</v>
      </c>
      <c r="D4863" t="s">
        <v>4605</v>
      </c>
      <c r="E4863" t="s">
        <v>2738</v>
      </c>
      <c r="H4863" t="s">
        <v>25</v>
      </c>
      <c r="I4863" t="s">
        <v>2739</v>
      </c>
      <c r="L4863" t="s">
        <v>312</v>
      </c>
      <c r="M4863" t="s">
        <v>327</v>
      </c>
    </row>
    <row r="4864" spans="1:27" x14ac:dyDescent="0.3">
      <c r="A4864" t="s">
        <v>4603</v>
      </c>
      <c r="B4864" t="s">
        <v>2733</v>
      </c>
      <c r="C4864" t="s">
        <v>308</v>
      </c>
      <c r="D4864" t="s">
        <v>4606</v>
      </c>
      <c r="E4864" t="s">
        <v>527</v>
      </c>
      <c r="H4864" t="s">
        <v>25</v>
      </c>
      <c r="I4864" t="s">
        <v>2741</v>
      </c>
      <c r="L4864" t="s">
        <v>312</v>
      </c>
      <c r="M4864" t="s">
        <v>343</v>
      </c>
    </row>
    <row r="4865" spans="1:27" x14ac:dyDescent="0.3">
      <c r="A4865" t="s">
        <v>4603</v>
      </c>
      <c r="B4865" t="s">
        <v>2733</v>
      </c>
      <c r="C4865" t="s">
        <v>308</v>
      </c>
      <c r="D4865" t="s">
        <v>4607</v>
      </c>
      <c r="E4865" t="s">
        <v>2077</v>
      </c>
      <c r="H4865" t="s">
        <v>25</v>
      </c>
      <c r="I4865" t="s">
        <v>2078</v>
      </c>
      <c r="L4865" t="s">
        <v>312</v>
      </c>
      <c r="M4865" t="s">
        <v>1687</v>
      </c>
    </row>
    <row r="4866" spans="1:27" x14ac:dyDescent="0.3">
      <c r="A4866" t="s">
        <v>4603</v>
      </c>
      <c r="B4866" t="s">
        <v>2733</v>
      </c>
      <c r="C4866" t="s">
        <v>308</v>
      </c>
      <c r="D4866" t="s">
        <v>4608</v>
      </c>
      <c r="E4866" t="s">
        <v>1138</v>
      </c>
      <c r="H4866" t="s">
        <v>25</v>
      </c>
      <c r="I4866" t="s">
        <v>2065</v>
      </c>
      <c r="L4866" t="s">
        <v>312</v>
      </c>
      <c r="M4866" t="s">
        <v>317</v>
      </c>
    </row>
    <row r="4867" spans="1:27" x14ac:dyDescent="0.3">
      <c r="A4867" t="s">
        <v>4603</v>
      </c>
      <c r="B4867" t="s">
        <v>2733</v>
      </c>
      <c r="C4867" t="s">
        <v>308</v>
      </c>
      <c r="D4867" t="s">
        <v>4609</v>
      </c>
      <c r="E4867" t="s">
        <v>1134</v>
      </c>
      <c r="H4867" t="s">
        <v>25</v>
      </c>
      <c r="I4867" t="s">
        <v>2069</v>
      </c>
      <c r="L4867" t="s">
        <v>312</v>
      </c>
      <c r="M4867" t="s">
        <v>317</v>
      </c>
    </row>
    <row r="4868" spans="1:27" x14ac:dyDescent="0.3">
      <c r="A4868" t="s">
        <v>4603</v>
      </c>
      <c r="B4868" t="s">
        <v>2733</v>
      </c>
      <c r="C4868" t="s">
        <v>308</v>
      </c>
      <c r="D4868" t="s">
        <v>4610</v>
      </c>
      <c r="E4868" t="s">
        <v>1138</v>
      </c>
      <c r="H4868" t="s">
        <v>25</v>
      </c>
      <c r="I4868" t="s">
        <v>2746</v>
      </c>
      <c r="L4868" t="s">
        <v>312</v>
      </c>
      <c r="M4868" t="s">
        <v>317</v>
      </c>
    </row>
    <row r="4869" spans="1:27" x14ac:dyDescent="0.3">
      <c r="A4869" t="s">
        <v>4603</v>
      </c>
      <c r="B4869" t="s">
        <v>2733</v>
      </c>
      <c r="C4869" t="s">
        <v>308</v>
      </c>
      <c r="D4869" t="s">
        <v>4611</v>
      </c>
      <c r="E4869" t="s">
        <v>341</v>
      </c>
      <c r="H4869" t="s">
        <v>25</v>
      </c>
      <c r="I4869" t="s">
        <v>342</v>
      </c>
      <c r="L4869" t="s">
        <v>312</v>
      </c>
      <c r="M4869" t="s">
        <v>343</v>
      </c>
    </row>
    <row r="4870" spans="1:27" x14ac:dyDescent="0.3">
      <c r="A4870" t="s">
        <v>4603</v>
      </c>
      <c r="B4870" t="s">
        <v>2733</v>
      </c>
      <c r="C4870" t="s">
        <v>22</v>
      </c>
      <c r="D4870" t="s">
        <v>23</v>
      </c>
      <c r="E4870" t="s">
        <v>28</v>
      </c>
    </row>
    <row r="4871" spans="1:27" x14ac:dyDescent="0.3">
      <c r="A4871" t="s">
        <v>4603</v>
      </c>
      <c r="B4871" t="s">
        <v>2733</v>
      </c>
      <c r="C4871" t="s">
        <v>2748</v>
      </c>
      <c r="D4871">
        <v>1.5</v>
      </c>
      <c r="H4871" t="s">
        <v>312</v>
      </c>
      <c r="I4871" t="s">
        <v>385</v>
      </c>
    </row>
    <row r="4872" spans="1:27" x14ac:dyDescent="0.3">
      <c r="A4872" t="s">
        <v>4603</v>
      </c>
      <c r="B4872" t="s">
        <v>2733</v>
      </c>
      <c r="C4872" t="s">
        <v>378</v>
      </c>
      <c r="D4872" s="3">
        <v>105</v>
      </c>
      <c r="H4872" t="s">
        <v>312</v>
      </c>
      <c r="I4872" t="s">
        <v>327</v>
      </c>
    </row>
    <row r="4873" spans="1:27" x14ac:dyDescent="0.3">
      <c r="A4873" t="s">
        <v>4603</v>
      </c>
      <c r="B4873" t="s">
        <v>2733</v>
      </c>
      <c r="C4873" t="s">
        <v>380</v>
      </c>
      <c r="D4873" t="s">
        <v>678</v>
      </c>
      <c r="E4873" t="s">
        <v>279</v>
      </c>
      <c r="F4873" t="s">
        <v>25</v>
      </c>
      <c r="G4873" t="s">
        <v>4612</v>
      </c>
      <c r="J4873" t="s">
        <v>2089</v>
      </c>
      <c r="K4873" t="s">
        <v>2750</v>
      </c>
      <c r="N4873" t="s">
        <v>2751</v>
      </c>
      <c r="O4873">
        <v>2</v>
      </c>
      <c r="R4873" t="s">
        <v>2752</v>
      </c>
      <c r="S4873">
        <v>158</v>
      </c>
      <c r="V4873" t="s">
        <v>2753</v>
      </c>
      <c r="W4873" t="s">
        <v>2754</v>
      </c>
      <c r="Z4873" t="s">
        <v>2755</v>
      </c>
      <c r="AA4873" t="s">
        <v>2756</v>
      </c>
    </row>
    <row r="4874" spans="1:27" x14ac:dyDescent="0.3">
      <c r="A4874" t="s">
        <v>4603</v>
      </c>
      <c r="B4874" t="s">
        <v>2733</v>
      </c>
      <c r="C4874" t="s">
        <v>16</v>
      </c>
      <c r="D4874" t="s">
        <v>236</v>
      </c>
      <c r="E4874" t="s">
        <v>37</v>
      </c>
    </row>
    <row r="4875" spans="1:27" x14ac:dyDescent="0.3">
      <c r="A4875" t="s">
        <v>4603</v>
      </c>
      <c r="B4875" t="s">
        <v>2733</v>
      </c>
      <c r="C4875" t="s">
        <v>11</v>
      </c>
      <c r="D4875" t="s">
        <v>12</v>
      </c>
      <c r="E4875" t="s">
        <v>13</v>
      </c>
      <c r="H4875" t="s">
        <v>382</v>
      </c>
      <c r="I4875" t="s">
        <v>4613</v>
      </c>
      <c r="L4875" t="s">
        <v>14</v>
      </c>
      <c r="M4875" t="s">
        <v>4613</v>
      </c>
    </row>
    <row r="4876" spans="1:27" x14ac:dyDescent="0.3">
      <c r="A4876" t="s">
        <v>4606</v>
      </c>
      <c r="B4876" t="s">
        <v>527</v>
      </c>
      <c r="C4876" t="s">
        <v>11</v>
      </c>
      <c r="D4876" t="s">
        <v>12</v>
      </c>
      <c r="E4876" t="s">
        <v>391</v>
      </c>
      <c r="H4876" t="s">
        <v>392</v>
      </c>
      <c r="I4876" t="s">
        <v>2758</v>
      </c>
      <c r="L4876" t="s">
        <v>394</v>
      </c>
      <c r="M4876" t="s">
        <v>4613</v>
      </c>
    </row>
    <row r="4877" spans="1:27" x14ac:dyDescent="0.3">
      <c r="A4877" t="s">
        <v>4605</v>
      </c>
      <c r="B4877" t="s">
        <v>2738</v>
      </c>
      <c r="C4877" t="s">
        <v>11</v>
      </c>
      <c r="D4877" t="s">
        <v>12</v>
      </c>
      <c r="E4877" t="s">
        <v>391</v>
      </c>
      <c r="H4877" t="s">
        <v>392</v>
      </c>
      <c r="I4877" t="s">
        <v>4614</v>
      </c>
      <c r="L4877" t="s">
        <v>394</v>
      </c>
      <c r="M4877" t="s">
        <v>4613</v>
      </c>
    </row>
    <row r="4878" spans="1:27" x14ac:dyDescent="0.3">
      <c r="A4878" t="s">
        <v>4604</v>
      </c>
      <c r="B4878" t="s">
        <v>2735</v>
      </c>
      <c r="C4878" t="s">
        <v>308</v>
      </c>
      <c r="D4878" t="s">
        <v>4615</v>
      </c>
      <c r="E4878" t="s">
        <v>406</v>
      </c>
      <c r="H4878" t="s">
        <v>25</v>
      </c>
      <c r="I4878" t="s">
        <v>2761</v>
      </c>
      <c r="L4878" t="s">
        <v>312</v>
      </c>
      <c r="M4878" t="s">
        <v>404</v>
      </c>
    </row>
    <row r="4879" spans="1:27" x14ac:dyDescent="0.3">
      <c r="A4879" t="s">
        <v>4615</v>
      </c>
      <c r="B4879" t="s">
        <v>406</v>
      </c>
      <c r="C4879" t="s">
        <v>11</v>
      </c>
      <c r="D4879" t="s">
        <v>12</v>
      </c>
      <c r="E4879" t="s">
        <v>391</v>
      </c>
      <c r="H4879" t="s">
        <v>392</v>
      </c>
      <c r="I4879" t="s">
        <v>4616</v>
      </c>
      <c r="L4879" t="s">
        <v>394</v>
      </c>
      <c r="M4879" t="s">
        <v>4613</v>
      </c>
    </row>
    <row r="4880" spans="1:27" x14ac:dyDescent="0.3">
      <c r="A4880" t="s">
        <v>4608</v>
      </c>
      <c r="B4880" t="s">
        <v>1138</v>
      </c>
      <c r="C4880" t="s">
        <v>11</v>
      </c>
      <c r="D4880" t="s">
        <v>12</v>
      </c>
      <c r="E4880" t="s">
        <v>391</v>
      </c>
      <c r="H4880" t="s">
        <v>392</v>
      </c>
      <c r="I4880" t="s">
        <v>4617</v>
      </c>
      <c r="L4880" t="s">
        <v>394</v>
      </c>
      <c r="M4880" t="s">
        <v>4613</v>
      </c>
    </row>
    <row r="4881" spans="1:27" x14ac:dyDescent="0.3">
      <c r="A4881" t="s">
        <v>4611</v>
      </c>
      <c r="B4881" t="s">
        <v>341</v>
      </c>
      <c r="C4881" t="s">
        <v>11</v>
      </c>
      <c r="D4881" t="s">
        <v>12</v>
      </c>
      <c r="E4881" t="s">
        <v>391</v>
      </c>
      <c r="H4881" t="s">
        <v>392</v>
      </c>
      <c r="I4881" t="s">
        <v>4618</v>
      </c>
      <c r="L4881" t="s">
        <v>394</v>
      </c>
      <c r="M4881" t="s">
        <v>4613</v>
      </c>
    </row>
    <row r="4882" spans="1:27" x14ac:dyDescent="0.3">
      <c r="A4882" t="s">
        <v>4609</v>
      </c>
      <c r="B4882" t="s">
        <v>1134</v>
      </c>
      <c r="C4882" t="s">
        <v>11</v>
      </c>
      <c r="D4882" t="s">
        <v>12</v>
      </c>
      <c r="E4882" t="s">
        <v>391</v>
      </c>
      <c r="H4882" t="s">
        <v>392</v>
      </c>
      <c r="I4882" t="s">
        <v>4619</v>
      </c>
      <c r="L4882" t="s">
        <v>394</v>
      </c>
      <c r="M4882" t="s">
        <v>4613</v>
      </c>
    </row>
    <row r="4883" spans="1:27" x14ac:dyDescent="0.3">
      <c r="A4883" t="s">
        <v>4610</v>
      </c>
      <c r="B4883" t="s">
        <v>1138</v>
      </c>
      <c r="C4883" t="s">
        <v>11</v>
      </c>
      <c r="D4883" t="s">
        <v>12</v>
      </c>
      <c r="E4883" t="s">
        <v>391</v>
      </c>
      <c r="H4883" t="s">
        <v>392</v>
      </c>
      <c r="I4883" t="s">
        <v>4620</v>
      </c>
      <c r="L4883" t="s">
        <v>394</v>
      </c>
      <c r="M4883" t="s">
        <v>4613</v>
      </c>
    </row>
    <row r="4884" spans="1:27" x14ac:dyDescent="0.3">
      <c r="A4884" t="s">
        <v>4607</v>
      </c>
      <c r="B4884" t="s">
        <v>2077</v>
      </c>
      <c r="C4884" t="s">
        <v>11</v>
      </c>
      <c r="D4884" t="s">
        <v>12</v>
      </c>
      <c r="E4884" t="s">
        <v>391</v>
      </c>
      <c r="H4884" t="s">
        <v>392</v>
      </c>
      <c r="I4884" t="s">
        <v>2128</v>
      </c>
      <c r="L4884" t="s">
        <v>394</v>
      </c>
      <c r="M4884" t="s">
        <v>4613</v>
      </c>
    </row>
    <row r="4885" spans="1:27" x14ac:dyDescent="0.3">
      <c r="A4885" t="s">
        <v>4621</v>
      </c>
      <c r="B4885" t="s">
        <v>2733</v>
      </c>
      <c r="C4885" t="s">
        <v>280</v>
      </c>
      <c r="D4885" t="s">
        <v>4622</v>
      </c>
      <c r="E4885" t="s">
        <v>2735</v>
      </c>
      <c r="H4885" t="s">
        <v>25</v>
      </c>
      <c r="I4885" t="s">
        <v>2736</v>
      </c>
    </row>
    <row r="4886" spans="1:27" x14ac:dyDescent="0.3">
      <c r="A4886" t="s">
        <v>4621</v>
      </c>
      <c r="B4886" t="s">
        <v>2733</v>
      </c>
      <c r="C4886" t="s">
        <v>308</v>
      </c>
      <c r="D4886" t="s">
        <v>4623</v>
      </c>
      <c r="E4886" t="s">
        <v>2738</v>
      </c>
      <c r="H4886" t="s">
        <v>25</v>
      </c>
      <c r="I4886" t="s">
        <v>2739</v>
      </c>
      <c r="L4886" t="s">
        <v>312</v>
      </c>
      <c r="M4886" t="s">
        <v>327</v>
      </c>
    </row>
    <row r="4887" spans="1:27" x14ac:dyDescent="0.3">
      <c r="A4887" t="s">
        <v>4621</v>
      </c>
      <c r="B4887" t="s">
        <v>2733</v>
      </c>
      <c r="C4887" t="s">
        <v>308</v>
      </c>
      <c r="D4887" t="s">
        <v>4624</v>
      </c>
      <c r="E4887" t="s">
        <v>527</v>
      </c>
      <c r="H4887" t="s">
        <v>25</v>
      </c>
      <c r="I4887" t="s">
        <v>2741</v>
      </c>
      <c r="L4887" t="s">
        <v>312</v>
      </c>
      <c r="M4887" t="s">
        <v>343</v>
      </c>
    </row>
    <row r="4888" spans="1:27" x14ac:dyDescent="0.3">
      <c r="A4888" t="s">
        <v>4621</v>
      </c>
      <c r="B4888" t="s">
        <v>2733</v>
      </c>
      <c r="C4888" t="s">
        <v>308</v>
      </c>
      <c r="D4888" t="s">
        <v>4625</v>
      </c>
      <c r="E4888" t="s">
        <v>2077</v>
      </c>
      <c r="H4888" t="s">
        <v>25</v>
      </c>
      <c r="I4888" t="s">
        <v>2078</v>
      </c>
      <c r="L4888" t="s">
        <v>312</v>
      </c>
      <c r="M4888" t="s">
        <v>1687</v>
      </c>
    </row>
    <row r="4889" spans="1:27" x14ac:dyDescent="0.3">
      <c r="A4889" t="s">
        <v>4621</v>
      </c>
      <c r="B4889" t="s">
        <v>2733</v>
      </c>
      <c r="C4889" t="s">
        <v>308</v>
      </c>
      <c r="D4889" t="s">
        <v>4626</v>
      </c>
      <c r="E4889" t="s">
        <v>1138</v>
      </c>
      <c r="H4889" t="s">
        <v>25</v>
      </c>
      <c r="I4889" t="s">
        <v>2065</v>
      </c>
      <c r="L4889" t="s">
        <v>312</v>
      </c>
      <c r="M4889" t="s">
        <v>317</v>
      </c>
    </row>
    <row r="4890" spans="1:27" x14ac:dyDescent="0.3">
      <c r="A4890" t="s">
        <v>4621</v>
      </c>
      <c r="B4890" t="s">
        <v>2733</v>
      </c>
      <c r="C4890" t="s">
        <v>308</v>
      </c>
      <c r="D4890" t="s">
        <v>4627</v>
      </c>
      <c r="E4890" t="s">
        <v>1134</v>
      </c>
      <c r="H4890" t="s">
        <v>25</v>
      </c>
      <c r="I4890" t="s">
        <v>2069</v>
      </c>
      <c r="L4890" t="s">
        <v>312</v>
      </c>
      <c r="M4890" t="s">
        <v>317</v>
      </c>
    </row>
    <row r="4891" spans="1:27" x14ac:dyDescent="0.3">
      <c r="A4891" t="s">
        <v>4621</v>
      </c>
      <c r="B4891" t="s">
        <v>2733</v>
      </c>
      <c r="C4891" t="s">
        <v>308</v>
      </c>
      <c r="D4891" t="s">
        <v>4628</v>
      </c>
      <c r="E4891" t="s">
        <v>1138</v>
      </c>
      <c r="H4891" t="s">
        <v>25</v>
      </c>
      <c r="I4891" t="s">
        <v>2746</v>
      </c>
      <c r="L4891" t="s">
        <v>312</v>
      </c>
      <c r="M4891" t="s">
        <v>317</v>
      </c>
    </row>
    <row r="4892" spans="1:27" x14ac:dyDescent="0.3">
      <c r="A4892" t="s">
        <v>4621</v>
      </c>
      <c r="B4892" t="s">
        <v>2733</v>
      </c>
      <c r="C4892" t="s">
        <v>308</v>
      </c>
      <c r="D4892" t="s">
        <v>4629</v>
      </c>
      <c r="E4892" t="s">
        <v>341</v>
      </c>
      <c r="H4892" t="s">
        <v>25</v>
      </c>
      <c r="I4892" t="s">
        <v>342</v>
      </c>
      <c r="L4892" t="s">
        <v>312</v>
      </c>
      <c r="M4892" t="s">
        <v>343</v>
      </c>
    </row>
    <row r="4893" spans="1:27" x14ac:dyDescent="0.3">
      <c r="A4893" t="s">
        <v>4621</v>
      </c>
      <c r="B4893" t="s">
        <v>2733</v>
      </c>
      <c r="C4893" t="s">
        <v>22</v>
      </c>
      <c r="D4893" t="s">
        <v>23</v>
      </c>
      <c r="E4893" t="s">
        <v>28</v>
      </c>
    </row>
    <row r="4894" spans="1:27" x14ac:dyDescent="0.3">
      <c r="A4894" t="s">
        <v>4621</v>
      </c>
      <c r="B4894" t="s">
        <v>2733</v>
      </c>
      <c r="C4894" t="s">
        <v>2748</v>
      </c>
      <c r="D4894">
        <v>1.5</v>
      </c>
      <c r="H4894" t="s">
        <v>312</v>
      </c>
      <c r="I4894" t="s">
        <v>385</v>
      </c>
    </row>
    <row r="4895" spans="1:27" x14ac:dyDescent="0.3">
      <c r="A4895" t="s">
        <v>4621</v>
      </c>
      <c r="B4895" t="s">
        <v>2733</v>
      </c>
      <c r="C4895" t="s">
        <v>378</v>
      </c>
      <c r="D4895" s="3">
        <v>105</v>
      </c>
      <c r="H4895" t="s">
        <v>312</v>
      </c>
      <c r="I4895" t="s">
        <v>327</v>
      </c>
    </row>
    <row r="4896" spans="1:27" x14ac:dyDescent="0.3">
      <c r="A4896" t="s">
        <v>4621</v>
      </c>
      <c r="B4896" t="s">
        <v>2733</v>
      </c>
      <c r="C4896" t="s">
        <v>380</v>
      </c>
      <c r="D4896" t="s">
        <v>678</v>
      </c>
      <c r="E4896" t="s">
        <v>279</v>
      </c>
      <c r="F4896" t="s">
        <v>25</v>
      </c>
      <c r="G4896" t="s">
        <v>4630</v>
      </c>
      <c r="J4896" t="s">
        <v>2089</v>
      </c>
      <c r="K4896" t="s">
        <v>2750</v>
      </c>
      <c r="N4896" t="s">
        <v>2751</v>
      </c>
      <c r="O4896">
        <v>1</v>
      </c>
      <c r="R4896" t="s">
        <v>2752</v>
      </c>
      <c r="S4896">
        <v>158</v>
      </c>
      <c r="V4896" t="s">
        <v>2753</v>
      </c>
      <c r="W4896" t="s">
        <v>2754</v>
      </c>
      <c r="Z4896" t="s">
        <v>2755</v>
      </c>
      <c r="AA4896" t="s">
        <v>2756</v>
      </c>
    </row>
    <row r="4897" spans="1:13" x14ac:dyDescent="0.3">
      <c r="A4897" t="s">
        <v>4621</v>
      </c>
      <c r="B4897" t="s">
        <v>2733</v>
      </c>
      <c r="C4897" t="s">
        <v>16</v>
      </c>
      <c r="D4897" t="s">
        <v>236</v>
      </c>
      <c r="E4897" t="s">
        <v>37</v>
      </c>
    </row>
    <row r="4898" spans="1:13" x14ac:dyDescent="0.3">
      <c r="A4898" t="s">
        <v>4621</v>
      </c>
      <c r="B4898" t="s">
        <v>2733</v>
      </c>
      <c r="C4898" t="s">
        <v>11</v>
      </c>
      <c r="D4898" t="s">
        <v>12</v>
      </c>
      <c r="E4898" t="s">
        <v>13</v>
      </c>
      <c r="H4898" t="s">
        <v>382</v>
      </c>
      <c r="I4898" t="s">
        <v>4631</v>
      </c>
      <c r="L4898" t="s">
        <v>14</v>
      </c>
      <c r="M4898" t="s">
        <v>4631</v>
      </c>
    </row>
    <row r="4899" spans="1:13" x14ac:dyDescent="0.3">
      <c r="A4899" t="s">
        <v>4624</v>
      </c>
      <c r="B4899" t="s">
        <v>527</v>
      </c>
      <c r="C4899" t="s">
        <v>11</v>
      </c>
      <c r="D4899" t="s">
        <v>12</v>
      </c>
      <c r="E4899" t="s">
        <v>391</v>
      </c>
      <c r="H4899" t="s">
        <v>392</v>
      </c>
      <c r="I4899" t="s">
        <v>2758</v>
      </c>
      <c r="L4899" t="s">
        <v>394</v>
      </c>
      <c r="M4899" t="s">
        <v>4631</v>
      </c>
    </row>
    <row r="4900" spans="1:13" x14ac:dyDescent="0.3">
      <c r="A4900" t="s">
        <v>4623</v>
      </c>
      <c r="B4900" t="s">
        <v>2738</v>
      </c>
      <c r="C4900" t="s">
        <v>11</v>
      </c>
      <c r="D4900" t="s">
        <v>12</v>
      </c>
      <c r="E4900" t="s">
        <v>391</v>
      </c>
      <c r="H4900" t="s">
        <v>392</v>
      </c>
      <c r="I4900" t="s">
        <v>4632</v>
      </c>
      <c r="L4900" t="s">
        <v>394</v>
      </c>
      <c r="M4900" t="s">
        <v>4631</v>
      </c>
    </row>
    <row r="4901" spans="1:13" x14ac:dyDescent="0.3">
      <c r="A4901" t="s">
        <v>4622</v>
      </c>
      <c r="B4901" t="s">
        <v>2735</v>
      </c>
      <c r="C4901" t="s">
        <v>308</v>
      </c>
      <c r="D4901" t="s">
        <v>4633</v>
      </c>
      <c r="E4901" t="s">
        <v>406</v>
      </c>
      <c r="H4901" t="s">
        <v>25</v>
      </c>
      <c r="I4901" t="s">
        <v>2761</v>
      </c>
      <c r="L4901" t="s">
        <v>312</v>
      </c>
      <c r="M4901" t="s">
        <v>404</v>
      </c>
    </row>
    <row r="4902" spans="1:13" x14ac:dyDescent="0.3">
      <c r="A4902" t="s">
        <v>4633</v>
      </c>
      <c r="B4902" t="s">
        <v>406</v>
      </c>
      <c r="C4902" t="s">
        <v>11</v>
      </c>
      <c r="D4902" t="s">
        <v>12</v>
      </c>
      <c r="E4902" t="s">
        <v>391</v>
      </c>
      <c r="H4902" t="s">
        <v>392</v>
      </c>
      <c r="I4902" t="s">
        <v>4634</v>
      </c>
      <c r="L4902" t="s">
        <v>394</v>
      </c>
      <c r="M4902" t="s">
        <v>4631</v>
      </c>
    </row>
    <row r="4903" spans="1:13" x14ac:dyDescent="0.3">
      <c r="A4903" t="s">
        <v>4626</v>
      </c>
      <c r="B4903" t="s">
        <v>1138</v>
      </c>
      <c r="C4903" t="s">
        <v>11</v>
      </c>
      <c r="D4903" t="s">
        <v>12</v>
      </c>
      <c r="E4903" t="s">
        <v>391</v>
      </c>
      <c r="H4903" t="s">
        <v>392</v>
      </c>
      <c r="I4903" t="s">
        <v>4635</v>
      </c>
      <c r="L4903" t="s">
        <v>394</v>
      </c>
      <c r="M4903" t="s">
        <v>4631</v>
      </c>
    </row>
    <row r="4904" spans="1:13" x14ac:dyDescent="0.3">
      <c r="A4904" t="s">
        <v>4629</v>
      </c>
      <c r="B4904" t="s">
        <v>341</v>
      </c>
      <c r="C4904" t="s">
        <v>11</v>
      </c>
      <c r="D4904" t="s">
        <v>12</v>
      </c>
      <c r="E4904" t="s">
        <v>391</v>
      </c>
      <c r="H4904" t="s">
        <v>392</v>
      </c>
      <c r="I4904" t="s">
        <v>4636</v>
      </c>
      <c r="L4904" t="s">
        <v>394</v>
      </c>
      <c r="M4904" t="s">
        <v>4631</v>
      </c>
    </row>
    <row r="4905" spans="1:13" x14ac:dyDescent="0.3">
      <c r="A4905" t="s">
        <v>4627</v>
      </c>
      <c r="B4905" t="s">
        <v>1134</v>
      </c>
      <c r="C4905" t="s">
        <v>11</v>
      </c>
      <c r="D4905" t="s">
        <v>12</v>
      </c>
      <c r="E4905" t="s">
        <v>391</v>
      </c>
      <c r="H4905" t="s">
        <v>392</v>
      </c>
      <c r="I4905" t="s">
        <v>4637</v>
      </c>
      <c r="L4905" t="s">
        <v>394</v>
      </c>
      <c r="M4905" t="s">
        <v>4631</v>
      </c>
    </row>
    <row r="4906" spans="1:13" x14ac:dyDescent="0.3">
      <c r="A4906" t="s">
        <v>4628</v>
      </c>
      <c r="B4906" t="s">
        <v>1138</v>
      </c>
      <c r="C4906" t="s">
        <v>11</v>
      </c>
      <c r="D4906" t="s">
        <v>12</v>
      </c>
      <c r="E4906" t="s">
        <v>391</v>
      </c>
      <c r="H4906" t="s">
        <v>392</v>
      </c>
      <c r="I4906" t="s">
        <v>4638</v>
      </c>
      <c r="L4906" t="s">
        <v>394</v>
      </c>
      <c r="M4906" t="s">
        <v>4631</v>
      </c>
    </row>
    <row r="4907" spans="1:13" x14ac:dyDescent="0.3">
      <c r="A4907" t="s">
        <v>4625</v>
      </c>
      <c r="B4907" t="s">
        <v>2077</v>
      </c>
      <c r="C4907" t="s">
        <v>11</v>
      </c>
      <c r="D4907" t="s">
        <v>12</v>
      </c>
      <c r="E4907" t="s">
        <v>391</v>
      </c>
      <c r="H4907" t="s">
        <v>392</v>
      </c>
      <c r="I4907" t="s">
        <v>2128</v>
      </c>
      <c r="L4907" t="s">
        <v>394</v>
      </c>
      <c r="M4907" t="s">
        <v>4631</v>
      </c>
    </row>
    <row r="4908" spans="1:13" x14ac:dyDescent="0.3">
      <c r="A4908" t="s">
        <v>4639</v>
      </c>
      <c r="B4908" t="s">
        <v>2733</v>
      </c>
      <c r="C4908" t="s">
        <v>280</v>
      </c>
      <c r="D4908" t="s">
        <v>4640</v>
      </c>
      <c r="E4908" t="s">
        <v>2735</v>
      </c>
      <c r="H4908" t="s">
        <v>25</v>
      </c>
      <c r="I4908" t="s">
        <v>2736</v>
      </c>
    </row>
    <row r="4909" spans="1:13" x14ac:dyDescent="0.3">
      <c r="A4909" t="s">
        <v>4639</v>
      </c>
      <c r="B4909" t="s">
        <v>2733</v>
      </c>
      <c r="C4909" t="s">
        <v>308</v>
      </c>
      <c r="D4909" t="s">
        <v>4641</v>
      </c>
      <c r="E4909" t="s">
        <v>2738</v>
      </c>
      <c r="H4909" t="s">
        <v>25</v>
      </c>
      <c r="I4909" t="s">
        <v>2739</v>
      </c>
      <c r="L4909" t="s">
        <v>312</v>
      </c>
      <c r="M4909" t="s">
        <v>327</v>
      </c>
    </row>
    <row r="4910" spans="1:13" x14ac:dyDescent="0.3">
      <c r="A4910" t="s">
        <v>4639</v>
      </c>
      <c r="B4910" t="s">
        <v>2733</v>
      </c>
      <c r="C4910" t="s">
        <v>308</v>
      </c>
      <c r="D4910" t="s">
        <v>4642</v>
      </c>
      <c r="E4910" t="s">
        <v>527</v>
      </c>
      <c r="H4910" t="s">
        <v>25</v>
      </c>
      <c r="I4910" t="s">
        <v>2741</v>
      </c>
      <c r="L4910" t="s">
        <v>312</v>
      </c>
      <c r="M4910" t="s">
        <v>343</v>
      </c>
    </row>
    <row r="4911" spans="1:13" x14ac:dyDescent="0.3">
      <c r="A4911" t="s">
        <v>4639</v>
      </c>
      <c r="B4911" t="s">
        <v>2733</v>
      </c>
      <c r="C4911" t="s">
        <v>308</v>
      </c>
      <c r="D4911" t="s">
        <v>4643</v>
      </c>
      <c r="E4911" t="s">
        <v>2077</v>
      </c>
      <c r="H4911" t="s">
        <v>25</v>
      </c>
      <c r="I4911" t="s">
        <v>2078</v>
      </c>
      <c r="L4911" t="s">
        <v>312</v>
      </c>
      <c r="M4911" t="s">
        <v>1687</v>
      </c>
    </row>
    <row r="4912" spans="1:13" x14ac:dyDescent="0.3">
      <c r="A4912" t="s">
        <v>4639</v>
      </c>
      <c r="B4912" t="s">
        <v>2733</v>
      </c>
      <c r="C4912" t="s">
        <v>308</v>
      </c>
      <c r="D4912" t="s">
        <v>4644</v>
      </c>
      <c r="E4912" t="s">
        <v>1138</v>
      </c>
      <c r="H4912" t="s">
        <v>25</v>
      </c>
      <c r="I4912" t="s">
        <v>2065</v>
      </c>
      <c r="L4912" t="s">
        <v>312</v>
      </c>
      <c r="M4912" t="s">
        <v>317</v>
      </c>
    </row>
    <row r="4913" spans="1:27" x14ac:dyDescent="0.3">
      <c r="A4913" t="s">
        <v>4639</v>
      </c>
      <c r="B4913" t="s">
        <v>2733</v>
      </c>
      <c r="C4913" t="s">
        <v>308</v>
      </c>
      <c r="D4913" t="s">
        <v>4645</v>
      </c>
      <c r="E4913" t="s">
        <v>1134</v>
      </c>
      <c r="H4913" t="s">
        <v>25</v>
      </c>
      <c r="I4913" t="s">
        <v>2069</v>
      </c>
      <c r="L4913" t="s">
        <v>312</v>
      </c>
      <c r="M4913" t="s">
        <v>317</v>
      </c>
    </row>
    <row r="4914" spans="1:27" x14ac:dyDescent="0.3">
      <c r="A4914" t="s">
        <v>4639</v>
      </c>
      <c r="B4914" t="s">
        <v>2733</v>
      </c>
      <c r="C4914" t="s">
        <v>308</v>
      </c>
      <c r="D4914" t="s">
        <v>4646</v>
      </c>
      <c r="E4914" t="s">
        <v>1138</v>
      </c>
      <c r="H4914" t="s">
        <v>25</v>
      </c>
      <c r="I4914" t="s">
        <v>2746</v>
      </c>
      <c r="L4914" t="s">
        <v>312</v>
      </c>
      <c r="M4914" t="s">
        <v>317</v>
      </c>
    </row>
    <row r="4915" spans="1:27" x14ac:dyDescent="0.3">
      <c r="A4915" t="s">
        <v>4639</v>
      </c>
      <c r="B4915" t="s">
        <v>2733</v>
      </c>
      <c r="C4915" t="s">
        <v>308</v>
      </c>
      <c r="D4915" t="s">
        <v>4647</v>
      </c>
      <c r="E4915" t="s">
        <v>341</v>
      </c>
      <c r="H4915" t="s">
        <v>25</v>
      </c>
      <c r="I4915" t="s">
        <v>342</v>
      </c>
      <c r="L4915" t="s">
        <v>312</v>
      </c>
      <c r="M4915" t="s">
        <v>343</v>
      </c>
    </row>
    <row r="4916" spans="1:27" x14ac:dyDescent="0.3">
      <c r="A4916" t="s">
        <v>4639</v>
      </c>
      <c r="B4916" t="s">
        <v>2733</v>
      </c>
      <c r="C4916" t="s">
        <v>22</v>
      </c>
      <c r="D4916" t="s">
        <v>23</v>
      </c>
      <c r="E4916" t="s">
        <v>28</v>
      </c>
    </row>
    <row r="4917" spans="1:27" x14ac:dyDescent="0.3">
      <c r="A4917" t="s">
        <v>4639</v>
      </c>
      <c r="B4917" t="s">
        <v>2733</v>
      </c>
      <c r="C4917" t="s">
        <v>2748</v>
      </c>
      <c r="D4917">
        <v>1.5</v>
      </c>
      <c r="H4917" t="s">
        <v>312</v>
      </c>
      <c r="I4917" t="s">
        <v>385</v>
      </c>
    </row>
    <row r="4918" spans="1:27" x14ac:dyDescent="0.3">
      <c r="A4918" t="s">
        <v>4639</v>
      </c>
      <c r="B4918" t="s">
        <v>2733</v>
      </c>
      <c r="C4918" t="s">
        <v>378</v>
      </c>
      <c r="D4918" s="3">
        <v>105</v>
      </c>
      <c r="H4918" t="s">
        <v>312</v>
      </c>
      <c r="I4918" t="s">
        <v>327</v>
      </c>
    </row>
    <row r="4919" spans="1:27" x14ac:dyDescent="0.3">
      <c r="A4919" t="s">
        <v>4639</v>
      </c>
      <c r="B4919" t="s">
        <v>2733</v>
      </c>
      <c r="C4919" t="s">
        <v>380</v>
      </c>
      <c r="D4919" t="s">
        <v>554</v>
      </c>
      <c r="E4919" t="s">
        <v>279</v>
      </c>
      <c r="F4919" t="s">
        <v>25</v>
      </c>
      <c r="G4919" t="s">
        <v>4648</v>
      </c>
      <c r="J4919" t="s">
        <v>2089</v>
      </c>
      <c r="K4919" t="s">
        <v>2750</v>
      </c>
      <c r="N4919" t="s">
        <v>2751</v>
      </c>
      <c r="O4919">
        <v>2</v>
      </c>
      <c r="R4919" t="s">
        <v>2752</v>
      </c>
      <c r="S4919">
        <v>158</v>
      </c>
      <c r="V4919" t="s">
        <v>2753</v>
      </c>
      <c r="W4919" t="s">
        <v>2754</v>
      </c>
      <c r="Z4919" t="s">
        <v>2755</v>
      </c>
      <c r="AA4919" t="s">
        <v>2756</v>
      </c>
    </row>
    <row r="4920" spans="1:27" x14ac:dyDescent="0.3">
      <c r="A4920" t="s">
        <v>4639</v>
      </c>
      <c r="B4920" t="s">
        <v>2733</v>
      </c>
      <c r="C4920" t="s">
        <v>16</v>
      </c>
      <c r="D4920" t="s">
        <v>252</v>
      </c>
      <c r="E4920" t="s">
        <v>37</v>
      </c>
    </row>
    <row r="4921" spans="1:27" x14ac:dyDescent="0.3">
      <c r="A4921" t="s">
        <v>4639</v>
      </c>
      <c r="B4921" t="s">
        <v>2733</v>
      </c>
      <c r="C4921" t="s">
        <v>11</v>
      </c>
      <c r="D4921" t="s">
        <v>12</v>
      </c>
      <c r="E4921" t="s">
        <v>13</v>
      </c>
      <c r="H4921" t="s">
        <v>382</v>
      </c>
      <c r="I4921" t="s">
        <v>4649</v>
      </c>
      <c r="L4921" t="s">
        <v>14</v>
      </c>
      <c r="M4921" t="s">
        <v>4649</v>
      </c>
    </row>
    <row r="4922" spans="1:27" x14ac:dyDescent="0.3">
      <c r="A4922" t="s">
        <v>4642</v>
      </c>
      <c r="B4922" t="s">
        <v>527</v>
      </c>
      <c r="C4922" t="s">
        <v>11</v>
      </c>
      <c r="D4922" t="s">
        <v>12</v>
      </c>
      <c r="E4922" t="s">
        <v>391</v>
      </c>
      <c r="H4922" t="s">
        <v>392</v>
      </c>
      <c r="I4922" t="s">
        <v>2758</v>
      </c>
      <c r="L4922" t="s">
        <v>394</v>
      </c>
      <c r="M4922" t="s">
        <v>4649</v>
      </c>
    </row>
    <row r="4923" spans="1:27" x14ac:dyDescent="0.3">
      <c r="A4923" t="s">
        <v>4641</v>
      </c>
      <c r="B4923" t="s">
        <v>2738</v>
      </c>
      <c r="C4923" t="s">
        <v>11</v>
      </c>
      <c r="D4923" t="s">
        <v>12</v>
      </c>
      <c r="E4923" t="s">
        <v>391</v>
      </c>
      <c r="H4923" t="s">
        <v>392</v>
      </c>
      <c r="I4923" t="s">
        <v>4650</v>
      </c>
      <c r="L4923" t="s">
        <v>394</v>
      </c>
      <c r="M4923" t="s">
        <v>4649</v>
      </c>
    </row>
    <row r="4924" spans="1:27" x14ac:dyDescent="0.3">
      <c r="A4924" t="s">
        <v>4640</v>
      </c>
      <c r="B4924" t="s">
        <v>2735</v>
      </c>
      <c r="C4924" t="s">
        <v>308</v>
      </c>
      <c r="D4924" t="s">
        <v>4651</v>
      </c>
      <c r="E4924" t="s">
        <v>406</v>
      </c>
      <c r="H4924" t="s">
        <v>25</v>
      </c>
      <c r="I4924" t="s">
        <v>2761</v>
      </c>
      <c r="L4924" t="s">
        <v>312</v>
      </c>
      <c r="M4924" t="s">
        <v>404</v>
      </c>
    </row>
    <row r="4925" spans="1:27" x14ac:dyDescent="0.3">
      <c r="A4925" t="s">
        <v>4651</v>
      </c>
      <c r="B4925" t="s">
        <v>406</v>
      </c>
      <c r="C4925" t="s">
        <v>11</v>
      </c>
      <c r="D4925" t="s">
        <v>12</v>
      </c>
      <c r="E4925" t="s">
        <v>391</v>
      </c>
      <c r="H4925" t="s">
        <v>392</v>
      </c>
      <c r="I4925" t="s">
        <v>4652</v>
      </c>
      <c r="L4925" t="s">
        <v>394</v>
      </c>
      <c r="M4925" t="s">
        <v>4649</v>
      </c>
    </row>
    <row r="4926" spans="1:27" x14ac:dyDescent="0.3">
      <c r="A4926" t="s">
        <v>4644</v>
      </c>
      <c r="B4926" t="s">
        <v>1138</v>
      </c>
      <c r="C4926" t="s">
        <v>11</v>
      </c>
      <c r="D4926" t="s">
        <v>12</v>
      </c>
      <c r="E4926" t="s">
        <v>391</v>
      </c>
      <c r="H4926" t="s">
        <v>392</v>
      </c>
      <c r="I4926" t="s">
        <v>4653</v>
      </c>
      <c r="L4926" t="s">
        <v>394</v>
      </c>
      <c r="M4926" t="s">
        <v>4649</v>
      </c>
    </row>
    <row r="4927" spans="1:27" x14ac:dyDescent="0.3">
      <c r="A4927" t="s">
        <v>4647</v>
      </c>
      <c r="B4927" t="s">
        <v>341</v>
      </c>
      <c r="C4927" t="s">
        <v>11</v>
      </c>
      <c r="D4927" t="s">
        <v>12</v>
      </c>
      <c r="E4927" t="s">
        <v>391</v>
      </c>
      <c r="H4927" t="s">
        <v>392</v>
      </c>
      <c r="I4927" t="s">
        <v>4654</v>
      </c>
      <c r="L4927" t="s">
        <v>394</v>
      </c>
      <c r="M4927" t="s">
        <v>4649</v>
      </c>
    </row>
    <row r="4928" spans="1:27" x14ac:dyDescent="0.3">
      <c r="A4928" t="s">
        <v>4645</v>
      </c>
      <c r="B4928" t="s">
        <v>1134</v>
      </c>
      <c r="C4928" t="s">
        <v>11</v>
      </c>
      <c r="D4928" t="s">
        <v>12</v>
      </c>
      <c r="E4928" t="s">
        <v>391</v>
      </c>
      <c r="H4928" t="s">
        <v>392</v>
      </c>
      <c r="I4928" t="s">
        <v>4655</v>
      </c>
      <c r="L4928" t="s">
        <v>394</v>
      </c>
      <c r="M4928" t="s">
        <v>4649</v>
      </c>
    </row>
    <row r="4929" spans="1:27" x14ac:dyDescent="0.3">
      <c r="A4929" t="s">
        <v>4646</v>
      </c>
      <c r="B4929" t="s">
        <v>1138</v>
      </c>
      <c r="C4929" t="s">
        <v>11</v>
      </c>
      <c r="D4929" t="s">
        <v>12</v>
      </c>
      <c r="E4929" t="s">
        <v>391</v>
      </c>
      <c r="H4929" t="s">
        <v>392</v>
      </c>
      <c r="I4929" t="s">
        <v>4656</v>
      </c>
      <c r="L4929" t="s">
        <v>394</v>
      </c>
      <c r="M4929" t="s">
        <v>4649</v>
      </c>
    </row>
    <row r="4930" spans="1:27" x14ac:dyDescent="0.3">
      <c r="A4930" t="s">
        <v>4643</v>
      </c>
      <c r="B4930" t="s">
        <v>2077</v>
      </c>
      <c r="C4930" t="s">
        <v>11</v>
      </c>
      <c r="D4930" t="s">
        <v>12</v>
      </c>
      <c r="E4930" t="s">
        <v>391</v>
      </c>
      <c r="H4930" t="s">
        <v>392</v>
      </c>
      <c r="I4930" t="s">
        <v>2128</v>
      </c>
      <c r="L4930" t="s">
        <v>394</v>
      </c>
      <c r="M4930" t="s">
        <v>4649</v>
      </c>
    </row>
    <row r="4931" spans="1:27" x14ac:dyDescent="0.3">
      <c r="A4931" t="s">
        <v>4657</v>
      </c>
      <c r="B4931" t="s">
        <v>2733</v>
      </c>
      <c r="C4931" t="s">
        <v>280</v>
      </c>
      <c r="D4931" t="s">
        <v>4658</v>
      </c>
      <c r="E4931" t="s">
        <v>2735</v>
      </c>
      <c r="H4931" t="s">
        <v>25</v>
      </c>
      <c r="I4931" t="s">
        <v>2736</v>
      </c>
    </row>
    <row r="4932" spans="1:27" x14ac:dyDescent="0.3">
      <c r="A4932" t="s">
        <v>4657</v>
      </c>
      <c r="B4932" t="s">
        <v>2733</v>
      </c>
      <c r="C4932" t="s">
        <v>308</v>
      </c>
      <c r="D4932" t="s">
        <v>4659</v>
      </c>
      <c r="E4932" t="s">
        <v>2738</v>
      </c>
      <c r="H4932" t="s">
        <v>25</v>
      </c>
      <c r="I4932" t="s">
        <v>2739</v>
      </c>
      <c r="L4932" t="s">
        <v>312</v>
      </c>
      <c r="M4932" t="s">
        <v>327</v>
      </c>
    </row>
    <row r="4933" spans="1:27" x14ac:dyDescent="0.3">
      <c r="A4933" t="s">
        <v>4657</v>
      </c>
      <c r="B4933" t="s">
        <v>2733</v>
      </c>
      <c r="C4933" t="s">
        <v>308</v>
      </c>
      <c r="D4933" t="s">
        <v>4660</v>
      </c>
      <c r="E4933" t="s">
        <v>527</v>
      </c>
      <c r="H4933" t="s">
        <v>25</v>
      </c>
      <c r="I4933" t="s">
        <v>2741</v>
      </c>
      <c r="L4933" t="s">
        <v>312</v>
      </c>
      <c r="M4933" t="s">
        <v>343</v>
      </c>
    </row>
    <row r="4934" spans="1:27" x14ac:dyDescent="0.3">
      <c r="A4934" t="s">
        <v>4657</v>
      </c>
      <c r="B4934" t="s">
        <v>2733</v>
      </c>
      <c r="C4934" t="s">
        <v>308</v>
      </c>
      <c r="D4934" t="s">
        <v>4661</v>
      </c>
      <c r="E4934" t="s">
        <v>2077</v>
      </c>
      <c r="H4934" t="s">
        <v>25</v>
      </c>
      <c r="I4934" t="s">
        <v>2078</v>
      </c>
      <c r="L4934" t="s">
        <v>312</v>
      </c>
      <c r="M4934" t="s">
        <v>1687</v>
      </c>
    </row>
    <row r="4935" spans="1:27" x14ac:dyDescent="0.3">
      <c r="A4935" t="s">
        <v>4657</v>
      </c>
      <c r="B4935" t="s">
        <v>2733</v>
      </c>
      <c r="C4935" t="s">
        <v>308</v>
      </c>
      <c r="D4935" t="s">
        <v>4662</v>
      </c>
      <c r="E4935" t="s">
        <v>1138</v>
      </c>
      <c r="H4935" t="s">
        <v>25</v>
      </c>
      <c r="I4935" t="s">
        <v>2065</v>
      </c>
      <c r="L4935" t="s">
        <v>312</v>
      </c>
      <c r="M4935" t="s">
        <v>317</v>
      </c>
    </row>
    <row r="4936" spans="1:27" x14ac:dyDescent="0.3">
      <c r="A4936" t="s">
        <v>4657</v>
      </c>
      <c r="B4936" t="s">
        <v>2733</v>
      </c>
      <c r="C4936" t="s">
        <v>308</v>
      </c>
      <c r="D4936" t="s">
        <v>4663</v>
      </c>
      <c r="E4936" t="s">
        <v>1134</v>
      </c>
      <c r="H4936" t="s">
        <v>25</v>
      </c>
      <c r="I4936" t="s">
        <v>2069</v>
      </c>
      <c r="L4936" t="s">
        <v>312</v>
      </c>
      <c r="M4936" t="s">
        <v>317</v>
      </c>
    </row>
    <row r="4937" spans="1:27" x14ac:dyDescent="0.3">
      <c r="A4937" t="s">
        <v>4657</v>
      </c>
      <c r="B4937" t="s">
        <v>2733</v>
      </c>
      <c r="C4937" t="s">
        <v>308</v>
      </c>
      <c r="D4937" t="s">
        <v>4664</v>
      </c>
      <c r="E4937" t="s">
        <v>1138</v>
      </c>
      <c r="H4937" t="s">
        <v>25</v>
      </c>
      <c r="I4937" t="s">
        <v>2746</v>
      </c>
      <c r="L4937" t="s">
        <v>312</v>
      </c>
      <c r="M4937" t="s">
        <v>317</v>
      </c>
    </row>
    <row r="4938" spans="1:27" x14ac:dyDescent="0.3">
      <c r="A4938" t="s">
        <v>4657</v>
      </c>
      <c r="B4938" t="s">
        <v>2733</v>
      </c>
      <c r="C4938" t="s">
        <v>308</v>
      </c>
      <c r="D4938" t="s">
        <v>4665</v>
      </c>
      <c r="E4938" t="s">
        <v>341</v>
      </c>
      <c r="H4938" t="s">
        <v>25</v>
      </c>
      <c r="I4938" t="s">
        <v>342</v>
      </c>
      <c r="L4938" t="s">
        <v>312</v>
      </c>
      <c r="M4938" t="s">
        <v>343</v>
      </c>
    </row>
    <row r="4939" spans="1:27" x14ac:dyDescent="0.3">
      <c r="A4939" t="s">
        <v>4657</v>
      </c>
      <c r="B4939" t="s">
        <v>2733</v>
      </c>
      <c r="C4939" t="s">
        <v>22</v>
      </c>
      <c r="D4939" t="s">
        <v>23</v>
      </c>
      <c r="E4939" t="s">
        <v>28</v>
      </c>
    </row>
    <row r="4940" spans="1:27" x14ac:dyDescent="0.3">
      <c r="A4940" t="s">
        <v>4657</v>
      </c>
      <c r="B4940" t="s">
        <v>2733</v>
      </c>
      <c r="C4940" t="s">
        <v>2748</v>
      </c>
      <c r="D4940">
        <v>1.5</v>
      </c>
      <c r="H4940" t="s">
        <v>312</v>
      </c>
      <c r="I4940" t="s">
        <v>385</v>
      </c>
    </row>
    <row r="4941" spans="1:27" x14ac:dyDescent="0.3">
      <c r="A4941" t="s">
        <v>4657</v>
      </c>
      <c r="B4941" t="s">
        <v>2733</v>
      </c>
      <c r="C4941" t="s">
        <v>378</v>
      </c>
      <c r="D4941" s="3">
        <v>105</v>
      </c>
      <c r="H4941" t="s">
        <v>312</v>
      </c>
      <c r="I4941" t="s">
        <v>327</v>
      </c>
    </row>
    <row r="4942" spans="1:27" x14ac:dyDescent="0.3">
      <c r="A4942" t="s">
        <v>4657</v>
      </c>
      <c r="B4942" t="s">
        <v>2733</v>
      </c>
      <c r="C4942" t="s">
        <v>380</v>
      </c>
      <c r="D4942" t="s">
        <v>678</v>
      </c>
      <c r="E4942" t="s">
        <v>279</v>
      </c>
      <c r="F4942" t="s">
        <v>25</v>
      </c>
      <c r="G4942" t="s">
        <v>4666</v>
      </c>
      <c r="J4942" t="s">
        <v>2089</v>
      </c>
      <c r="K4942" t="s">
        <v>2750</v>
      </c>
      <c r="N4942" t="s">
        <v>2751</v>
      </c>
      <c r="O4942">
        <v>1</v>
      </c>
      <c r="R4942" t="s">
        <v>2752</v>
      </c>
      <c r="S4942">
        <v>158</v>
      </c>
      <c r="V4942" t="s">
        <v>2753</v>
      </c>
      <c r="W4942" t="s">
        <v>2754</v>
      </c>
      <c r="Z4942" t="s">
        <v>2755</v>
      </c>
      <c r="AA4942" t="s">
        <v>2756</v>
      </c>
    </row>
    <row r="4943" spans="1:27" x14ac:dyDescent="0.3">
      <c r="A4943" t="s">
        <v>4657</v>
      </c>
      <c r="B4943" t="s">
        <v>2733</v>
      </c>
      <c r="C4943" t="s">
        <v>16</v>
      </c>
      <c r="D4943" t="s">
        <v>172</v>
      </c>
      <c r="E4943" t="s">
        <v>37</v>
      </c>
    </row>
    <row r="4944" spans="1:27" x14ac:dyDescent="0.3">
      <c r="A4944" t="s">
        <v>4657</v>
      </c>
      <c r="B4944" t="s">
        <v>2733</v>
      </c>
      <c r="C4944" t="s">
        <v>11</v>
      </c>
      <c r="D4944" t="s">
        <v>12</v>
      </c>
      <c r="E4944" t="s">
        <v>13</v>
      </c>
      <c r="H4944" t="s">
        <v>382</v>
      </c>
      <c r="I4944" t="s">
        <v>4667</v>
      </c>
      <c r="L4944" t="s">
        <v>14</v>
      </c>
      <c r="M4944" t="s">
        <v>4667</v>
      </c>
    </row>
    <row r="4945" spans="1:13" x14ac:dyDescent="0.3">
      <c r="A4945" t="s">
        <v>4660</v>
      </c>
      <c r="B4945" t="s">
        <v>527</v>
      </c>
      <c r="C4945" t="s">
        <v>11</v>
      </c>
      <c r="D4945" t="s">
        <v>12</v>
      </c>
      <c r="E4945" t="s">
        <v>391</v>
      </c>
      <c r="H4945" t="s">
        <v>392</v>
      </c>
      <c r="I4945" t="s">
        <v>2758</v>
      </c>
      <c r="L4945" t="s">
        <v>394</v>
      </c>
      <c r="M4945" t="s">
        <v>4667</v>
      </c>
    </row>
    <row r="4946" spans="1:13" x14ac:dyDescent="0.3">
      <c r="A4946" t="s">
        <v>4659</v>
      </c>
      <c r="B4946" t="s">
        <v>2738</v>
      </c>
      <c r="C4946" t="s">
        <v>11</v>
      </c>
      <c r="D4946" t="s">
        <v>12</v>
      </c>
      <c r="E4946" t="s">
        <v>391</v>
      </c>
      <c r="H4946" t="s">
        <v>392</v>
      </c>
      <c r="I4946" t="s">
        <v>4668</v>
      </c>
      <c r="L4946" t="s">
        <v>394</v>
      </c>
      <c r="M4946" t="s">
        <v>4667</v>
      </c>
    </row>
    <row r="4947" spans="1:13" x14ac:dyDescent="0.3">
      <c r="A4947" t="s">
        <v>4658</v>
      </c>
      <c r="B4947" t="s">
        <v>2735</v>
      </c>
      <c r="C4947" t="s">
        <v>308</v>
      </c>
      <c r="D4947" t="s">
        <v>4669</v>
      </c>
      <c r="E4947" t="s">
        <v>406</v>
      </c>
      <c r="H4947" t="s">
        <v>25</v>
      </c>
      <c r="I4947" t="s">
        <v>2761</v>
      </c>
      <c r="L4947" t="s">
        <v>312</v>
      </c>
      <c r="M4947" t="s">
        <v>404</v>
      </c>
    </row>
    <row r="4948" spans="1:13" x14ac:dyDescent="0.3">
      <c r="A4948" t="s">
        <v>4669</v>
      </c>
      <c r="B4948" t="s">
        <v>406</v>
      </c>
      <c r="C4948" t="s">
        <v>11</v>
      </c>
      <c r="D4948" t="s">
        <v>12</v>
      </c>
      <c r="E4948" t="s">
        <v>391</v>
      </c>
      <c r="H4948" t="s">
        <v>392</v>
      </c>
      <c r="I4948" t="s">
        <v>4670</v>
      </c>
      <c r="L4948" t="s">
        <v>394</v>
      </c>
      <c r="M4948" t="s">
        <v>4667</v>
      </c>
    </row>
    <row r="4949" spans="1:13" x14ac:dyDescent="0.3">
      <c r="A4949" t="s">
        <v>4662</v>
      </c>
      <c r="B4949" t="s">
        <v>1138</v>
      </c>
      <c r="C4949" t="s">
        <v>11</v>
      </c>
      <c r="D4949" t="s">
        <v>12</v>
      </c>
      <c r="E4949" t="s">
        <v>391</v>
      </c>
      <c r="H4949" t="s">
        <v>392</v>
      </c>
      <c r="I4949" t="s">
        <v>4671</v>
      </c>
      <c r="L4949" t="s">
        <v>394</v>
      </c>
      <c r="M4949" t="s">
        <v>4667</v>
      </c>
    </row>
    <row r="4950" spans="1:13" x14ac:dyDescent="0.3">
      <c r="A4950" t="s">
        <v>4665</v>
      </c>
      <c r="B4950" t="s">
        <v>341</v>
      </c>
      <c r="C4950" t="s">
        <v>11</v>
      </c>
      <c r="D4950" t="s">
        <v>12</v>
      </c>
      <c r="E4950" t="s">
        <v>391</v>
      </c>
      <c r="H4950" t="s">
        <v>392</v>
      </c>
      <c r="I4950" t="s">
        <v>4672</v>
      </c>
      <c r="L4950" t="s">
        <v>394</v>
      </c>
      <c r="M4950" t="s">
        <v>4667</v>
      </c>
    </row>
    <row r="4951" spans="1:13" x14ac:dyDescent="0.3">
      <c r="A4951" t="s">
        <v>4663</v>
      </c>
      <c r="B4951" t="s">
        <v>1134</v>
      </c>
      <c r="C4951" t="s">
        <v>11</v>
      </c>
      <c r="D4951" t="s">
        <v>12</v>
      </c>
      <c r="E4951" t="s">
        <v>391</v>
      </c>
      <c r="H4951" t="s">
        <v>392</v>
      </c>
      <c r="I4951" t="s">
        <v>4673</v>
      </c>
      <c r="L4951" t="s">
        <v>394</v>
      </c>
      <c r="M4951" t="s">
        <v>4667</v>
      </c>
    </row>
    <row r="4952" spans="1:13" x14ac:dyDescent="0.3">
      <c r="A4952" t="s">
        <v>4664</v>
      </c>
      <c r="B4952" t="s">
        <v>1138</v>
      </c>
      <c r="C4952" t="s">
        <v>11</v>
      </c>
      <c r="D4952" t="s">
        <v>12</v>
      </c>
      <c r="E4952" t="s">
        <v>391</v>
      </c>
      <c r="H4952" t="s">
        <v>392</v>
      </c>
      <c r="I4952" t="s">
        <v>4674</v>
      </c>
      <c r="L4952" t="s">
        <v>394</v>
      </c>
      <c r="M4952" t="s">
        <v>4667</v>
      </c>
    </row>
    <row r="4953" spans="1:13" x14ac:dyDescent="0.3">
      <c r="A4953" t="s">
        <v>4661</v>
      </c>
      <c r="B4953" t="s">
        <v>2077</v>
      </c>
      <c r="C4953" t="s">
        <v>11</v>
      </c>
      <c r="D4953" t="s">
        <v>12</v>
      </c>
      <c r="E4953" t="s">
        <v>391</v>
      </c>
      <c r="H4953" t="s">
        <v>392</v>
      </c>
      <c r="I4953" t="s">
        <v>2128</v>
      </c>
      <c r="L4953" t="s">
        <v>394</v>
      </c>
      <c r="M4953" t="s">
        <v>4667</v>
      </c>
    </row>
    <row r="4954" spans="1:13" x14ac:dyDescent="0.3">
      <c r="A4954" t="s">
        <v>4675</v>
      </c>
      <c r="B4954" t="s">
        <v>2733</v>
      </c>
      <c r="C4954" t="s">
        <v>280</v>
      </c>
      <c r="D4954" t="s">
        <v>4676</v>
      </c>
      <c r="E4954" t="s">
        <v>2735</v>
      </c>
      <c r="H4954" t="s">
        <v>25</v>
      </c>
      <c r="I4954" t="s">
        <v>2736</v>
      </c>
    </row>
    <row r="4955" spans="1:13" x14ac:dyDescent="0.3">
      <c r="A4955" t="s">
        <v>4675</v>
      </c>
      <c r="B4955" t="s">
        <v>2733</v>
      </c>
      <c r="C4955" t="s">
        <v>308</v>
      </c>
      <c r="D4955" t="s">
        <v>4677</v>
      </c>
      <c r="E4955" t="s">
        <v>2738</v>
      </c>
      <c r="H4955" t="s">
        <v>25</v>
      </c>
      <c r="I4955" t="s">
        <v>2739</v>
      </c>
      <c r="L4955" t="s">
        <v>312</v>
      </c>
      <c r="M4955" t="s">
        <v>327</v>
      </c>
    </row>
    <row r="4956" spans="1:13" x14ac:dyDescent="0.3">
      <c r="A4956" t="s">
        <v>4675</v>
      </c>
      <c r="B4956" t="s">
        <v>2733</v>
      </c>
      <c r="C4956" t="s">
        <v>308</v>
      </c>
      <c r="D4956" t="s">
        <v>4678</v>
      </c>
      <c r="E4956" t="s">
        <v>527</v>
      </c>
      <c r="H4956" t="s">
        <v>25</v>
      </c>
      <c r="I4956" t="s">
        <v>2741</v>
      </c>
      <c r="L4956" t="s">
        <v>312</v>
      </c>
      <c r="M4956" t="s">
        <v>343</v>
      </c>
    </row>
    <row r="4957" spans="1:13" x14ac:dyDescent="0.3">
      <c r="A4957" t="s">
        <v>4675</v>
      </c>
      <c r="B4957" t="s">
        <v>2733</v>
      </c>
      <c r="C4957" t="s">
        <v>308</v>
      </c>
      <c r="D4957" t="s">
        <v>4679</v>
      </c>
      <c r="E4957" t="s">
        <v>2077</v>
      </c>
      <c r="H4957" t="s">
        <v>25</v>
      </c>
      <c r="I4957" t="s">
        <v>2078</v>
      </c>
      <c r="L4957" t="s">
        <v>312</v>
      </c>
      <c r="M4957" t="s">
        <v>1687</v>
      </c>
    </row>
    <row r="4958" spans="1:13" x14ac:dyDescent="0.3">
      <c r="A4958" t="s">
        <v>4675</v>
      </c>
      <c r="B4958" t="s">
        <v>2733</v>
      </c>
      <c r="C4958" t="s">
        <v>308</v>
      </c>
      <c r="D4958" t="s">
        <v>4680</v>
      </c>
      <c r="E4958" t="s">
        <v>1138</v>
      </c>
      <c r="H4958" t="s">
        <v>25</v>
      </c>
      <c r="I4958" t="s">
        <v>2065</v>
      </c>
      <c r="L4958" t="s">
        <v>312</v>
      </c>
      <c r="M4958" t="s">
        <v>317</v>
      </c>
    </row>
    <row r="4959" spans="1:13" x14ac:dyDescent="0.3">
      <c r="A4959" t="s">
        <v>4675</v>
      </c>
      <c r="B4959" t="s">
        <v>2733</v>
      </c>
      <c r="C4959" t="s">
        <v>308</v>
      </c>
      <c r="D4959" t="s">
        <v>4681</v>
      </c>
      <c r="E4959" t="s">
        <v>1134</v>
      </c>
      <c r="H4959" t="s">
        <v>25</v>
      </c>
      <c r="I4959" t="s">
        <v>2069</v>
      </c>
      <c r="L4959" t="s">
        <v>312</v>
      </c>
      <c r="M4959" t="s">
        <v>317</v>
      </c>
    </row>
    <row r="4960" spans="1:13" x14ac:dyDescent="0.3">
      <c r="A4960" t="s">
        <v>4675</v>
      </c>
      <c r="B4960" t="s">
        <v>2733</v>
      </c>
      <c r="C4960" t="s">
        <v>308</v>
      </c>
      <c r="D4960" t="s">
        <v>4682</v>
      </c>
      <c r="E4960" t="s">
        <v>1138</v>
      </c>
      <c r="H4960" t="s">
        <v>25</v>
      </c>
      <c r="I4960" t="s">
        <v>2746</v>
      </c>
      <c r="L4960" t="s">
        <v>312</v>
      </c>
      <c r="M4960" t="s">
        <v>317</v>
      </c>
    </row>
    <row r="4961" spans="1:27" x14ac:dyDescent="0.3">
      <c r="A4961" t="s">
        <v>4675</v>
      </c>
      <c r="B4961" t="s">
        <v>2733</v>
      </c>
      <c r="C4961" t="s">
        <v>308</v>
      </c>
      <c r="D4961" t="s">
        <v>4683</v>
      </c>
      <c r="E4961" t="s">
        <v>341</v>
      </c>
      <c r="H4961" t="s">
        <v>25</v>
      </c>
      <c r="I4961" t="s">
        <v>342</v>
      </c>
      <c r="L4961" t="s">
        <v>312</v>
      </c>
      <c r="M4961" t="s">
        <v>343</v>
      </c>
    </row>
    <row r="4962" spans="1:27" x14ac:dyDescent="0.3">
      <c r="A4962" t="s">
        <v>4675</v>
      </c>
      <c r="B4962" t="s">
        <v>2733</v>
      </c>
      <c r="C4962" t="s">
        <v>22</v>
      </c>
      <c r="D4962" t="s">
        <v>23</v>
      </c>
      <c r="E4962" t="s">
        <v>28</v>
      </c>
    </row>
    <row r="4963" spans="1:27" x14ac:dyDescent="0.3">
      <c r="A4963" t="s">
        <v>4675</v>
      </c>
      <c r="B4963" t="s">
        <v>2733</v>
      </c>
      <c r="C4963" t="s">
        <v>2748</v>
      </c>
      <c r="D4963" s="3">
        <v>1.5</v>
      </c>
      <c r="H4963" t="s">
        <v>312</v>
      </c>
      <c r="I4963" t="s">
        <v>385</v>
      </c>
    </row>
    <row r="4964" spans="1:27" x14ac:dyDescent="0.3">
      <c r="A4964" t="s">
        <v>4675</v>
      </c>
      <c r="B4964" t="s">
        <v>2733</v>
      </c>
      <c r="C4964" t="s">
        <v>378</v>
      </c>
      <c r="D4964" s="3">
        <v>105</v>
      </c>
      <c r="H4964" t="s">
        <v>312</v>
      </c>
      <c r="I4964" t="s">
        <v>327</v>
      </c>
    </row>
    <row r="4965" spans="1:27" x14ac:dyDescent="0.3">
      <c r="A4965" t="s">
        <v>4675</v>
      </c>
      <c r="B4965" t="s">
        <v>2733</v>
      </c>
      <c r="C4965" t="s">
        <v>380</v>
      </c>
      <c r="D4965" t="s">
        <v>678</v>
      </c>
      <c r="E4965" t="s">
        <v>279</v>
      </c>
      <c r="F4965" t="s">
        <v>25</v>
      </c>
      <c r="G4965" t="s">
        <v>4684</v>
      </c>
      <c r="J4965" t="s">
        <v>2089</v>
      </c>
      <c r="K4965" t="s">
        <v>2750</v>
      </c>
      <c r="N4965" t="s">
        <v>2751</v>
      </c>
      <c r="O4965">
        <v>0</v>
      </c>
      <c r="R4965" t="s">
        <v>2752</v>
      </c>
      <c r="S4965">
        <v>0</v>
      </c>
      <c r="V4965" t="s">
        <v>2753</v>
      </c>
      <c r="W4965" t="s">
        <v>2754</v>
      </c>
      <c r="Z4965" t="s">
        <v>2755</v>
      </c>
      <c r="AA4965" t="s">
        <v>2756</v>
      </c>
    </row>
    <row r="4966" spans="1:27" x14ac:dyDescent="0.3">
      <c r="A4966" t="s">
        <v>4675</v>
      </c>
      <c r="B4966" t="s">
        <v>2733</v>
      </c>
      <c r="C4966" t="s">
        <v>16</v>
      </c>
      <c r="D4966" t="s">
        <v>172</v>
      </c>
      <c r="E4966" t="s">
        <v>37</v>
      </c>
    </row>
    <row r="4967" spans="1:27" x14ac:dyDescent="0.3">
      <c r="A4967" t="s">
        <v>4675</v>
      </c>
      <c r="B4967" t="s">
        <v>2733</v>
      </c>
      <c r="C4967" t="s">
        <v>11</v>
      </c>
      <c r="D4967" t="s">
        <v>12</v>
      </c>
      <c r="E4967" t="s">
        <v>13</v>
      </c>
      <c r="H4967" t="s">
        <v>382</v>
      </c>
      <c r="I4967" t="s">
        <v>4685</v>
      </c>
      <c r="L4967" t="s">
        <v>14</v>
      </c>
      <c r="M4967" t="s">
        <v>4685</v>
      </c>
    </row>
    <row r="4968" spans="1:27" x14ac:dyDescent="0.3">
      <c r="A4968" t="s">
        <v>4678</v>
      </c>
      <c r="B4968" t="s">
        <v>527</v>
      </c>
      <c r="C4968" t="s">
        <v>11</v>
      </c>
      <c r="D4968" t="s">
        <v>12</v>
      </c>
      <c r="E4968" t="s">
        <v>391</v>
      </c>
      <c r="H4968" t="s">
        <v>392</v>
      </c>
      <c r="I4968" t="s">
        <v>2758</v>
      </c>
      <c r="L4968" t="s">
        <v>394</v>
      </c>
      <c r="M4968" t="s">
        <v>4685</v>
      </c>
    </row>
    <row r="4969" spans="1:27" x14ac:dyDescent="0.3">
      <c r="A4969" t="s">
        <v>4677</v>
      </c>
      <c r="B4969" t="s">
        <v>2738</v>
      </c>
      <c r="C4969" t="s">
        <v>11</v>
      </c>
      <c r="D4969" t="s">
        <v>12</v>
      </c>
      <c r="E4969" t="s">
        <v>391</v>
      </c>
      <c r="H4969" t="s">
        <v>392</v>
      </c>
      <c r="I4969" t="s">
        <v>4686</v>
      </c>
      <c r="L4969" t="s">
        <v>394</v>
      </c>
      <c r="M4969" t="s">
        <v>4685</v>
      </c>
    </row>
    <row r="4970" spans="1:27" x14ac:dyDescent="0.3">
      <c r="A4970" t="s">
        <v>4676</v>
      </c>
      <c r="B4970" t="s">
        <v>2735</v>
      </c>
      <c r="C4970" t="s">
        <v>308</v>
      </c>
      <c r="D4970" t="s">
        <v>4687</v>
      </c>
      <c r="E4970" t="s">
        <v>406</v>
      </c>
      <c r="H4970" t="s">
        <v>25</v>
      </c>
      <c r="I4970" t="s">
        <v>2761</v>
      </c>
      <c r="L4970" t="s">
        <v>312</v>
      </c>
      <c r="M4970" t="s">
        <v>404</v>
      </c>
    </row>
    <row r="4971" spans="1:27" x14ac:dyDescent="0.3">
      <c r="A4971" t="s">
        <v>4687</v>
      </c>
      <c r="B4971" t="s">
        <v>406</v>
      </c>
      <c r="C4971" t="s">
        <v>11</v>
      </c>
      <c r="D4971" t="s">
        <v>12</v>
      </c>
      <c r="E4971" t="s">
        <v>391</v>
      </c>
      <c r="H4971" t="s">
        <v>392</v>
      </c>
      <c r="I4971" t="s">
        <v>4688</v>
      </c>
      <c r="L4971" t="s">
        <v>394</v>
      </c>
      <c r="M4971" t="s">
        <v>4685</v>
      </c>
    </row>
    <row r="4972" spans="1:27" x14ac:dyDescent="0.3">
      <c r="A4972" t="s">
        <v>4680</v>
      </c>
      <c r="B4972" t="s">
        <v>1138</v>
      </c>
      <c r="C4972" t="s">
        <v>11</v>
      </c>
      <c r="D4972" t="s">
        <v>12</v>
      </c>
      <c r="E4972" t="s">
        <v>391</v>
      </c>
      <c r="H4972" t="s">
        <v>392</v>
      </c>
      <c r="I4972" t="s">
        <v>4689</v>
      </c>
      <c r="L4972" t="s">
        <v>394</v>
      </c>
      <c r="M4972" t="s">
        <v>4685</v>
      </c>
    </row>
    <row r="4973" spans="1:27" x14ac:dyDescent="0.3">
      <c r="A4973" t="s">
        <v>4683</v>
      </c>
      <c r="B4973" t="s">
        <v>341</v>
      </c>
      <c r="C4973" t="s">
        <v>11</v>
      </c>
      <c r="D4973" t="s">
        <v>12</v>
      </c>
      <c r="E4973" t="s">
        <v>391</v>
      </c>
      <c r="H4973" t="s">
        <v>392</v>
      </c>
      <c r="I4973" t="s">
        <v>4690</v>
      </c>
      <c r="L4973" t="s">
        <v>394</v>
      </c>
      <c r="M4973" t="s">
        <v>4685</v>
      </c>
    </row>
    <row r="4974" spans="1:27" x14ac:dyDescent="0.3">
      <c r="A4974" t="s">
        <v>4681</v>
      </c>
      <c r="B4974" t="s">
        <v>1134</v>
      </c>
      <c r="C4974" t="s">
        <v>11</v>
      </c>
      <c r="D4974" t="s">
        <v>12</v>
      </c>
      <c r="E4974" t="s">
        <v>391</v>
      </c>
      <c r="H4974" t="s">
        <v>392</v>
      </c>
      <c r="I4974" t="s">
        <v>4691</v>
      </c>
      <c r="L4974" t="s">
        <v>394</v>
      </c>
      <c r="M4974" t="s">
        <v>4685</v>
      </c>
    </row>
    <row r="4975" spans="1:27" x14ac:dyDescent="0.3">
      <c r="A4975" t="s">
        <v>4682</v>
      </c>
      <c r="B4975" t="s">
        <v>1138</v>
      </c>
      <c r="C4975" t="s">
        <v>11</v>
      </c>
      <c r="D4975" t="s">
        <v>12</v>
      </c>
      <c r="E4975" t="s">
        <v>391</v>
      </c>
      <c r="H4975" t="s">
        <v>392</v>
      </c>
      <c r="I4975" t="s">
        <v>4692</v>
      </c>
      <c r="L4975" t="s">
        <v>394</v>
      </c>
      <c r="M4975" t="s">
        <v>4685</v>
      </c>
    </row>
    <row r="4976" spans="1:27" x14ac:dyDescent="0.3">
      <c r="A4976" t="s">
        <v>4679</v>
      </c>
      <c r="B4976" t="s">
        <v>2077</v>
      </c>
      <c r="C4976" t="s">
        <v>11</v>
      </c>
      <c r="D4976" t="s">
        <v>12</v>
      </c>
      <c r="E4976" t="s">
        <v>391</v>
      </c>
      <c r="H4976" t="s">
        <v>392</v>
      </c>
      <c r="I4976" t="s">
        <v>2128</v>
      </c>
      <c r="L4976" t="s">
        <v>394</v>
      </c>
      <c r="M4976" t="s">
        <v>4685</v>
      </c>
    </row>
    <row r="4977" spans="1:7" x14ac:dyDescent="0.3">
      <c r="A4977" t="s">
        <v>10</v>
      </c>
      <c r="B4977" t="s">
        <v>4693</v>
      </c>
      <c r="C4977" t="s">
        <v>4694</v>
      </c>
      <c r="D4977" t="s">
        <v>4695</v>
      </c>
      <c r="F4977" t="s">
        <v>25</v>
      </c>
      <c r="G4977" t="s">
        <v>4696</v>
      </c>
    </row>
    <row r="4978" spans="1:7" x14ac:dyDescent="0.3">
      <c r="A4978" t="s">
        <v>10</v>
      </c>
      <c r="B4978" t="s">
        <v>4693</v>
      </c>
      <c r="C4978" t="s">
        <v>4694</v>
      </c>
      <c r="D4978" t="s">
        <v>4695</v>
      </c>
      <c r="F4978" t="s">
        <v>25</v>
      </c>
      <c r="G4978" t="s">
        <v>4696</v>
      </c>
    </row>
    <row r="4979" spans="1:7" x14ac:dyDescent="0.3">
      <c r="A4979" t="s">
        <v>1817</v>
      </c>
      <c r="B4979" t="s">
        <v>4693</v>
      </c>
      <c r="C4979" t="s">
        <v>4694</v>
      </c>
      <c r="D4979" t="s">
        <v>4697</v>
      </c>
      <c r="F4979" t="s">
        <v>25</v>
      </c>
      <c r="G4979" t="s">
        <v>1815</v>
      </c>
    </row>
    <row r="4980" spans="1:7" x14ac:dyDescent="0.3">
      <c r="A4980" t="s">
        <v>1798</v>
      </c>
      <c r="B4980" t="s">
        <v>4693</v>
      </c>
      <c r="C4980" t="s">
        <v>4694</v>
      </c>
      <c r="D4980" t="s">
        <v>481</v>
      </c>
      <c r="F4980" t="s">
        <v>25</v>
      </c>
      <c r="G4980" t="s">
        <v>1799</v>
      </c>
    </row>
    <row r="4981" spans="1:7" x14ac:dyDescent="0.3">
      <c r="A4981" t="s">
        <v>2071</v>
      </c>
      <c r="B4981" t="s">
        <v>4693</v>
      </c>
      <c r="C4981" t="s">
        <v>4694</v>
      </c>
      <c r="D4981" t="s">
        <v>2077</v>
      </c>
      <c r="F4981" t="s">
        <v>25</v>
      </c>
      <c r="G4981" t="s">
        <v>4698</v>
      </c>
    </row>
    <row r="4982" spans="1:7" x14ac:dyDescent="0.3">
      <c r="A4982" t="s">
        <v>458</v>
      </c>
      <c r="B4982" t="s">
        <v>4693</v>
      </c>
      <c r="C4982" t="s">
        <v>4694</v>
      </c>
      <c r="D4982" t="s">
        <v>402</v>
      </c>
      <c r="F4982" t="s">
        <v>373</v>
      </c>
      <c r="G4982" t="s">
        <v>4699</v>
      </c>
    </row>
    <row r="4983" spans="1:7" x14ac:dyDescent="0.3">
      <c r="A4983" t="s">
        <v>461</v>
      </c>
      <c r="B4983" t="s">
        <v>4693</v>
      </c>
      <c r="C4983" t="s">
        <v>4694</v>
      </c>
      <c r="D4983" t="s">
        <v>402</v>
      </c>
      <c r="F4983" t="s">
        <v>373</v>
      </c>
      <c r="G4983" t="s">
        <v>4700</v>
      </c>
    </row>
    <row r="4984" spans="1:7" x14ac:dyDescent="0.3">
      <c r="A4984" t="s">
        <v>464</v>
      </c>
      <c r="B4984" t="s">
        <v>4693</v>
      </c>
      <c r="C4984" t="s">
        <v>4694</v>
      </c>
      <c r="D4984" t="s">
        <v>402</v>
      </c>
      <c r="F4984" t="s">
        <v>373</v>
      </c>
      <c r="G4984" t="s">
        <v>4701</v>
      </c>
    </row>
    <row r="4985" spans="1:7" x14ac:dyDescent="0.3">
      <c r="A4985" t="s">
        <v>467</v>
      </c>
      <c r="B4985" t="s">
        <v>4693</v>
      </c>
      <c r="C4985" t="s">
        <v>4694</v>
      </c>
      <c r="D4985" t="s">
        <v>402</v>
      </c>
      <c r="F4985" t="s">
        <v>373</v>
      </c>
      <c r="G4985" t="s">
        <v>4702</v>
      </c>
    </row>
    <row r="4986" spans="1:7" x14ac:dyDescent="0.3">
      <c r="A4986" t="s">
        <v>470</v>
      </c>
      <c r="B4986" t="s">
        <v>4693</v>
      </c>
      <c r="C4986" t="s">
        <v>4694</v>
      </c>
      <c r="D4986" t="s">
        <v>402</v>
      </c>
      <c r="F4986" t="s">
        <v>373</v>
      </c>
      <c r="G4986" t="s">
        <v>4703</v>
      </c>
    </row>
    <row r="4987" spans="1:7" x14ac:dyDescent="0.3">
      <c r="A4987" t="s">
        <v>1154</v>
      </c>
      <c r="B4987" t="s">
        <v>4693</v>
      </c>
      <c r="C4987" t="s">
        <v>4694</v>
      </c>
      <c r="D4987" t="s">
        <v>1170</v>
      </c>
      <c r="F4987" t="s">
        <v>25</v>
      </c>
      <c r="G4987" t="s">
        <v>4704</v>
      </c>
    </row>
    <row r="4988" spans="1:7" x14ac:dyDescent="0.3">
      <c r="A4988" t="s">
        <v>1948</v>
      </c>
      <c r="B4988" t="s">
        <v>4693</v>
      </c>
      <c r="C4988" t="s">
        <v>4694</v>
      </c>
      <c r="D4988" t="s">
        <v>4695</v>
      </c>
      <c r="F4988" t="s">
        <v>25</v>
      </c>
      <c r="G4988" t="s">
        <v>4705</v>
      </c>
    </row>
    <row r="4989" spans="1:7" x14ac:dyDescent="0.3">
      <c r="A4989" t="s">
        <v>524</v>
      </c>
      <c r="B4989" t="s">
        <v>4693</v>
      </c>
      <c r="C4989" t="s">
        <v>4694</v>
      </c>
      <c r="D4989" t="s">
        <v>484</v>
      </c>
      <c r="F4989" t="s">
        <v>25</v>
      </c>
      <c r="G4989" t="s">
        <v>4706</v>
      </c>
    </row>
    <row r="4990" spans="1:7" x14ac:dyDescent="0.3">
      <c r="A4990" t="s">
        <v>521</v>
      </c>
      <c r="B4990" t="s">
        <v>4693</v>
      </c>
      <c r="C4990" t="s">
        <v>4694</v>
      </c>
      <c r="D4990" t="s">
        <v>484</v>
      </c>
      <c r="F4990" t="s">
        <v>25</v>
      </c>
      <c r="G4990" t="s">
        <v>4707</v>
      </c>
    </row>
    <row r="4991" spans="1:7" x14ac:dyDescent="0.3">
      <c r="A4991" t="s">
        <v>2074</v>
      </c>
      <c r="B4991" t="s">
        <v>4693</v>
      </c>
      <c r="C4991" t="s">
        <v>4694</v>
      </c>
      <c r="D4991" t="s">
        <v>2077</v>
      </c>
      <c r="F4991" t="s">
        <v>25</v>
      </c>
      <c r="G4991" t="s">
        <v>4708</v>
      </c>
    </row>
    <row r="4992" spans="1:7" x14ac:dyDescent="0.3">
      <c r="A4992" t="s">
        <v>2582</v>
      </c>
      <c r="B4992" t="s">
        <v>4693</v>
      </c>
      <c r="C4992" t="s">
        <v>4694</v>
      </c>
      <c r="D4992" t="s">
        <v>4709</v>
      </c>
      <c r="F4992" t="s">
        <v>25</v>
      </c>
      <c r="G4992" t="s">
        <v>4710</v>
      </c>
    </row>
    <row r="4993" spans="1:7" x14ac:dyDescent="0.3">
      <c r="A4993" t="s">
        <v>1156</v>
      </c>
      <c r="B4993" t="s">
        <v>4693</v>
      </c>
      <c r="C4993" t="s">
        <v>4694</v>
      </c>
      <c r="D4993" t="s">
        <v>1170</v>
      </c>
      <c r="F4993" t="s">
        <v>25</v>
      </c>
      <c r="G4993" t="s">
        <v>4711</v>
      </c>
    </row>
    <row r="4994" spans="1:7" x14ac:dyDescent="0.3">
      <c r="A4994" t="s">
        <v>1161</v>
      </c>
      <c r="B4994" t="s">
        <v>4693</v>
      </c>
      <c r="C4994" t="s">
        <v>4694</v>
      </c>
      <c r="D4994" t="s">
        <v>1170</v>
      </c>
      <c r="F4994" t="s">
        <v>25</v>
      </c>
      <c r="G4994" t="s">
        <v>4712</v>
      </c>
    </row>
    <row r="4995" spans="1:7" x14ac:dyDescent="0.3">
      <c r="A4995" t="s">
        <v>1814</v>
      </c>
      <c r="B4995" t="s">
        <v>4693</v>
      </c>
      <c r="C4995" t="s">
        <v>4694</v>
      </c>
      <c r="D4995" t="s">
        <v>4697</v>
      </c>
      <c r="F4995" t="s">
        <v>25</v>
      </c>
      <c r="G4995" t="s">
        <v>1818</v>
      </c>
    </row>
    <row r="4996" spans="1:7" x14ac:dyDescent="0.3">
      <c r="A4996" t="s">
        <v>2077</v>
      </c>
      <c r="B4996" t="s">
        <v>4693</v>
      </c>
      <c r="C4996" t="s">
        <v>4694</v>
      </c>
      <c r="D4996" t="s">
        <v>2060</v>
      </c>
      <c r="F4996" t="s">
        <v>25</v>
      </c>
      <c r="G4996" t="s">
        <v>4713</v>
      </c>
    </row>
    <row r="4997" spans="1:7" x14ac:dyDescent="0.3">
      <c r="A4997" t="s">
        <v>370</v>
      </c>
      <c r="B4997" t="s">
        <v>4693</v>
      </c>
      <c r="C4997" t="s">
        <v>4694</v>
      </c>
      <c r="D4997" t="s">
        <v>4714</v>
      </c>
      <c r="F4997" t="s">
        <v>25</v>
      </c>
      <c r="G4997" t="s">
        <v>4715</v>
      </c>
    </row>
    <row r="4998" spans="1:7" x14ac:dyDescent="0.3">
      <c r="A4998" t="s">
        <v>826</v>
      </c>
      <c r="B4998" t="s">
        <v>4693</v>
      </c>
      <c r="C4998" t="s">
        <v>4694</v>
      </c>
      <c r="D4998" t="s">
        <v>4714</v>
      </c>
      <c r="F4998" t="s">
        <v>25</v>
      </c>
      <c r="G4998" t="s">
        <v>4716</v>
      </c>
    </row>
    <row r="4999" spans="1:7" x14ac:dyDescent="0.3">
      <c r="A4999" t="s">
        <v>829</v>
      </c>
      <c r="B4999" t="s">
        <v>4693</v>
      </c>
      <c r="C4999" t="s">
        <v>4694</v>
      </c>
      <c r="D4999" t="s">
        <v>4714</v>
      </c>
      <c r="F4999" t="s">
        <v>25</v>
      </c>
      <c r="G4999" t="s">
        <v>4717</v>
      </c>
    </row>
    <row r="5000" spans="1:7" x14ac:dyDescent="0.3">
      <c r="A5000" t="s">
        <v>1685</v>
      </c>
      <c r="B5000" t="s">
        <v>4693</v>
      </c>
      <c r="C5000" t="s">
        <v>4694</v>
      </c>
      <c r="D5000" t="s">
        <v>2060</v>
      </c>
      <c r="F5000" t="s">
        <v>25</v>
      </c>
      <c r="G5000" t="s">
        <v>4718</v>
      </c>
    </row>
    <row r="5001" spans="1:7" x14ac:dyDescent="0.3">
      <c r="A5001" t="s">
        <v>2117</v>
      </c>
      <c r="B5001" t="s">
        <v>4693</v>
      </c>
      <c r="C5001" t="s">
        <v>4694</v>
      </c>
      <c r="D5001" t="s">
        <v>2517</v>
      </c>
      <c r="F5001" t="s">
        <v>25</v>
      </c>
      <c r="G5001" t="s">
        <v>2118</v>
      </c>
    </row>
    <row r="5002" spans="1:7" x14ac:dyDescent="0.3">
      <c r="A5002" t="s">
        <v>2080</v>
      </c>
      <c r="B5002" t="s">
        <v>4693</v>
      </c>
      <c r="C5002" t="s">
        <v>4694</v>
      </c>
      <c r="D5002" t="s">
        <v>2060</v>
      </c>
      <c r="F5002" t="s">
        <v>25</v>
      </c>
      <c r="G5002" t="s">
        <v>2081</v>
      </c>
    </row>
    <row r="5003" spans="1:7" x14ac:dyDescent="0.3">
      <c r="A5003" t="s">
        <v>453</v>
      </c>
      <c r="B5003" t="s">
        <v>4693</v>
      </c>
      <c r="C5003" t="s">
        <v>4694</v>
      </c>
      <c r="D5003" t="s">
        <v>4719</v>
      </c>
      <c r="F5003" t="s">
        <v>25</v>
      </c>
      <c r="G5003" t="s">
        <v>4720</v>
      </c>
    </row>
    <row r="5004" spans="1:7" x14ac:dyDescent="0.3">
      <c r="A5004" t="s">
        <v>874</v>
      </c>
      <c r="B5004" t="s">
        <v>4693</v>
      </c>
      <c r="C5004" t="s">
        <v>4694</v>
      </c>
      <c r="D5004" t="s">
        <v>4719</v>
      </c>
      <c r="F5004" t="s">
        <v>25</v>
      </c>
      <c r="G5004" t="s">
        <v>4721</v>
      </c>
    </row>
    <row r="5005" spans="1:7" x14ac:dyDescent="0.3">
      <c r="A5005" t="s">
        <v>876</v>
      </c>
      <c r="B5005" t="s">
        <v>4693</v>
      </c>
      <c r="C5005" t="s">
        <v>4694</v>
      </c>
      <c r="D5005" t="s">
        <v>4719</v>
      </c>
      <c r="F5005" t="s">
        <v>25</v>
      </c>
      <c r="G5005" t="s">
        <v>4722</v>
      </c>
    </row>
    <row r="5006" spans="1:7" x14ac:dyDescent="0.3">
      <c r="A5006" t="s">
        <v>4723</v>
      </c>
      <c r="B5006" t="s">
        <v>4693</v>
      </c>
      <c r="C5006" t="s">
        <v>4694</v>
      </c>
      <c r="D5006" t="s">
        <v>4719</v>
      </c>
      <c r="F5006" t="s">
        <v>25</v>
      </c>
      <c r="G5006" t="s">
        <v>4724</v>
      </c>
    </row>
    <row r="5007" spans="1:7" x14ac:dyDescent="0.3">
      <c r="A5007" t="s">
        <v>4725</v>
      </c>
      <c r="B5007" t="s">
        <v>4693</v>
      </c>
      <c r="C5007" t="s">
        <v>4694</v>
      </c>
      <c r="D5007" t="s">
        <v>4719</v>
      </c>
      <c r="F5007" t="s">
        <v>25</v>
      </c>
      <c r="G5007" t="s">
        <v>4726</v>
      </c>
    </row>
    <row r="5008" spans="1:7" x14ac:dyDescent="0.3">
      <c r="A5008" t="s">
        <v>2120</v>
      </c>
      <c r="B5008" t="s">
        <v>4693</v>
      </c>
      <c r="C5008" t="s">
        <v>4694</v>
      </c>
      <c r="D5008" t="s">
        <v>2517</v>
      </c>
      <c r="F5008" t="s">
        <v>25</v>
      </c>
      <c r="G5008" t="s">
        <v>2121</v>
      </c>
    </row>
    <row r="5009" spans="1:7" x14ac:dyDescent="0.3">
      <c r="A5009" t="s">
        <v>2086</v>
      </c>
      <c r="B5009" t="s">
        <v>4693</v>
      </c>
      <c r="C5009" t="s">
        <v>4694</v>
      </c>
      <c r="D5009" t="s">
        <v>2060</v>
      </c>
      <c r="F5009" t="s">
        <v>25</v>
      </c>
      <c r="G5009" t="s">
        <v>2087</v>
      </c>
    </row>
    <row r="5010" spans="1:7" x14ac:dyDescent="0.3">
      <c r="A5010" t="s">
        <v>1173</v>
      </c>
      <c r="B5010" t="s">
        <v>4693</v>
      </c>
      <c r="C5010" t="s">
        <v>4694</v>
      </c>
      <c r="D5010" t="s">
        <v>484</v>
      </c>
      <c r="F5010" t="s">
        <v>25</v>
      </c>
      <c r="G5010" t="s">
        <v>1174</v>
      </c>
    </row>
    <row r="5011" spans="1:7" x14ac:dyDescent="0.3">
      <c r="A5011" t="s">
        <v>1689</v>
      </c>
      <c r="B5011" t="s">
        <v>4693</v>
      </c>
      <c r="C5011" t="s">
        <v>4694</v>
      </c>
      <c r="D5011" t="s">
        <v>2060</v>
      </c>
      <c r="F5011" t="s">
        <v>25</v>
      </c>
      <c r="G5011" t="s">
        <v>4727</v>
      </c>
    </row>
    <row r="5012" spans="1:7" x14ac:dyDescent="0.3">
      <c r="A5012" t="s">
        <v>2082</v>
      </c>
      <c r="B5012" t="s">
        <v>4728</v>
      </c>
      <c r="C5012" t="s">
        <v>4729</v>
      </c>
      <c r="D5012" t="s">
        <v>4728</v>
      </c>
      <c r="F5012" t="s">
        <v>4730</v>
      </c>
      <c r="G5012" t="s">
        <v>12</v>
      </c>
    </row>
    <row r="5013" spans="1:7" x14ac:dyDescent="0.3">
      <c r="A5013" t="s">
        <v>2581</v>
      </c>
      <c r="B5013" t="s">
        <v>2582</v>
      </c>
      <c r="C5013" t="s">
        <v>16</v>
      </c>
      <c r="D5013" t="s">
        <v>1071</v>
      </c>
      <c r="E5013" t="s">
        <v>37</v>
      </c>
    </row>
    <row r="5014" spans="1:7" x14ac:dyDescent="0.3">
      <c r="A5014" t="s">
        <v>2732</v>
      </c>
      <c r="B5014" t="s">
        <v>2733</v>
      </c>
      <c r="C5014" t="s">
        <v>1692</v>
      </c>
      <c r="D5014" t="s">
        <v>1075</v>
      </c>
      <c r="E5014" t="s">
        <v>37</v>
      </c>
    </row>
    <row r="5015" spans="1:7" x14ac:dyDescent="0.3">
      <c r="A5015" t="s">
        <v>2767</v>
      </c>
      <c r="B5015" t="s">
        <v>2733</v>
      </c>
      <c r="C5015" t="s">
        <v>1692</v>
      </c>
      <c r="D5015" t="s">
        <v>65</v>
      </c>
      <c r="E5015" t="s">
        <v>37</v>
      </c>
    </row>
    <row r="5016" spans="1:7" x14ac:dyDescent="0.3">
      <c r="A5016" t="s">
        <v>2785</v>
      </c>
      <c r="B5016" t="s">
        <v>2733</v>
      </c>
      <c r="C5016" t="s">
        <v>1692</v>
      </c>
      <c r="D5016" t="s">
        <v>65</v>
      </c>
      <c r="E5016" t="s">
        <v>37</v>
      </c>
    </row>
    <row r="5017" spans="1:7" x14ac:dyDescent="0.3">
      <c r="A5017" t="s">
        <v>2803</v>
      </c>
      <c r="B5017" t="s">
        <v>2733</v>
      </c>
      <c r="C5017" t="s">
        <v>1692</v>
      </c>
      <c r="D5017" t="s">
        <v>65</v>
      </c>
      <c r="E5017" t="s">
        <v>37</v>
      </c>
    </row>
    <row r="5018" spans="1:7" x14ac:dyDescent="0.3">
      <c r="A5018" t="s">
        <v>2821</v>
      </c>
      <c r="B5018" t="s">
        <v>2733</v>
      </c>
      <c r="C5018" t="s">
        <v>1692</v>
      </c>
      <c r="D5018" t="s">
        <v>67</v>
      </c>
      <c r="E5018" t="s">
        <v>37</v>
      </c>
    </row>
    <row r="5019" spans="1:7" x14ac:dyDescent="0.3">
      <c r="A5019" t="s">
        <v>2839</v>
      </c>
      <c r="B5019" t="s">
        <v>2733</v>
      </c>
      <c r="C5019" t="s">
        <v>1692</v>
      </c>
      <c r="D5019" t="s">
        <v>67</v>
      </c>
      <c r="E5019" t="s">
        <v>37</v>
      </c>
    </row>
    <row r="5020" spans="1:7" x14ac:dyDescent="0.3">
      <c r="A5020" t="s">
        <v>2857</v>
      </c>
      <c r="B5020" t="s">
        <v>2733</v>
      </c>
      <c r="C5020" t="s">
        <v>1692</v>
      </c>
      <c r="D5020" t="s">
        <v>67</v>
      </c>
      <c r="E5020" t="s">
        <v>37</v>
      </c>
    </row>
    <row r="5021" spans="1:7" x14ac:dyDescent="0.3">
      <c r="A5021" t="s">
        <v>2875</v>
      </c>
      <c r="B5021" t="s">
        <v>2733</v>
      </c>
      <c r="C5021" t="s">
        <v>1692</v>
      </c>
      <c r="D5021" t="s">
        <v>85</v>
      </c>
      <c r="E5021" t="s">
        <v>37</v>
      </c>
    </row>
    <row r="5022" spans="1:7" x14ac:dyDescent="0.3">
      <c r="A5022" t="s">
        <v>2893</v>
      </c>
      <c r="B5022" t="s">
        <v>2733</v>
      </c>
      <c r="C5022" t="s">
        <v>1692</v>
      </c>
      <c r="D5022" t="s">
        <v>75</v>
      </c>
      <c r="E5022" t="s">
        <v>37</v>
      </c>
    </row>
    <row r="5023" spans="1:7" x14ac:dyDescent="0.3">
      <c r="A5023" t="s">
        <v>2911</v>
      </c>
      <c r="B5023" t="s">
        <v>2733</v>
      </c>
      <c r="C5023" t="s">
        <v>1692</v>
      </c>
      <c r="D5023" t="s">
        <v>75</v>
      </c>
      <c r="E5023" t="s">
        <v>37</v>
      </c>
    </row>
    <row r="5024" spans="1:7" x14ac:dyDescent="0.3">
      <c r="A5024" t="s">
        <v>2929</v>
      </c>
      <c r="B5024" t="s">
        <v>2733</v>
      </c>
      <c r="C5024" t="s">
        <v>1692</v>
      </c>
      <c r="D5024" t="s">
        <v>75</v>
      </c>
      <c r="E5024" t="s">
        <v>37</v>
      </c>
    </row>
    <row r="5025" spans="1:5" x14ac:dyDescent="0.3">
      <c r="A5025" t="s">
        <v>2947</v>
      </c>
      <c r="B5025" t="s">
        <v>2733</v>
      </c>
      <c r="C5025" t="s">
        <v>1692</v>
      </c>
      <c r="D5025" t="s">
        <v>75</v>
      </c>
      <c r="E5025" t="s">
        <v>37</v>
      </c>
    </row>
    <row r="5026" spans="1:5" x14ac:dyDescent="0.3">
      <c r="A5026" t="s">
        <v>2965</v>
      </c>
      <c r="B5026" t="s">
        <v>2733</v>
      </c>
      <c r="C5026" t="s">
        <v>1692</v>
      </c>
      <c r="D5026" t="s">
        <v>75</v>
      </c>
      <c r="E5026" t="s">
        <v>37</v>
      </c>
    </row>
    <row r="5027" spans="1:5" x14ac:dyDescent="0.3">
      <c r="A5027" t="s">
        <v>2983</v>
      </c>
      <c r="B5027" t="s">
        <v>2733</v>
      </c>
      <c r="C5027" t="s">
        <v>1692</v>
      </c>
      <c r="D5027" t="s">
        <v>75</v>
      </c>
      <c r="E5027" t="s">
        <v>37</v>
      </c>
    </row>
    <row r="5028" spans="1:5" x14ac:dyDescent="0.3">
      <c r="A5028" t="s">
        <v>3001</v>
      </c>
      <c r="B5028" t="s">
        <v>2733</v>
      </c>
      <c r="C5028" t="s">
        <v>1692</v>
      </c>
      <c r="D5028" t="s">
        <v>95</v>
      </c>
      <c r="E5028" t="s">
        <v>37</v>
      </c>
    </row>
    <row r="5029" spans="1:5" x14ac:dyDescent="0.3">
      <c r="A5029" t="s">
        <v>3019</v>
      </c>
      <c r="B5029" t="s">
        <v>2733</v>
      </c>
      <c r="C5029" t="s">
        <v>1692</v>
      </c>
      <c r="D5029" t="s">
        <v>97</v>
      </c>
      <c r="E5029" t="s">
        <v>37</v>
      </c>
    </row>
    <row r="5030" spans="1:5" x14ac:dyDescent="0.3">
      <c r="A5030" t="s">
        <v>3037</v>
      </c>
      <c r="B5030" t="s">
        <v>2733</v>
      </c>
      <c r="C5030" t="s">
        <v>1692</v>
      </c>
      <c r="D5030" t="s">
        <v>98</v>
      </c>
      <c r="E5030" t="s">
        <v>37</v>
      </c>
    </row>
    <row r="5031" spans="1:5" x14ac:dyDescent="0.3">
      <c r="A5031" t="s">
        <v>3055</v>
      </c>
      <c r="B5031" t="s">
        <v>2733</v>
      </c>
      <c r="C5031" t="s">
        <v>1692</v>
      </c>
      <c r="D5031" t="s">
        <v>99</v>
      </c>
      <c r="E5031" t="s">
        <v>37</v>
      </c>
    </row>
    <row r="5032" spans="1:5" x14ac:dyDescent="0.3">
      <c r="A5032" t="s">
        <v>3073</v>
      </c>
      <c r="B5032" t="s">
        <v>2733</v>
      </c>
      <c r="C5032" t="s">
        <v>1692</v>
      </c>
      <c r="D5032" t="s">
        <v>99</v>
      </c>
      <c r="E5032" t="s">
        <v>37</v>
      </c>
    </row>
    <row r="5033" spans="1:5" x14ac:dyDescent="0.3">
      <c r="A5033" t="s">
        <v>3091</v>
      </c>
      <c r="B5033" t="s">
        <v>2733</v>
      </c>
      <c r="C5033" t="s">
        <v>1692</v>
      </c>
      <c r="D5033" t="s">
        <v>99</v>
      </c>
      <c r="E5033" t="s">
        <v>37</v>
      </c>
    </row>
    <row r="5034" spans="1:5" x14ac:dyDescent="0.3">
      <c r="A5034" t="s">
        <v>3109</v>
      </c>
      <c r="B5034" t="s">
        <v>2733</v>
      </c>
      <c r="C5034" t="s">
        <v>1692</v>
      </c>
      <c r="D5034" t="s">
        <v>63</v>
      </c>
      <c r="E5034" t="s">
        <v>37</v>
      </c>
    </row>
    <row r="5035" spans="1:5" x14ac:dyDescent="0.3">
      <c r="A5035" t="s">
        <v>3127</v>
      </c>
      <c r="B5035" t="s">
        <v>2733</v>
      </c>
      <c r="C5035" t="s">
        <v>1692</v>
      </c>
      <c r="D5035" t="s">
        <v>43</v>
      </c>
      <c r="E5035" t="s">
        <v>37</v>
      </c>
    </row>
    <row r="5036" spans="1:5" x14ac:dyDescent="0.3">
      <c r="A5036" t="s">
        <v>3145</v>
      </c>
      <c r="B5036" t="s">
        <v>2733</v>
      </c>
      <c r="C5036" t="s">
        <v>1692</v>
      </c>
      <c r="D5036" t="s">
        <v>43</v>
      </c>
      <c r="E5036" t="s">
        <v>37</v>
      </c>
    </row>
    <row r="5037" spans="1:5" x14ac:dyDescent="0.3">
      <c r="A5037" t="s">
        <v>3163</v>
      </c>
      <c r="B5037" t="s">
        <v>2733</v>
      </c>
      <c r="C5037" t="s">
        <v>1692</v>
      </c>
      <c r="D5037" t="s">
        <v>36</v>
      </c>
      <c r="E5037" t="s">
        <v>37</v>
      </c>
    </row>
    <row r="5038" spans="1:5" x14ac:dyDescent="0.3">
      <c r="A5038" t="s">
        <v>3181</v>
      </c>
      <c r="B5038" t="s">
        <v>2733</v>
      </c>
      <c r="C5038" t="s">
        <v>1692</v>
      </c>
      <c r="D5038" t="s">
        <v>41</v>
      </c>
      <c r="E5038" t="s">
        <v>37</v>
      </c>
    </row>
    <row r="5039" spans="1:5" x14ac:dyDescent="0.3">
      <c r="A5039" t="s">
        <v>3199</v>
      </c>
      <c r="B5039" t="s">
        <v>2733</v>
      </c>
      <c r="C5039" t="s">
        <v>1692</v>
      </c>
      <c r="D5039" t="s">
        <v>41</v>
      </c>
      <c r="E5039" t="s">
        <v>37</v>
      </c>
    </row>
    <row r="5040" spans="1:5" x14ac:dyDescent="0.3">
      <c r="A5040" t="s">
        <v>3217</v>
      </c>
      <c r="B5040" t="s">
        <v>2733</v>
      </c>
      <c r="C5040" t="s">
        <v>1692</v>
      </c>
      <c r="D5040" t="s">
        <v>41</v>
      </c>
      <c r="E5040" t="s">
        <v>37</v>
      </c>
    </row>
    <row r="5041" spans="1:5" x14ac:dyDescent="0.3">
      <c r="A5041" t="s">
        <v>3235</v>
      </c>
      <c r="B5041" t="s">
        <v>2733</v>
      </c>
      <c r="C5041" t="s">
        <v>1692</v>
      </c>
      <c r="D5041" t="s">
        <v>41</v>
      </c>
      <c r="E5041" t="s">
        <v>37</v>
      </c>
    </row>
    <row r="5042" spans="1:5" x14ac:dyDescent="0.3">
      <c r="A5042" t="s">
        <v>3253</v>
      </c>
      <c r="B5042" t="s">
        <v>2733</v>
      </c>
      <c r="C5042" t="s">
        <v>1692</v>
      </c>
      <c r="D5042" t="s">
        <v>36</v>
      </c>
      <c r="E5042" t="s">
        <v>37</v>
      </c>
    </row>
    <row r="5043" spans="1:5" x14ac:dyDescent="0.3">
      <c r="A5043" t="s">
        <v>3271</v>
      </c>
      <c r="B5043" t="s">
        <v>2733</v>
      </c>
      <c r="C5043" t="s">
        <v>1692</v>
      </c>
      <c r="D5043" t="s">
        <v>69</v>
      </c>
      <c r="E5043" t="s">
        <v>37</v>
      </c>
    </row>
    <row r="5044" spans="1:5" x14ac:dyDescent="0.3">
      <c r="A5044" t="s">
        <v>3289</v>
      </c>
      <c r="B5044" t="s">
        <v>2733</v>
      </c>
      <c r="C5044" t="s">
        <v>1692</v>
      </c>
      <c r="D5044" t="s">
        <v>36</v>
      </c>
      <c r="E5044" t="s">
        <v>37</v>
      </c>
    </row>
    <row r="5045" spans="1:5" x14ac:dyDescent="0.3">
      <c r="A5045" t="s">
        <v>3307</v>
      </c>
      <c r="B5045" t="s">
        <v>2733</v>
      </c>
      <c r="C5045" t="s">
        <v>1692</v>
      </c>
      <c r="D5045" t="s">
        <v>73</v>
      </c>
      <c r="E5045" t="s">
        <v>37</v>
      </c>
    </row>
    <row r="5046" spans="1:5" x14ac:dyDescent="0.3">
      <c r="A5046" t="s">
        <v>3325</v>
      </c>
      <c r="B5046" t="s">
        <v>2733</v>
      </c>
      <c r="C5046" t="s">
        <v>1692</v>
      </c>
      <c r="D5046" t="s">
        <v>93</v>
      </c>
      <c r="E5046" t="s">
        <v>37</v>
      </c>
    </row>
    <row r="5047" spans="1:5" x14ac:dyDescent="0.3">
      <c r="A5047" t="s">
        <v>3343</v>
      </c>
      <c r="B5047" t="s">
        <v>2733</v>
      </c>
      <c r="C5047" t="s">
        <v>1692</v>
      </c>
      <c r="D5047" t="s">
        <v>43</v>
      </c>
      <c r="E5047" t="s">
        <v>37</v>
      </c>
    </row>
    <row r="5048" spans="1:5" x14ac:dyDescent="0.3">
      <c r="A5048" t="s">
        <v>3361</v>
      </c>
      <c r="B5048" t="s">
        <v>2733</v>
      </c>
      <c r="C5048" t="s">
        <v>1692</v>
      </c>
      <c r="D5048" t="s">
        <v>57</v>
      </c>
      <c r="E5048" t="s">
        <v>37</v>
      </c>
    </row>
    <row r="5049" spans="1:5" x14ac:dyDescent="0.3">
      <c r="A5049" t="s">
        <v>3379</v>
      </c>
      <c r="B5049" t="s">
        <v>2733</v>
      </c>
      <c r="C5049" t="s">
        <v>1692</v>
      </c>
      <c r="D5049" t="s">
        <v>81</v>
      </c>
      <c r="E5049" t="s">
        <v>37</v>
      </c>
    </row>
    <row r="5050" spans="1:5" x14ac:dyDescent="0.3">
      <c r="A5050" t="s">
        <v>3397</v>
      </c>
      <c r="B5050" t="s">
        <v>2733</v>
      </c>
      <c r="C5050" t="s">
        <v>1692</v>
      </c>
      <c r="D5050" t="s">
        <v>53</v>
      </c>
      <c r="E5050" t="s">
        <v>37</v>
      </c>
    </row>
    <row r="5051" spans="1:5" x14ac:dyDescent="0.3">
      <c r="A5051" t="s">
        <v>3415</v>
      </c>
      <c r="B5051" t="s">
        <v>2733</v>
      </c>
      <c r="C5051" t="s">
        <v>1692</v>
      </c>
      <c r="D5051" t="s">
        <v>132</v>
      </c>
      <c r="E5051" t="s">
        <v>37</v>
      </c>
    </row>
    <row r="5052" spans="1:5" x14ac:dyDescent="0.3">
      <c r="A5052" t="s">
        <v>3433</v>
      </c>
      <c r="B5052" t="s">
        <v>2733</v>
      </c>
      <c r="C5052" t="s">
        <v>1692</v>
      </c>
      <c r="D5052" t="s">
        <v>43</v>
      </c>
      <c r="E5052" t="s">
        <v>37</v>
      </c>
    </row>
    <row r="5053" spans="1:5" x14ac:dyDescent="0.3">
      <c r="A5053" t="s">
        <v>3451</v>
      </c>
      <c r="B5053" t="s">
        <v>2733</v>
      </c>
      <c r="C5053" t="s">
        <v>1692</v>
      </c>
      <c r="D5053" t="s">
        <v>151</v>
      </c>
      <c r="E5053" t="s">
        <v>37</v>
      </c>
    </row>
    <row r="5054" spans="1:5" x14ac:dyDescent="0.3">
      <c r="A5054" t="s">
        <v>3469</v>
      </c>
      <c r="B5054" t="s">
        <v>2733</v>
      </c>
      <c r="C5054" t="s">
        <v>1692</v>
      </c>
      <c r="D5054" t="s">
        <v>149</v>
      </c>
      <c r="E5054" t="s">
        <v>37</v>
      </c>
    </row>
    <row r="5055" spans="1:5" x14ac:dyDescent="0.3">
      <c r="A5055" t="s">
        <v>3487</v>
      </c>
      <c r="B5055" t="s">
        <v>2733</v>
      </c>
      <c r="C5055" t="s">
        <v>1692</v>
      </c>
      <c r="D5055" t="s">
        <v>149</v>
      </c>
      <c r="E5055" t="s">
        <v>37</v>
      </c>
    </row>
    <row r="5056" spans="1:5" x14ac:dyDescent="0.3">
      <c r="A5056" t="s">
        <v>3505</v>
      </c>
      <c r="B5056" t="s">
        <v>2733</v>
      </c>
      <c r="C5056" t="s">
        <v>1692</v>
      </c>
      <c r="D5056" t="s">
        <v>147</v>
      </c>
      <c r="E5056" t="s">
        <v>37</v>
      </c>
    </row>
    <row r="5057" spans="1:5" x14ac:dyDescent="0.3">
      <c r="A5057" t="s">
        <v>3523</v>
      </c>
      <c r="B5057" t="s">
        <v>2733</v>
      </c>
      <c r="C5057" t="s">
        <v>1692</v>
      </c>
      <c r="D5057" t="s">
        <v>140</v>
      </c>
      <c r="E5057" t="s">
        <v>37</v>
      </c>
    </row>
    <row r="5058" spans="1:5" x14ac:dyDescent="0.3">
      <c r="A5058" t="s">
        <v>3541</v>
      </c>
      <c r="B5058" t="s">
        <v>2733</v>
      </c>
      <c r="C5058" t="s">
        <v>1692</v>
      </c>
      <c r="D5058" t="s">
        <v>140</v>
      </c>
      <c r="E5058" t="s">
        <v>37</v>
      </c>
    </row>
    <row r="5059" spans="1:5" x14ac:dyDescent="0.3">
      <c r="A5059" t="s">
        <v>3559</v>
      </c>
      <c r="B5059" t="s">
        <v>2733</v>
      </c>
      <c r="C5059" t="s">
        <v>1692</v>
      </c>
      <c r="D5059" t="s">
        <v>143</v>
      </c>
      <c r="E5059" t="s">
        <v>37</v>
      </c>
    </row>
    <row r="5060" spans="1:5" x14ac:dyDescent="0.3">
      <c r="A5060" t="s">
        <v>3577</v>
      </c>
      <c r="B5060" t="s">
        <v>2733</v>
      </c>
      <c r="C5060" t="s">
        <v>1692</v>
      </c>
      <c r="D5060" t="s">
        <v>143</v>
      </c>
      <c r="E5060" t="s">
        <v>37</v>
      </c>
    </row>
    <row r="5061" spans="1:5" x14ac:dyDescent="0.3">
      <c r="A5061" t="s">
        <v>3595</v>
      </c>
      <c r="B5061" t="s">
        <v>2733</v>
      </c>
      <c r="C5061" t="s">
        <v>1692</v>
      </c>
      <c r="D5061" t="s">
        <v>143</v>
      </c>
      <c r="E5061" t="s">
        <v>37</v>
      </c>
    </row>
    <row r="5062" spans="1:5" x14ac:dyDescent="0.3">
      <c r="A5062" t="s">
        <v>3613</v>
      </c>
      <c r="B5062" t="s">
        <v>2733</v>
      </c>
      <c r="C5062" t="s">
        <v>1692</v>
      </c>
      <c r="D5062" t="s">
        <v>143</v>
      </c>
      <c r="E5062" t="s">
        <v>37</v>
      </c>
    </row>
    <row r="5063" spans="1:5" x14ac:dyDescent="0.3">
      <c r="A5063" t="s">
        <v>3631</v>
      </c>
      <c r="B5063" t="s">
        <v>2733</v>
      </c>
      <c r="C5063" t="s">
        <v>1692</v>
      </c>
      <c r="D5063" t="s">
        <v>145</v>
      </c>
      <c r="E5063" t="s">
        <v>37</v>
      </c>
    </row>
    <row r="5064" spans="1:5" x14ac:dyDescent="0.3">
      <c r="A5064" t="s">
        <v>3649</v>
      </c>
      <c r="B5064" t="s">
        <v>2733</v>
      </c>
      <c r="C5064" t="s">
        <v>1692</v>
      </c>
      <c r="D5064" t="s">
        <v>149</v>
      </c>
      <c r="E5064" t="s">
        <v>37</v>
      </c>
    </row>
    <row r="5065" spans="1:5" x14ac:dyDescent="0.3">
      <c r="A5065" t="s">
        <v>3667</v>
      </c>
      <c r="B5065" t="s">
        <v>2733</v>
      </c>
      <c r="C5065" t="s">
        <v>1692</v>
      </c>
      <c r="D5065" t="s">
        <v>151</v>
      </c>
      <c r="E5065" t="s">
        <v>37</v>
      </c>
    </row>
    <row r="5066" spans="1:5" x14ac:dyDescent="0.3">
      <c r="A5066" t="s">
        <v>3685</v>
      </c>
      <c r="B5066" t="s">
        <v>2733</v>
      </c>
      <c r="C5066" t="s">
        <v>1692</v>
      </c>
      <c r="D5066" t="s">
        <v>198</v>
      </c>
      <c r="E5066" t="s">
        <v>37</v>
      </c>
    </row>
    <row r="5067" spans="1:5" x14ac:dyDescent="0.3">
      <c r="A5067" t="s">
        <v>3703</v>
      </c>
      <c r="B5067" t="s">
        <v>2733</v>
      </c>
      <c r="C5067" t="s">
        <v>1692</v>
      </c>
      <c r="D5067" t="s">
        <v>196</v>
      </c>
      <c r="E5067" t="s">
        <v>37</v>
      </c>
    </row>
    <row r="5068" spans="1:5" x14ac:dyDescent="0.3">
      <c r="A5068" t="s">
        <v>3721</v>
      </c>
      <c r="B5068" t="s">
        <v>2733</v>
      </c>
      <c r="C5068" t="s">
        <v>1692</v>
      </c>
      <c r="D5068" t="s">
        <v>194</v>
      </c>
      <c r="E5068" t="s">
        <v>37</v>
      </c>
    </row>
    <row r="5069" spans="1:5" x14ac:dyDescent="0.3">
      <c r="A5069" t="s">
        <v>3739</v>
      </c>
      <c r="B5069" t="s">
        <v>2733</v>
      </c>
      <c r="C5069" t="s">
        <v>1692</v>
      </c>
      <c r="D5069" t="s">
        <v>192</v>
      </c>
      <c r="E5069" t="s">
        <v>37</v>
      </c>
    </row>
    <row r="5070" spans="1:5" x14ac:dyDescent="0.3">
      <c r="A5070" t="s">
        <v>3757</v>
      </c>
      <c r="B5070" t="s">
        <v>2733</v>
      </c>
      <c r="C5070" t="s">
        <v>1692</v>
      </c>
      <c r="D5070" t="s">
        <v>190</v>
      </c>
      <c r="E5070" t="s">
        <v>37</v>
      </c>
    </row>
    <row r="5071" spans="1:5" x14ac:dyDescent="0.3">
      <c r="A5071" t="s">
        <v>3775</v>
      </c>
      <c r="B5071" t="s">
        <v>2733</v>
      </c>
      <c r="C5071" t="s">
        <v>1692</v>
      </c>
      <c r="D5071" t="s">
        <v>188</v>
      </c>
      <c r="E5071" t="s">
        <v>37</v>
      </c>
    </row>
    <row r="5072" spans="1:5" x14ac:dyDescent="0.3">
      <c r="A5072" t="s">
        <v>3793</v>
      </c>
      <c r="B5072" t="s">
        <v>2733</v>
      </c>
      <c r="C5072" t="s">
        <v>1692</v>
      </c>
      <c r="D5072" t="s">
        <v>186</v>
      </c>
      <c r="E5072" t="s">
        <v>37</v>
      </c>
    </row>
    <row r="5073" spans="1:5" x14ac:dyDescent="0.3">
      <c r="A5073" t="s">
        <v>3811</v>
      </c>
      <c r="B5073" t="s">
        <v>2733</v>
      </c>
      <c r="C5073" t="s">
        <v>1692</v>
      </c>
      <c r="D5073" t="s">
        <v>184</v>
      </c>
      <c r="E5073" t="s">
        <v>37</v>
      </c>
    </row>
    <row r="5074" spans="1:5" x14ac:dyDescent="0.3">
      <c r="A5074" t="s">
        <v>3829</v>
      </c>
      <c r="B5074" t="s">
        <v>2733</v>
      </c>
      <c r="C5074" t="s">
        <v>1692</v>
      </c>
      <c r="D5074" t="s">
        <v>182</v>
      </c>
      <c r="E5074" t="s">
        <v>37</v>
      </c>
    </row>
    <row r="5075" spans="1:5" x14ac:dyDescent="0.3">
      <c r="A5075" t="s">
        <v>3847</v>
      </c>
      <c r="B5075" t="s">
        <v>2733</v>
      </c>
      <c r="C5075" t="s">
        <v>1692</v>
      </c>
      <c r="D5075" t="s">
        <v>180</v>
      </c>
      <c r="E5075" t="s">
        <v>37</v>
      </c>
    </row>
    <row r="5076" spans="1:5" x14ac:dyDescent="0.3">
      <c r="A5076" t="s">
        <v>3883</v>
      </c>
      <c r="B5076" t="s">
        <v>2733</v>
      </c>
      <c r="C5076" t="s">
        <v>1692</v>
      </c>
      <c r="D5076" t="s">
        <v>180</v>
      </c>
      <c r="E5076" t="s">
        <v>37</v>
      </c>
    </row>
    <row r="5077" spans="1:5" x14ac:dyDescent="0.3">
      <c r="A5077" t="s">
        <v>3901</v>
      </c>
      <c r="B5077" t="s">
        <v>2733</v>
      </c>
      <c r="C5077" t="s">
        <v>1692</v>
      </c>
      <c r="D5077" t="s">
        <v>178</v>
      </c>
      <c r="E5077" t="s">
        <v>37</v>
      </c>
    </row>
    <row r="5078" spans="1:5" x14ac:dyDescent="0.3">
      <c r="A5078" t="s">
        <v>3919</v>
      </c>
      <c r="B5078" t="s">
        <v>2733</v>
      </c>
      <c r="C5078" t="s">
        <v>1692</v>
      </c>
      <c r="D5078" t="s">
        <v>176</v>
      </c>
      <c r="E5078" t="s">
        <v>37</v>
      </c>
    </row>
    <row r="5079" spans="1:5" x14ac:dyDescent="0.3">
      <c r="A5079" t="s">
        <v>3937</v>
      </c>
      <c r="B5079" t="s">
        <v>2733</v>
      </c>
      <c r="C5079" t="s">
        <v>1692</v>
      </c>
      <c r="D5079" t="s">
        <v>174</v>
      </c>
      <c r="E5079" t="s">
        <v>37</v>
      </c>
    </row>
    <row r="5080" spans="1:5" x14ac:dyDescent="0.3">
      <c r="A5080" t="s">
        <v>3955</v>
      </c>
      <c r="B5080" t="s">
        <v>2733</v>
      </c>
      <c r="C5080" t="s">
        <v>1692</v>
      </c>
      <c r="D5080" t="s">
        <v>172</v>
      </c>
      <c r="E5080" t="s">
        <v>37</v>
      </c>
    </row>
    <row r="5081" spans="1:5" x14ac:dyDescent="0.3">
      <c r="A5081" t="s">
        <v>3973</v>
      </c>
      <c r="B5081" t="s">
        <v>2733</v>
      </c>
      <c r="C5081" t="s">
        <v>1692</v>
      </c>
      <c r="D5081" t="s">
        <v>172</v>
      </c>
      <c r="E5081" t="s">
        <v>37</v>
      </c>
    </row>
    <row r="5082" spans="1:5" x14ac:dyDescent="0.3">
      <c r="A5082" t="s">
        <v>3991</v>
      </c>
      <c r="B5082" t="s">
        <v>2733</v>
      </c>
      <c r="C5082" t="s">
        <v>1692</v>
      </c>
      <c r="D5082" t="s">
        <v>169</v>
      </c>
      <c r="E5082" t="s">
        <v>37</v>
      </c>
    </row>
    <row r="5083" spans="1:5" x14ac:dyDescent="0.3">
      <c r="A5083" t="s">
        <v>4009</v>
      </c>
      <c r="B5083" t="s">
        <v>2733</v>
      </c>
      <c r="C5083" t="s">
        <v>1692</v>
      </c>
      <c r="D5083" t="s">
        <v>172</v>
      </c>
      <c r="E5083" t="s">
        <v>37</v>
      </c>
    </row>
    <row r="5084" spans="1:5" x14ac:dyDescent="0.3">
      <c r="A5084" t="s">
        <v>4027</v>
      </c>
      <c r="B5084" t="s">
        <v>2733</v>
      </c>
      <c r="C5084" t="s">
        <v>1692</v>
      </c>
      <c r="D5084" t="s">
        <v>172</v>
      </c>
      <c r="E5084" t="s">
        <v>37</v>
      </c>
    </row>
    <row r="5085" spans="1:5" x14ac:dyDescent="0.3">
      <c r="A5085" t="s">
        <v>4045</v>
      </c>
      <c r="B5085" t="s">
        <v>2733</v>
      </c>
      <c r="C5085" t="s">
        <v>1692</v>
      </c>
      <c r="D5085" t="s">
        <v>172</v>
      </c>
      <c r="E5085" t="s">
        <v>37</v>
      </c>
    </row>
    <row r="5086" spans="1:5" x14ac:dyDescent="0.3">
      <c r="A5086" t="s">
        <v>4063</v>
      </c>
      <c r="B5086" t="s">
        <v>2733</v>
      </c>
      <c r="C5086" t="s">
        <v>1692</v>
      </c>
      <c r="D5086" t="s">
        <v>172</v>
      </c>
      <c r="E5086" t="s">
        <v>37</v>
      </c>
    </row>
    <row r="5087" spans="1:5" x14ac:dyDescent="0.3">
      <c r="A5087" t="s">
        <v>4081</v>
      </c>
      <c r="B5087" t="s">
        <v>2733</v>
      </c>
      <c r="C5087" t="s">
        <v>1692</v>
      </c>
      <c r="D5087" t="s">
        <v>172</v>
      </c>
      <c r="E5087" t="s">
        <v>37</v>
      </c>
    </row>
    <row r="5088" spans="1:5" x14ac:dyDescent="0.3">
      <c r="A5088" t="s">
        <v>4099</v>
      </c>
      <c r="B5088" t="s">
        <v>2733</v>
      </c>
      <c r="C5088" t="s">
        <v>1692</v>
      </c>
      <c r="D5088" t="s">
        <v>172</v>
      </c>
      <c r="E5088" t="s">
        <v>37</v>
      </c>
    </row>
    <row r="5089" spans="1:5" x14ac:dyDescent="0.3">
      <c r="A5089" t="s">
        <v>4117</v>
      </c>
      <c r="B5089" t="s">
        <v>2733</v>
      </c>
      <c r="C5089" t="s">
        <v>1692</v>
      </c>
      <c r="D5089" t="s">
        <v>172</v>
      </c>
      <c r="E5089" t="s">
        <v>37</v>
      </c>
    </row>
    <row r="5090" spans="1:5" x14ac:dyDescent="0.3">
      <c r="A5090" t="s">
        <v>4135</v>
      </c>
      <c r="B5090" t="s">
        <v>2733</v>
      </c>
      <c r="C5090" t="s">
        <v>1692</v>
      </c>
      <c r="D5090" t="s">
        <v>230</v>
      </c>
      <c r="E5090" t="s">
        <v>37</v>
      </c>
    </row>
    <row r="5091" spans="1:5" x14ac:dyDescent="0.3">
      <c r="A5091" t="s">
        <v>4153</v>
      </c>
      <c r="B5091" t="s">
        <v>2733</v>
      </c>
      <c r="C5091" t="s">
        <v>1692</v>
      </c>
      <c r="D5091" t="s">
        <v>228</v>
      </c>
      <c r="E5091" t="s">
        <v>37</v>
      </c>
    </row>
    <row r="5092" spans="1:5" x14ac:dyDescent="0.3">
      <c r="A5092" t="s">
        <v>4171</v>
      </c>
      <c r="B5092" t="s">
        <v>2733</v>
      </c>
      <c r="C5092" t="s">
        <v>1692</v>
      </c>
      <c r="D5092" t="s">
        <v>228</v>
      </c>
      <c r="E5092" t="s">
        <v>37</v>
      </c>
    </row>
    <row r="5093" spans="1:5" x14ac:dyDescent="0.3">
      <c r="A5093" t="s">
        <v>4189</v>
      </c>
      <c r="B5093" t="s">
        <v>2733</v>
      </c>
      <c r="C5093" t="s">
        <v>1692</v>
      </c>
      <c r="D5093" t="s">
        <v>226</v>
      </c>
      <c r="E5093" t="s">
        <v>37</v>
      </c>
    </row>
    <row r="5094" spans="1:5" x14ac:dyDescent="0.3">
      <c r="A5094" t="s">
        <v>4207</v>
      </c>
      <c r="B5094" t="s">
        <v>2733</v>
      </c>
      <c r="C5094" t="s">
        <v>1692</v>
      </c>
      <c r="D5094" t="s">
        <v>224</v>
      </c>
      <c r="E5094" t="s">
        <v>37</v>
      </c>
    </row>
    <row r="5095" spans="1:5" x14ac:dyDescent="0.3">
      <c r="A5095" t="s">
        <v>4225</v>
      </c>
      <c r="B5095" t="s">
        <v>2733</v>
      </c>
      <c r="C5095" t="s">
        <v>1692</v>
      </c>
      <c r="D5095" t="s">
        <v>222</v>
      </c>
      <c r="E5095" t="s">
        <v>37</v>
      </c>
    </row>
    <row r="5096" spans="1:5" x14ac:dyDescent="0.3">
      <c r="A5096" t="s">
        <v>4243</v>
      </c>
      <c r="B5096" t="s">
        <v>2733</v>
      </c>
      <c r="C5096" t="s">
        <v>1692</v>
      </c>
      <c r="D5096" t="s">
        <v>220</v>
      </c>
      <c r="E5096" t="s">
        <v>37</v>
      </c>
    </row>
    <row r="5097" spans="1:5" x14ac:dyDescent="0.3">
      <c r="A5097" t="s">
        <v>4261</v>
      </c>
      <c r="B5097" t="s">
        <v>2733</v>
      </c>
      <c r="C5097" t="s">
        <v>1692</v>
      </c>
      <c r="D5097" t="s">
        <v>220</v>
      </c>
      <c r="E5097" t="s">
        <v>37</v>
      </c>
    </row>
    <row r="5098" spans="1:5" x14ac:dyDescent="0.3">
      <c r="A5098" t="s">
        <v>4279</v>
      </c>
      <c r="B5098" t="s">
        <v>2733</v>
      </c>
      <c r="C5098" t="s">
        <v>1692</v>
      </c>
      <c r="D5098" t="s">
        <v>220</v>
      </c>
      <c r="E5098" t="s">
        <v>37</v>
      </c>
    </row>
    <row r="5099" spans="1:5" x14ac:dyDescent="0.3">
      <c r="A5099" t="s">
        <v>4297</v>
      </c>
      <c r="B5099" t="s">
        <v>2733</v>
      </c>
      <c r="C5099" t="s">
        <v>1692</v>
      </c>
      <c r="D5099" t="s">
        <v>218</v>
      </c>
      <c r="E5099" t="s">
        <v>37</v>
      </c>
    </row>
    <row r="5100" spans="1:5" x14ac:dyDescent="0.3">
      <c r="A5100" t="s">
        <v>4315</v>
      </c>
      <c r="B5100" t="s">
        <v>2733</v>
      </c>
      <c r="C5100" t="s">
        <v>1692</v>
      </c>
      <c r="D5100" t="s">
        <v>216</v>
      </c>
      <c r="E5100" t="s">
        <v>37</v>
      </c>
    </row>
    <row r="5101" spans="1:5" x14ac:dyDescent="0.3">
      <c r="A5101" t="s">
        <v>4333</v>
      </c>
      <c r="B5101" t="s">
        <v>2733</v>
      </c>
      <c r="C5101" t="s">
        <v>1692</v>
      </c>
      <c r="D5101" t="s">
        <v>214</v>
      </c>
      <c r="E5101" t="s">
        <v>37</v>
      </c>
    </row>
    <row r="5102" spans="1:5" x14ac:dyDescent="0.3">
      <c r="A5102" t="s">
        <v>4351</v>
      </c>
      <c r="B5102" t="s">
        <v>2733</v>
      </c>
      <c r="C5102" t="s">
        <v>1692</v>
      </c>
      <c r="D5102" t="s">
        <v>212</v>
      </c>
      <c r="E5102" t="s">
        <v>37</v>
      </c>
    </row>
    <row r="5103" spans="1:5" x14ac:dyDescent="0.3">
      <c r="A5103" t="s">
        <v>4369</v>
      </c>
      <c r="B5103" t="s">
        <v>2733</v>
      </c>
      <c r="C5103" t="s">
        <v>1692</v>
      </c>
      <c r="D5103" t="s">
        <v>210</v>
      </c>
      <c r="E5103" t="s">
        <v>37</v>
      </c>
    </row>
    <row r="5104" spans="1:5" x14ac:dyDescent="0.3">
      <c r="A5104" t="s">
        <v>4387</v>
      </c>
      <c r="B5104" t="s">
        <v>2733</v>
      </c>
      <c r="C5104" t="s">
        <v>1692</v>
      </c>
      <c r="D5104" t="s">
        <v>208</v>
      </c>
      <c r="E5104" t="s">
        <v>37</v>
      </c>
    </row>
    <row r="5105" spans="1:5" x14ac:dyDescent="0.3">
      <c r="A5105" t="s">
        <v>4405</v>
      </c>
      <c r="B5105" t="s">
        <v>2733</v>
      </c>
      <c r="C5105" t="s">
        <v>1692</v>
      </c>
      <c r="D5105" t="s">
        <v>206</v>
      </c>
      <c r="E5105" t="s">
        <v>37</v>
      </c>
    </row>
    <row r="5106" spans="1:5" x14ac:dyDescent="0.3">
      <c r="A5106" t="s">
        <v>4423</v>
      </c>
      <c r="B5106" t="s">
        <v>2733</v>
      </c>
      <c r="C5106" t="s">
        <v>1692</v>
      </c>
      <c r="D5106" t="s">
        <v>204</v>
      </c>
      <c r="E5106" t="s">
        <v>37</v>
      </c>
    </row>
    <row r="5107" spans="1:5" x14ac:dyDescent="0.3">
      <c r="A5107" t="s">
        <v>4441</v>
      </c>
      <c r="B5107" t="s">
        <v>2733</v>
      </c>
      <c r="C5107" t="s">
        <v>1692</v>
      </c>
      <c r="D5107" t="s">
        <v>202</v>
      </c>
      <c r="E5107" t="s">
        <v>37</v>
      </c>
    </row>
    <row r="5108" spans="1:5" x14ac:dyDescent="0.3">
      <c r="A5108" t="s">
        <v>4459</v>
      </c>
      <c r="B5108" t="s">
        <v>2733</v>
      </c>
      <c r="C5108" t="s">
        <v>1692</v>
      </c>
      <c r="D5108" t="s">
        <v>200</v>
      </c>
      <c r="E5108" t="s">
        <v>37</v>
      </c>
    </row>
    <row r="5109" spans="1:5" x14ac:dyDescent="0.3">
      <c r="A5109" t="s">
        <v>4477</v>
      </c>
      <c r="B5109" t="s">
        <v>2733</v>
      </c>
      <c r="C5109" t="s">
        <v>1692</v>
      </c>
      <c r="D5109" t="s">
        <v>200</v>
      </c>
      <c r="E5109" t="s">
        <v>37</v>
      </c>
    </row>
    <row r="5110" spans="1:5" x14ac:dyDescent="0.3">
      <c r="A5110" t="s">
        <v>4495</v>
      </c>
      <c r="B5110" t="s">
        <v>2733</v>
      </c>
      <c r="C5110" t="s">
        <v>1692</v>
      </c>
      <c r="D5110" t="s">
        <v>266</v>
      </c>
      <c r="E5110" t="s">
        <v>37</v>
      </c>
    </row>
    <row r="5111" spans="1:5" x14ac:dyDescent="0.3">
      <c r="A5111" t="s">
        <v>4513</v>
      </c>
      <c r="B5111" t="s">
        <v>2733</v>
      </c>
      <c r="C5111" t="s">
        <v>1692</v>
      </c>
      <c r="D5111" t="s">
        <v>252</v>
      </c>
      <c r="E5111" t="s">
        <v>37</v>
      </c>
    </row>
    <row r="5112" spans="1:5" x14ac:dyDescent="0.3">
      <c r="A5112" t="s">
        <v>4531</v>
      </c>
      <c r="B5112" t="s">
        <v>2733</v>
      </c>
      <c r="C5112" t="s">
        <v>1692</v>
      </c>
      <c r="D5112" t="s">
        <v>250</v>
      </c>
      <c r="E5112" t="s">
        <v>37</v>
      </c>
    </row>
    <row r="5113" spans="1:5" x14ac:dyDescent="0.3">
      <c r="A5113" t="s">
        <v>4549</v>
      </c>
      <c r="B5113" t="s">
        <v>2733</v>
      </c>
      <c r="C5113" t="s">
        <v>1692</v>
      </c>
      <c r="D5113" s="4" t="s">
        <v>256</v>
      </c>
      <c r="E5113" t="s">
        <v>37</v>
      </c>
    </row>
    <row r="5114" spans="1:5" x14ac:dyDescent="0.3">
      <c r="A5114" t="s">
        <v>4567</v>
      </c>
      <c r="B5114" t="s">
        <v>2733</v>
      </c>
      <c r="C5114" t="s">
        <v>1692</v>
      </c>
      <c r="D5114" s="4" t="s">
        <v>236</v>
      </c>
      <c r="E5114" t="s">
        <v>37</v>
      </c>
    </row>
    <row r="5115" spans="1:5" x14ac:dyDescent="0.3">
      <c r="A5115" t="s">
        <v>4585</v>
      </c>
      <c r="B5115" t="s">
        <v>2733</v>
      </c>
      <c r="C5115" t="s">
        <v>1692</v>
      </c>
      <c r="D5115" t="s">
        <v>236</v>
      </c>
      <c r="E5115" t="s">
        <v>37</v>
      </c>
    </row>
    <row r="5116" spans="1:5" x14ac:dyDescent="0.3">
      <c r="A5116" t="s">
        <v>4603</v>
      </c>
      <c r="B5116" t="s">
        <v>2733</v>
      </c>
      <c r="C5116" t="s">
        <v>1692</v>
      </c>
      <c r="D5116" t="s">
        <v>236</v>
      </c>
      <c r="E5116" t="s">
        <v>37</v>
      </c>
    </row>
    <row r="5117" spans="1:5" x14ac:dyDescent="0.3">
      <c r="A5117" t="s">
        <v>4621</v>
      </c>
      <c r="B5117" t="s">
        <v>2733</v>
      </c>
      <c r="C5117" t="s">
        <v>1692</v>
      </c>
      <c r="D5117" t="s">
        <v>236</v>
      </c>
      <c r="E5117" t="s">
        <v>37</v>
      </c>
    </row>
    <row r="5118" spans="1:5" x14ac:dyDescent="0.3">
      <c r="A5118" t="s">
        <v>4639</v>
      </c>
      <c r="B5118" t="s">
        <v>2733</v>
      </c>
      <c r="C5118" t="s">
        <v>1692</v>
      </c>
      <c r="D5118" t="s">
        <v>252</v>
      </c>
      <c r="E5118" t="s">
        <v>37</v>
      </c>
    </row>
    <row r="5119" spans="1:5" x14ac:dyDescent="0.3">
      <c r="A5119" t="s">
        <v>4657</v>
      </c>
      <c r="B5119" t="s">
        <v>2733</v>
      </c>
      <c r="C5119" t="s">
        <v>1692</v>
      </c>
      <c r="D5119" t="s">
        <v>172</v>
      </c>
      <c r="E5119" t="s">
        <v>37</v>
      </c>
    </row>
    <row r="5120" spans="1:5" x14ac:dyDescent="0.3">
      <c r="A5120" t="s">
        <v>4675</v>
      </c>
      <c r="B5120" t="s">
        <v>2733</v>
      </c>
      <c r="C5120" t="s">
        <v>1692</v>
      </c>
      <c r="D5120" t="s">
        <v>172</v>
      </c>
      <c r="E5120" t="s">
        <v>37</v>
      </c>
    </row>
  </sheetData>
  <autoFilter ref="A1:AA5120" xr:uid="{6DF9AD75-7CC3-4C18-A2F6-CD57E0F30872}">
    <sortState xmlns:xlrd2="http://schemas.microsoft.com/office/spreadsheetml/2017/richdata2" ref="A2:AA5012">
      <sortCondition ref="A1:A5012"/>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79B73-5569-4377-BEC8-2F100FCFCA41}">
  <dimension ref="A1:R76"/>
  <sheetViews>
    <sheetView workbookViewId="0">
      <pane ySplit="16" topLeftCell="A59" activePane="bottomLeft" state="frozen"/>
      <selection pane="bottomLeft" activeCell="C55" sqref="C55:C56"/>
    </sheetView>
  </sheetViews>
  <sheetFormatPr defaultRowHeight="14.4" x14ac:dyDescent="0.3"/>
  <cols>
    <col min="1" max="3" width="42.5546875" customWidth="1"/>
    <col min="4" max="17" width="13.33203125" customWidth="1"/>
    <col min="18" max="18" width="46.33203125" customWidth="1"/>
  </cols>
  <sheetData>
    <row r="1" spans="1:18" ht="18" x14ac:dyDescent="0.35">
      <c r="A1" s="7" t="s">
        <v>4840</v>
      </c>
    </row>
    <row r="2" spans="1:18" x14ac:dyDescent="0.3">
      <c r="A2" s="8" t="s">
        <v>4841</v>
      </c>
    </row>
    <row r="4" spans="1:18" x14ac:dyDescent="0.3">
      <c r="A4" s="6" t="s">
        <v>4842</v>
      </c>
    </row>
    <row r="5" spans="1:18" x14ac:dyDescent="0.3">
      <c r="A5" s="10" t="s">
        <v>4733</v>
      </c>
      <c r="B5" s="11" t="s">
        <v>1175</v>
      </c>
      <c r="C5" s="11" t="s">
        <v>1213</v>
      </c>
      <c r="D5" s="11" t="s">
        <v>1250</v>
      </c>
      <c r="E5" s="11" t="s">
        <v>1287</v>
      </c>
      <c r="F5" s="11" t="s">
        <v>1324</v>
      </c>
      <c r="G5" s="11" t="s">
        <v>1361</v>
      </c>
      <c r="H5" s="11" t="s">
        <v>1398</v>
      </c>
      <c r="I5" s="11" t="s">
        <v>1435</v>
      </c>
      <c r="J5" s="11" t="s">
        <v>1472</v>
      </c>
      <c r="K5" s="11" t="s">
        <v>1509</v>
      </c>
      <c r="L5" s="11" t="s">
        <v>1546</v>
      </c>
      <c r="M5" s="11" t="s">
        <v>1583</v>
      </c>
      <c r="N5" s="11" t="s">
        <v>1620</v>
      </c>
      <c r="O5" s="11" t="s">
        <v>1657</v>
      </c>
      <c r="P5" s="12" t="s">
        <v>4843</v>
      </c>
    </row>
    <row r="6" spans="1:18" x14ac:dyDescent="0.3">
      <c r="A6" s="13" t="s">
        <v>4739</v>
      </c>
      <c r="B6" s="14">
        <f>COUNTIF(SSC_Ontology_Ver0.5!$A$815:$A$1346,"*CCU3F0301*")</f>
        <v>38</v>
      </c>
      <c r="C6" s="14">
        <f>COUNTIF(SSC_Ontology_Ver0.5!$A$815:$A$1346,"*CCU3F0302*")</f>
        <v>38</v>
      </c>
      <c r="D6" s="14">
        <f>COUNTIF(SSC_Ontology_Ver0.5!$A$815:$A$1346,"*CCUB0001A*")</f>
        <v>38</v>
      </c>
      <c r="E6" s="14">
        <f>COUNTIF(SSC_Ontology_Ver0.5!$A$815:$A$1346,"*CCUB0001B*")</f>
        <v>38</v>
      </c>
      <c r="F6" s="14">
        <f>COUNTIF(SSC_Ontology_Ver0.5!$A$815:$A$1346,"*CCUB0002A*")</f>
        <v>38</v>
      </c>
      <c r="G6" s="14">
        <f>COUNTIF(SSC_Ontology_Ver0.5!$A$815:$A$1346,"*CCUB0002B*")</f>
        <v>38</v>
      </c>
      <c r="H6" s="14">
        <f>COUNTIF(SSC_Ontology_Ver0.5!$A$815:$A$1346,"*CCUB0003*")</f>
        <v>38</v>
      </c>
      <c r="I6" s="14">
        <f>COUNTIF(SSC_Ontology_Ver0.5!$A$815:$A$1346,"*CCUB0004*")</f>
        <v>38</v>
      </c>
      <c r="J6" s="14">
        <f>COUNTIF(SSC_Ontology_Ver0.5!$A$815:$A$1346,"*CCUB0005A*")</f>
        <v>38</v>
      </c>
      <c r="K6" s="14">
        <f>COUNTIF(SSC_Ontology_Ver0.5!$A$815:$A$1346,"*CCUB0005B*")</f>
        <v>38</v>
      </c>
      <c r="L6" s="14">
        <f>COUNTIF(SSC_Ontology_Ver0.5!$A$815:$A$1346,"*CCUB0006A*")</f>
        <v>38</v>
      </c>
      <c r="M6" s="14">
        <f>COUNTIF(SSC_Ontology_Ver0.5!$A$815:$A$1346,"*CCUB0006B*")</f>
        <v>38</v>
      </c>
      <c r="N6" s="14">
        <f>COUNTIF(SSC_Ontology_Ver0.5!$A$815:$A$1346,"*CCUB0007*")</f>
        <v>38</v>
      </c>
      <c r="O6" s="14">
        <f>COUNTIF(SSC_Ontology_Ver0.5!$A$815:$A$1346,"*CCUB0008*")</f>
        <v>38</v>
      </c>
      <c r="P6" s="15" t="str">
        <f>IF(MIN(B6:O6)=MAX(B6:O6),"All equal ("&amp;B6&amp;" rows)","MISMATCH")</f>
        <v>All equal (38 rows)</v>
      </c>
    </row>
    <row r="7" spans="1:18" x14ac:dyDescent="0.3">
      <c r="A7" s="16" t="s">
        <v>4844</v>
      </c>
      <c r="B7" s="17">
        <f>B6-$B$6</f>
        <v>0</v>
      </c>
      <c r="C7" s="17">
        <f>C6-$B$6</f>
        <v>0</v>
      </c>
      <c r="D7" s="17">
        <f>D6-$B$6</f>
        <v>0</v>
      </c>
      <c r="E7" s="17">
        <f>E6-$B$6</f>
        <v>0</v>
      </c>
      <c r="F7" s="17">
        <f>F6-$B$6</f>
        <v>0</v>
      </c>
      <c r="G7" s="17">
        <f>G6-$B$6</f>
        <v>0</v>
      </c>
      <c r="H7" s="17">
        <f>H6-$B$6</f>
        <v>0</v>
      </c>
      <c r="I7" s="17">
        <f>I6-$B$6</f>
        <v>0</v>
      </c>
      <c r="J7" s="17">
        <f>J6-$B$6</f>
        <v>0</v>
      </c>
      <c r="K7" s="17">
        <f>K6-$B$6</f>
        <v>0</v>
      </c>
      <c r="L7" s="17">
        <f>L6-$B$6</f>
        <v>0</v>
      </c>
      <c r="M7" s="17">
        <f>M6-$B$6</f>
        <v>0</v>
      </c>
      <c r="N7" s="17">
        <f>N6-$B$6</f>
        <v>0</v>
      </c>
      <c r="O7" s="17">
        <f>O6-$B$6</f>
        <v>0</v>
      </c>
      <c r="P7" s="18"/>
    </row>
    <row r="9" spans="1:18" x14ac:dyDescent="0.3">
      <c r="A9" s="6" t="s">
        <v>4845</v>
      </c>
    </row>
    <row r="10" spans="1:18" x14ac:dyDescent="0.3">
      <c r="A10" t="s">
        <v>4846</v>
      </c>
    </row>
    <row r="11" spans="1:18" x14ac:dyDescent="0.3">
      <c r="A11" t="s">
        <v>4847</v>
      </c>
    </row>
    <row r="12" spans="1:18" x14ac:dyDescent="0.3">
      <c r="A12" t="s">
        <v>4848</v>
      </c>
    </row>
    <row r="13" spans="1:18" x14ac:dyDescent="0.3">
      <c r="A13" t="s">
        <v>4849</v>
      </c>
    </row>
    <row r="15" spans="1:18" x14ac:dyDescent="0.3">
      <c r="A15" s="6" t="s">
        <v>4850</v>
      </c>
    </row>
    <row r="16" spans="1:18" x14ac:dyDescent="0.3">
      <c r="A16" s="10" t="s">
        <v>4741</v>
      </c>
      <c r="B16" s="11" t="s">
        <v>4742</v>
      </c>
      <c r="C16" s="11" t="s">
        <v>4743</v>
      </c>
      <c r="D16" s="11" t="s">
        <v>1175</v>
      </c>
      <c r="E16" s="11" t="s">
        <v>1213</v>
      </c>
      <c r="F16" s="11" t="s">
        <v>1250</v>
      </c>
      <c r="G16" s="11" t="s">
        <v>1287</v>
      </c>
      <c r="H16" s="11" t="s">
        <v>1324</v>
      </c>
      <c r="I16" s="11" t="s">
        <v>1361</v>
      </c>
      <c r="J16" s="11" t="s">
        <v>1398</v>
      </c>
      <c r="K16" s="11" t="s">
        <v>1435</v>
      </c>
      <c r="L16" s="11" t="s">
        <v>1472</v>
      </c>
      <c r="M16" s="11" t="s">
        <v>1509</v>
      </c>
      <c r="N16" s="11" t="s">
        <v>1546</v>
      </c>
      <c r="O16" s="11" t="s">
        <v>1583</v>
      </c>
      <c r="P16" s="11" t="s">
        <v>1620</v>
      </c>
      <c r="Q16" s="11" t="s">
        <v>1657</v>
      </c>
      <c r="R16" s="12" t="s">
        <v>4760</v>
      </c>
    </row>
    <row r="17" spans="1:18" x14ac:dyDescent="0.3">
      <c r="A17" s="13" t="s">
        <v>4851</v>
      </c>
      <c r="B17" s="14" t="s">
        <v>308</v>
      </c>
      <c r="C17" s="14" t="s">
        <v>4852</v>
      </c>
      <c r="D17" s="19">
        <f>COUNTIFS(SSC_Ontology_Ver0.5!$A$815:$A$1346,SUBSTITUTE($A17,"{U}",D$16),SSC_Ontology_Ver0.5!$C$815:$C$1346,$B17,SSC_Ontology_Ver0.5!$D$815:$D$1346,SUBSTITUTE($C17,"{U}",D$16))</f>
        <v>1</v>
      </c>
      <c r="E17" s="19">
        <f>COUNTIFS(SSC_Ontology_Ver0.5!$A$815:$A$1346,SUBSTITUTE($A17,"{U}",E$16),SSC_Ontology_Ver0.5!$C$815:$C$1346,$B17,SSC_Ontology_Ver0.5!$D$815:$D$1346,SUBSTITUTE($C17,"{U}",E$16))</f>
        <v>1</v>
      </c>
      <c r="F17" s="19">
        <f>COUNTIFS(SSC_Ontology_Ver0.5!$A$815:$A$1346,SUBSTITUTE($A17,"{U}",F$16),SSC_Ontology_Ver0.5!$C$815:$C$1346,$B17,SSC_Ontology_Ver0.5!$D$815:$D$1346,SUBSTITUTE($C17,"{U}",F$16))</f>
        <v>1</v>
      </c>
      <c r="G17" s="19">
        <f>COUNTIFS(SSC_Ontology_Ver0.5!$A$815:$A$1346,SUBSTITUTE($A17,"{U}",G$16),SSC_Ontology_Ver0.5!$C$815:$C$1346,$B17,SSC_Ontology_Ver0.5!$D$815:$D$1346,SUBSTITUTE($C17,"{U}",G$16))</f>
        <v>1</v>
      </c>
      <c r="H17" s="19">
        <f>COUNTIFS(SSC_Ontology_Ver0.5!$A$815:$A$1346,SUBSTITUTE($A17,"{U}",H$16),SSC_Ontology_Ver0.5!$C$815:$C$1346,$B17,SSC_Ontology_Ver0.5!$D$815:$D$1346,SUBSTITUTE($C17,"{U}",H$16))</f>
        <v>1</v>
      </c>
      <c r="I17" s="19">
        <f>COUNTIFS(SSC_Ontology_Ver0.5!$A$815:$A$1346,SUBSTITUTE($A17,"{U}",I$16),SSC_Ontology_Ver0.5!$C$815:$C$1346,$B17,SSC_Ontology_Ver0.5!$D$815:$D$1346,SUBSTITUTE($C17,"{U}",I$16))</f>
        <v>1</v>
      </c>
      <c r="J17" s="19">
        <f>COUNTIFS(SSC_Ontology_Ver0.5!$A$815:$A$1346,SUBSTITUTE($A17,"{U}",J$16),SSC_Ontology_Ver0.5!$C$815:$C$1346,$B17,SSC_Ontology_Ver0.5!$D$815:$D$1346,SUBSTITUTE($C17,"{U}",J$16))</f>
        <v>1</v>
      </c>
      <c r="K17" s="19">
        <f>COUNTIFS(SSC_Ontology_Ver0.5!$A$815:$A$1346,SUBSTITUTE($A17,"{U}",K$16),SSC_Ontology_Ver0.5!$C$815:$C$1346,$B17,SSC_Ontology_Ver0.5!$D$815:$D$1346,SUBSTITUTE($C17,"{U}",K$16))</f>
        <v>1</v>
      </c>
      <c r="L17" s="19">
        <f>COUNTIFS(SSC_Ontology_Ver0.5!$A$815:$A$1346,SUBSTITUTE($A17,"{U}",L$16),SSC_Ontology_Ver0.5!$C$815:$C$1346,$B17,SSC_Ontology_Ver0.5!$D$815:$D$1346,SUBSTITUTE($C17,"{U}",L$16))</f>
        <v>1</v>
      </c>
      <c r="M17" s="19">
        <f>COUNTIFS(SSC_Ontology_Ver0.5!$A$815:$A$1346,SUBSTITUTE($A17,"{U}",M$16),SSC_Ontology_Ver0.5!$C$815:$C$1346,$B17,SSC_Ontology_Ver0.5!$D$815:$D$1346,SUBSTITUTE($C17,"{U}",M$16))</f>
        <v>1</v>
      </c>
      <c r="N17" s="19">
        <f>COUNTIFS(SSC_Ontology_Ver0.5!$A$815:$A$1346,SUBSTITUTE($A17,"{U}",N$16),SSC_Ontology_Ver0.5!$C$815:$C$1346,$B17,SSC_Ontology_Ver0.5!$D$815:$D$1346,SUBSTITUTE($C17,"{U}",N$16))</f>
        <v>1</v>
      </c>
      <c r="O17" s="19">
        <f>COUNTIFS(SSC_Ontology_Ver0.5!$A$815:$A$1346,SUBSTITUTE($A17,"{U}",O$16),SSC_Ontology_Ver0.5!$C$815:$C$1346,$B17,SSC_Ontology_Ver0.5!$D$815:$D$1346,SUBSTITUTE($C17,"{U}",O$16))</f>
        <v>1</v>
      </c>
      <c r="P17" s="19">
        <f>COUNTIFS(SSC_Ontology_Ver0.5!$A$815:$A$1346,SUBSTITUTE($A17,"{U}",P$16),SSC_Ontology_Ver0.5!$C$815:$C$1346,$B17,SSC_Ontology_Ver0.5!$D$815:$D$1346,SUBSTITUTE($C17,"{U}",P$16))</f>
        <v>1</v>
      </c>
      <c r="Q17" s="19">
        <f>COUNTIFS(SSC_Ontology_Ver0.5!$A$815:$A$1346,SUBSTITUTE($A17,"{U}",Q$16),SSC_Ontology_Ver0.5!$C$815:$C$1346,$B17,SSC_Ontology_Ver0.5!$D$815:$D$1346,SUBSTITUTE($C17,"{U}",Q$16))</f>
        <v>1</v>
      </c>
      <c r="R17" s="15" t="str">
        <f>IF($B17="rec:locatedIn","Excluded - location varies by unit",IF(AND(MIN(D17:Q17)=MAX(D17:Q17),MAX(D17:Q17)=1),"OK",IF(MIN(D17:Q17)=0,"Not on all units","Duplicated")))</f>
        <v>OK</v>
      </c>
    </row>
    <row r="18" spans="1:18" x14ac:dyDescent="0.3">
      <c r="A18" s="13" t="s">
        <v>4851</v>
      </c>
      <c r="B18" s="14" t="s">
        <v>308</v>
      </c>
      <c r="C18" s="14" t="s">
        <v>4853</v>
      </c>
      <c r="D18" s="19">
        <f>COUNTIFS(SSC_Ontology_Ver0.5!$A$815:$A$1346,SUBSTITUTE($A18,"{U}",D$16),SSC_Ontology_Ver0.5!$C$815:$C$1346,$B18,SSC_Ontology_Ver0.5!$D$815:$D$1346,SUBSTITUTE($C18,"{U}",D$16))</f>
        <v>1</v>
      </c>
      <c r="E18" s="19">
        <f>COUNTIFS(SSC_Ontology_Ver0.5!$A$815:$A$1346,SUBSTITUTE($A18,"{U}",E$16),SSC_Ontology_Ver0.5!$C$815:$C$1346,$B18,SSC_Ontology_Ver0.5!$D$815:$D$1346,SUBSTITUTE($C18,"{U}",E$16))</f>
        <v>1</v>
      </c>
      <c r="F18" s="19">
        <f>COUNTIFS(SSC_Ontology_Ver0.5!$A$815:$A$1346,SUBSTITUTE($A18,"{U}",F$16),SSC_Ontology_Ver0.5!$C$815:$C$1346,$B18,SSC_Ontology_Ver0.5!$D$815:$D$1346,SUBSTITUTE($C18,"{U}",F$16))</f>
        <v>1</v>
      </c>
      <c r="G18" s="19">
        <f>COUNTIFS(SSC_Ontology_Ver0.5!$A$815:$A$1346,SUBSTITUTE($A18,"{U}",G$16),SSC_Ontology_Ver0.5!$C$815:$C$1346,$B18,SSC_Ontology_Ver0.5!$D$815:$D$1346,SUBSTITUTE($C18,"{U}",G$16))</f>
        <v>1</v>
      </c>
      <c r="H18" s="19">
        <f>COUNTIFS(SSC_Ontology_Ver0.5!$A$815:$A$1346,SUBSTITUTE($A18,"{U}",H$16),SSC_Ontology_Ver0.5!$C$815:$C$1346,$B18,SSC_Ontology_Ver0.5!$D$815:$D$1346,SUBSTITUTE($C18,"{U}",H$16))</f>
        <v>1</v>
      </c>
      <c r="I18" s="19">
        <f>COUNTIFS(SSC_Ontology_Ver0.5!$A$815:$A$1346,SUBSTITUTE($A18,"{U}",I$16),SSC_Ontology_Ver0.5!$C$815:$C$1346,$B18,SSC_Ontology_Ver0.5!$D$815:$D$1346,SUBSTITUTE($C18,"{U}",I$16))</f>
        <v>1</v>
      </c>
      <c r="J18" s="19">
        <f>COUNTIFS(SSC_Ontology_Ver0.5!$A$815:$A$1346,SUBSTITUTE($A18,"{U}",J$16),SSC_Ontology_Ver0.5!$C$815:$C$1346,$B18,SSC_Ontology_Ver0.5!$D$815:$D$1346,SUBSTITUTE($C18,"{U}",J$16))</f>
        <v>1</v>
      </c>
      <c r="K18" s="19">
        <f>COUNTIFS(SSC_Ontology_Ver0.5!$A$815:$A$1346,SUBSTITUTE($A18,"{U}",K$16),SSC_Ontology_Ver0.5!$C$815:$C$1346,$B18,SSC_Ontology_Ver0.5!$D$815:$D$1346,SUBSTITUTE($C18,"{U}",K$16))</f>
        <v>1</v>
      </c>
      <c r="L18" s="19">
        <f>COUNTIFS(SSC_Ontology_Ver0.5!$A$815:$A$1346,SUBSTITUTE($A18,"{U}",L$16),SSC_Ontology_Ver0.5!$C$815:$C$1346,$B18,SSC_Ontology_Ver0.5!$D$815:$D$1346,SUBSTITUTE($C18,"{U}",L$16))</f>
        <v>1</v>
      </c>
      <c r="M18" s="19">
        <f>COUNTIFS(SSC_Ontology_Ver0.5!$A$815:$A$1346,SUBSTITUTE($A18,"{U}",M$16),SSC_Ontology_Ver0.5!$C$815:$C$1346,$B18,SSC_Ontology_Ver0.5!$D$815:$D$1346,SUBSTITUTE($C18,"{U}",M$16))</f>
        <v>1</v>
      </c>
      <c r="N18" s="19">
        <f>COUNTIFS(SSC_Ontology_Ver0.5!$A$815:$A$1346,SUBSTITUTE($A18,"{U}",N$16),SSC_Ontology_Ver0.5!$C$815:$C$1346,$B18,SSC_Ontology_Ver0.5!$D$815:$D$1346,SUBSTITUTE($C18,"{U}",N$16))</f>
        <v>1</v>
      </c>
      <c r="O18" s="19">
        <f>COUNTIFS(SSC_Ontology_Ver0.5!$A$815:$A$1346,SUBSTITUTE($A18,"{U}",O$16),SSC_Ontology_Ver0.5!$C$815:$C$1346,$B18,SSC_Ontology_Ver0.5!$D$815:$D$1346,SUBSTITUTE($C18,"{U}",O$16))</f>
        <v>1</v>
      </c>
      <c r="P18" s="19">
        <f>COUNTIFS(SSC_Ontology_Ver0.5!$A$815:$A$1346,SUBSTITUTE($A18,"{U}",P$16),SSC_Ontology_Ver0.5!$C$815:$C$1346,$B18,SSC_Ontology_Ver0.5!$D$815:$D$1346,SUBSTITUTE($C18,"{U}",P$16))</f>
        <v>1</v>
      </c>
      <c r="Q18" s="19">
        <f>COUNTIFS(SSC_Ontology_Ver0.5!$A$815:$A$1346,SUBSTITUTE($A18,"{U}",Q$16),SSC_Ontology_Ver0.5!$C$815:$C$1346,$B18,SSC_Ontology_Ver0.5!$D$815:$D$1346,SUBSTITUTE($C18,"{U}",Q$16))</f>
        <v>1</v>
      </c>
      <c r="R18" s="15" t="str">
        <f>IF($B18="rec:locatedIn","Excluded - location varies by unit",IF(AND(MIN(D18:Q18)=MAX(D18:Q18),MAX(D18:Q18)=1),"OK",IF(MIN(D18:Q18)=0,"Not on all units","Duplicated")))</f>
        <v>OK</v>
      </c>
    </row>
    <row r="19" spans="1:18" x14ac:dyDescent="0.3">
      <c r="A19" s="13" t="s">
        <v>4851</v>
      </c>
      <c r="B19" s="14" t="s">
        <v>308</v>
      </c>
      <c r="C19" s="14" t="s">
        <v>4854</v>
      </c>
      <c r="D19" s="19">
        <f>COUNTIFS(SSC_Ontology_Ver0.5!$A$815:$A$1346,SUBSTITUTE($A19,"{U}",D$16),SSC_Ontology_Ver0.5!$C$815:$C$1346,$B19,SSC_Ontology_Ver0.5!$D$815:$D$1346,SUBSTITUTE($C19,"{U}",D$16))</f>
        <v>1</v>
      </c>
      <c r="E19" s="19">
        <f>COUNTIFS(SSC_Ontology_Ver0.5!$A$815:$A$1346,SUBSTITUTE($A19,"{U}",E$16),SSC_Ontology_Ver0.5!$C$815:$C$1346,$B19,SSC_Ontology_Ver0.5!$D$815:$D$1346,SUBSTITUTE($C19,"{U}",E$16))</f>
        <v>1</v>
      </c>
      <c r="F19" s="19">
        <f>COUNTIFS(SSC_Ontology_Ver0.5!$A$815:$A$1346,SUBSTITUTE($A19,"{U}",F$16),SSC_Ontology_Ver0.5!$C$815:$C$1346,$B19,SSC_Ontology_Ver0.5!$D$815:$D$1346,SUBSTITUTE($C19,"{U}",F$16))</f>
        <v>1</v>
      </c>
      <c r="G19" s="19">
        <f>COUNTIFS(SSC_Ontology_Ver0.5!$A$815:$A$1346,SUBSTITUTE($A19,"{U}",G$16),SSC_Ontology_Ver0.5!$C$815:$C$1346,$B19,SSC_Ontology_Ver0.5!$D$815:$D$1346,SUBSTITUTE($C19,"{U}",G$16))</f>
        <v>1</v>
      </c>
      <c r="H19" s="19">
        <f>COUNTIFS(SSC_Ontology_Ver0.5!$A$815:$A$1346,SUBSTITUTE($A19,"{U}",H$16),SSC_Ontology_Ver0.5!$C$815:$C$1346,$B19,SSC_Ontology_Ver0.5!$D$815:$D$1346,SUBSTITUTE($C19,"{U}",H$16))</f>
        <v>1</v>
      </c>
      <c r="I19" s="19">
        <f>COUNTIFS(SSC_Ontology_Ver0.5!$A$815:$A$1346,SUBSTITUTE($A19,"{U}",I$16),SSC_Ontology_Ver0.5!$C$815:$C$1346,$B19,SSC_Ontology_Ver0.5!$D$815:$D$1346,SUBSTITUTE($C19,"{U}",I$16))</f>
        <v>1</v>
      </c>
      <c r="J19" s="19">
        <f>COUNTIFS(SSC_Ontology_Ver0.5!$A$815:$A$1346,SUBSTITUTE($A19,"{U}",J$16),SSC_Ontology_Ver0.5!$C$815:$C$1346,$B19,SSC_Ontology_Ver0.5!$D$815:$D$1346,SUBSTITUTE($C19,"{U}",J$16))</f>
        <v>1</v>
      </c>
      <c r="K19" s="19">
        <f>COUNTIFS(SSC_Ontology_Ver0.5!$A$815:$A$1346,SUBSTITUTE($A19,"{U}",K$16),SSC_Ontology_Ver0.5!$C$815:$C$1346,$B19,SSC_Ontology_Ver0.5!$D$815:$D$1346,SUBSTITUTE($C19,"{U}",K$16))</f>
        <v>1</v>
      </c>
      <c r="L19" s="19">
        <f>COUNTIFS(SSC_Ontology_Ver0.5!$A$815:$A$1346,SUBSTITUTE($A19,"{U}",L$16),SSC_Ontology_Ver0.5!$C$815:$C$1346,$B19,SSC_Ontology_Ver0.5!$D$815:$D$1346,SUBSTITUTE($C19,"{U}",L$16))</f>
        <v>1</v>
      </c>
      <c r="M19" s="19">
        <f>COUNTIFS(SSC_Ontology_Ver0.5!$A$815:$A$1346,SUBSTITUTE($A19,"{U}",M$16),SSC_Ontology_Ver0.5!$C$815:$C$1346,$B19,SSC_Ontology_Ver0.5!$D$815:$D$1346,SUBSTITUTE($C19,"{U}",M$16))</f>
        <v>1</v>
      </c>
      <c r="N19" s="19">
        <f>COUNTIFS(SSC_Ontology_Ver0.5!$A$815:$A$1346,SUBSTITUTE($A19,"{U}",N$16),SSC_Ontology_Ver0.5!$C$815:$C$1346,$B19,SSC_Ontology_Ver0.5!$D$815:$D$1346,SUBSTITUTE($C19,"{U}",N$16))</f>
        <v>1</v>
      </c>
      <c r="O19" s="19">
        <f>COUNTIFS(SSC_Ontology_Ver0.5!$A$815:$A$1346,SUBSTITUTE($A19,"{U}",O$16),SSC_Ontology_Ver0.5!$C$815:$C$1346,$B19,SSC_Ontology_Ver0.5!$D$815:$D$1346,SUBSTITUTE($C19,"{U}",O$16))</f>
        <v>1</v>
      </c>
      <c r="P19" s="19">
        <f>COUNTIFS(SSC_Ontology_Ver0.5!$A$815:$A$1346,SUBSTITUTE($A19,"{U}",P$16),SSC_Ontology_Ver0.5!$C$815:$C$1346,$B19,SSC_Ontology_Ver0.5!$D$815:$D$1346,SUBSTITUTE($C19,"{U}",P$16))</f>
        <v>1</v>
      </c>
      <c r="Q19" s="19">
        <f>COUNTIFS(SSC_Ontology_Ver0.5!$A$815:$A$1346,SUBSTITUTE($A19,"{U}",Q$16),SSC_Ontology_Ver0.5!$C$815:$C$1346,$B19,SSC_Ontology_Ver0.5!$D$815:$D$1346,SUBSTITUTE($C19,"{U}",Q$16))</f>
        <v>1</v>
      </c>
      <c r="R19" s="15" t="str">
        <f>IF($B19="rec:locatedIn","Excluded - location varies by unit",IF(AND(MIN(D19:Q19)=MAX(D19:Q19),MAX(D19:Q19)=1),"OK",IF(MIN(D19:Q19)=0,"Not on all units","Duplicated")))</f>
        <v>OK</v>
      </c>
    </row>
    <row r="20" spans="1:18" x14ac:dyDescent="0.3">
      <c r="A20" s="13" t="s">
        <v>4851</v>
      </c>
      <c r="B20" s="14" t="s">
        <v>308</v>
      </c>
      <c r="C20" s="14" t="s">
        <v>4855</v>
      </c>
      <c r="D20" s="19">
        <f>COUNTIFS(SSC_Ontology_Ver0.5!$A$815:$A$1346,SUBSTITUTE($A20,"{U}",D$16),SSC_Ontology_Ver0.5!$C$815:$C$1346,$B20,SSC_Ontology_Ver0.5!$D$815:$D$1346,SUBSTITUTE($C20,"{U}",D$16))</f>
        <v>1</v>
      </c>
      <c r="E20" s="19">
        <f>COUNTIFS(SSC_Ontology_Ver0.5!$A$815:$A$1346,SUBSTITUTE($A20,"{U}",E$16),SSC_Ontology_Ver0.5!$C$815:$C$1346,$B20,SSC_Ontology_Ver0.5!$D$815:$D$1346,SUBSTITUTE($C20,"{U}",E$16))</f>
        <v>1</v>
      </c>
      <c r="F20" s="19">
        <f>COUNTIFS(SSC_Ontology_Ver0.5!$A$815:$A$1346,SUBSTITUTE($A20,"{U}",F$16),SSC_Ontology_Ver0.5!$C$815:$C$1346,$B20,SSC_Ontology_Ver0.5!$D$815:$D$1346,SUBSTITUTE($C20,"{U}",F$16))</f>
        <v>1</v>
      </c>
      <c r="G20" s="19">
        <f>COUNTIFS(SSC_Ontology_Ver0.5!$A$815:$A$1346,SUBSTITUTE($A20,"{U}",G$16),SSC_Ontology_Ver0.5!$C$815:$C$1346,$B20,SSC_Ontology_Ver0.5!$D$815:$D$1346,SUBSTITUTE($C20,"{U}",G$16))</f>
        <v>1</v>
      </c>
      <c r="H20" s="19">
        <f>COUNTIFS(SSC_Ontology_Ver0.5!$A$815:$A$1346,SUBSTITUTE($A20,"{U}",H$16),SSC_Ontology_Ver0.5!$C$815:$C$1346,$B20,SSC_Ontology_Ver0.5!$D$815:$D$1346,SUBSTITUTE($C20,"{U}",H$16))</f>
        <v>1</v>
      </c>
      <c r="I20" s="19">
        <f>COUNTIFS(SSC_Ontology_Ver0.5!$A$815:$A$1346,SUBSTITUTE($A20,"{U}",I$16),SSC_Ontology_Ver0.5!$C$815:$C$1346,$B20,SSC_Ontology_Ver0.5!$D$815:$D$1346,SUBSTITUTE($C20,"{U}",I$16))</f>
        <v>1</v>
      </c>
      <c r="J20" s="19">
        <f>COUNTIFS(SSC_Ontology_Ver0.5!$A$815:$A$1346,SUBSTITUTE($A20,"{U}",J$16),SSC_Ontology_Ver0.5!$C$815:$C$1346,$B20,SSC_Ontology_Ver0.5!$D$815:$D$1346,SUBSTITUTE($C20,"{U}",J$16))</f>
        <v>1</v>
      </c>
      <c r="K20" s="19">
        <f>COUNTIFS(SSC_Ontology_Ver0.5!$A$815:$A$1346,SUBSTITUTE($A20,"{U}",K$16),SSC_Ontology_Ver0.5!$C$815:$C$1346,$B20,SSC_Ontology_Ver0.5!$D$815:$D$1346,SUBSTITUTE($C20,"{U}",K$16))</f>
        <v>1</v>
      </c>
      <c r="L20" s="19">
        <f>COUNTIFS(SSC_Ontology_Ver0.5!$A$815:$A$1346,SUBSTITUTE($A20,"{U}",L$16),SSC_Ontology_Ver0.5!$C$815:$C$1346,$B20,SSC_Ontology_Ver0.5!$D$815:$D$1346,SUBSTITUTE($C20,"{U}",L$16))</f>
        <v>1</v>
      </c>
      <c r="M20" s="19">
        <f>COUNTIFS(SSC_Ontology_Ver0.5!$A$815:$A$1346,SUBSTITUTE($A20,"{U}",M$16),SSC_Ontology_Ver0.5!$C$815:$C$1346,$B20,SSC_Ontology_Ver0.5!$D$815:$D$1346,SUBSTITUTE($C20,"{U}",M$16))</f>
        <v>1</v>
      </c>
      <c r="N20" s="19">
        <f>COUNTIFS(SSC_Ontology_Ver0.5!$A$815:$A$1346,SUBSTITUTE($A20,"{U}",N$16),SSC_Ontology_Ver0.5!$C$815:$C$1346,$B20,SSC_Ontology_Ver0.5!$D$815:$D$1346,SUBSTITUTE($C20,"{U}",N$16))</f>
        <v>1</v>
      </c>
      <c r="O20" s="19">
        <f>COUNTIFS(SSC_Ontology_Ver0.5!$A$815:$A$1346,SUBSTITUTE($A20,"{U}",O$16),SSC_Ontology_Ver0.5!$C$815:$C$1346,$B20,SSC_Ontology_Ver0.5!$D$815:$D$1346,SUBSTITUTE($C20,"{U}",O$16))</f>
        <v>1</v>
      </c>
      <c r="P20" s="19">
        <f>COUNTIFS(SSC_Ontology_Ver0.5!$A$815:$A$1346,SUBSTITUTE($A20,"{U}",P$16),SSC_Ontology_Ver0.5!$C$815:$C$1346,$B20,SSC_Ontology_Ver0.5!$D$815:$D$1346,SUBSTITUTE($C20,"{U}",P$16))</f>
        <v>1</v>
      </c>
      <c r="Q20" s="19">
        <f>COUNTIFS(SSC_Ontology_Ver0.5!$A$815:$A$1346,SUBSTITUTE($A20,"{U}",Q$16),SSC_Ontology_Ver0.5!$C$815:$C$1346,$B20,SSC_Ontology_Ver0.5!$D$815:$D$1346,SUBSTITUTE($C20,"{U}",Q$16))</f>
        <v>1</v>
      </c>
      <c r="R20" s="15" t="str">
        <f>IF($B20="rec:locatedIn","Excluded - location varies by unit",IF(AND(MIN(D20:Q20)=MAX(D20:Q20),MAX(D20:Q20)=1),"OK",IF(MIN(D20:Q20)=0,"Not on all units","Duplicated")))</f>
        <v>OK</v>
      </c>
    </row>
    <row r="21" spans="1:18" x14ac:dyDescent="0.3">
      <c r="A21" s="13" t="s">
        <v>4851</v>
      </c>
      <c r="B21" s="14" t="s">
        <v>308</v>
      </c>
      <c r="C21" s="14" t="s">
        <v>4856</v>
      </c>
      <c r="D21" s="19">
        <f>COUNTIFS(SSC_Ontology_Ver0.5!$A$815:$A$1346,SUBSTITUTE($A21,"{U}",D$16),SSC_Ontology_Ver0.5!$C$815:$C$1346,$B21,SSC_Ontology_Ver0.5!$D$815:$D$1346,SUBSTITUTE($C21,"{U}",D$16))</f>
        <v>1</v>
      </c>
      <c r="E21" s="19">
        <f>COUNTIFS(SSC_Ontology_Ver0.5!$A$815:$A$1346,SUBSTITUTE($A21,"{U}",E$16),SSC_Ontology_Ver0.5!$C$815:$C$1346,$B21,SSC_Ontology_Ver0.5!$D$815:$D$1346,SUBSTITUTE($C21,"{U}",E$16))</f>
        <v>1</v>
      </c>
      <c r="F21" s="19">
        <f>COUNTIFS(SSC_Ontology_Ver0.5!$A$815:$A$1346,SUBSTITUTE($A21,"{U}",F$16),SSC_Ontology_Ver0.5!$C$815:$C$1346,$B21,SSC_Ontology_Ver0.5!$D$815:$D$1346,SUBSTITUTE($C21,"{U}",F$16))</f>
        <v>1</v>
      </c>
      <c r="G21" s="19">
        <f>COUNTIFS(SSC_Ontology_Ver0.5!$A$815:$A$1346,SUBSTITUTE($A21,"{U}",G$16),SSC_Ontology_Ver0.5!$C$815:$C$1346,$B21,SSC_Ontology_Ver0.5!$D$815:$D$1346,SUBSTITUTE($C21,"{U}",G$16))</f>
        <v>1</v>
      </c>
      <c r="H21" s="19">
        <f>COUNTIFS(SSC_Ontology_Ver0.5!$A$815:$A$1346,SUBSTITUTE($A21,"{U}",H$16),SSC_Ontology_Ver0.5!$C$815:$C$1346,$B21,SSC_Ontology_Ver0.5!$D$815:$D$1346,SUBSTITUTE($C21,"{U}",H$16))</f>
        <v>1</v>
      </c>
      <c r="I21" s="19">
        <f>COUNTIFS(SSC_Ontology_Ver0.5!$A$815:$A$1346,SUBSTITUTE($A21,"{U}",I$16),SSC_Ontology_Ver0.5!$C$815:$C$1346,$B21,SSC_Ontology_Ver0.5!$D$815:$D$1346,SUBSTITUTE($C21,"{U}",I$16))</f>
        <v>1</v>
      </c>
      <c r="J21" s="19">
        <f>COUNTIFS(SSC_Ontology_Ver0.5!$A$815:$A$1346,SUBSTITUTE($A21,"{U}",J$16),SSC_Ontology_Ver0.5!$C$815:$C$1346,$B21,SSC_Ontology_Ver0.5!$D$815:$D$1346,SUBSTITUTE($C21,"{U}",J$16))</f>
        <v>1</v>
      </c>
      <c r="K21" s="19">
        <f>COUNTIFS(SSC_Ontology_Ver0.5!$A$815:$A$1346,SUBSTITUTE($A21,"{U}",K$16),SSC_Ontology_Ver0.5!$C$815:$C$1346,$B21,SSC_Ontology_Ver0.5!$D$815:$D$1346,SUBSTITUTE($C21,"{U}",K$16))</f>
        <v>1</v>
      </c>
      <c r="L21" s="19">
        <f>COUNTIFS(SSC_Ontology_Ver0.5!$A$815:$A$1346,SUBSTITUTE($A21,"{U}",L$16),SSC_Ontology_Ver0.5!$C$815:$C$1346,$B21,SSC_Ontology_Ver0.5!$D$815:$D$1346,SUBSTITUTE($C21,"{U}",L$16))</f>
        <v>1</v>
      </c>
      <c r="M21" s="19">
        <f>COUNTIFS(SSC_Ontology_Ver0.5!$A$815:$A$1346,SUBSTITUTE($A21,"{U}",M$16),SSC_Ontology_Ver0.5!$C$815:$C$1346,$B21,SSC_Ontology_Ver0.5!$D$815:$D$1346,SUBSTITUTE($C21,"{U}",M$16))</f>
        <v>1</v>
      </c>
      <c r="N21" s="19">
        <f>COUNTIFS(SSC_Ontology_Ver0.5!$A$815:$A$1346,SUBSTITUTE($A21,"{U}",N$16),SSC_Ontology_Ver0.5!$C$815:$C$1346,$B21,SSC_Ontology_Ver0.5!$D$815:$D$1346,SUBSTITUTE($C21,"{U}",N$16))</f>
        <v>1</v>
      </c>
      <c r="O21" s="19">
        <f>COUNTIFS(SSC_Ontology_Ver0.5!$A$815:$A$1346,SUBSTITUTE($A21,"{U}",O$16),SSC_Ontology_Ver0.5!$C$815:$C$1346,$B21,SSC_Ontology_Ver0.5!$D$815:$D$1346,SUBSTITUTE($C21,"{U}",O$16))</f>
        <v>1</v>
      </c>
      <c r="P21" s="19">
        <f>COUNTIFS(SSC_Ontology_Ver0.5!$A$815:$A$1346,SUBSTITUTE($A21,"{U}",P$16),SSC_Ontology_Ver0.5!$C$815:$C$1346,$B21,SSC_Ontology_Ver0.5!$D$815:$D$1346,SUBSTITUTE($C21,"{U}",P$16))</f>
        <v>1</v>
      </c>
      <c r="Q21" s="19">
        <f>COUNTIFS(SSC_Ontology_Ver0.5!$A$815:$A$1346,SUBSTITUTE($A21,"{U}",Q$16),SSC_Ontology_Ver0.5!$C$815:$C$1346,$B21,SSC_Ontology_Ver0.5!$D$815:$D$1346,SUBSTITUTE($C21,"{U}",Q$16))</f>
        <v>1</v>
      </c>
      <c r="R21" s="15" t="str">
        <f>IF($B21="rec:locatedIn","Excluded - location varies by unit",IF(AND(MIN(D21:Q21)=MAX(D21:Q21),MAX(D21:Q21)=1),"OK",IF(MIN(D21:Q21)=0,"Not on all units","Duplicated")))</f>
        <v>OK</v>
      </c>
    </row>
    <row r="22" spans="1:18" x14ac:dyDescent="0.3">
      <c r="A22" s="13" t="s">
        <v>4851</v>
      </c>
      <c r="B22" s="14" t="s">
        <v>308</v>
      </c>
      <c r="C22" s="14" t="s">
        <v>4857</v>
      </c>
      <c r="D22" s="19">
        <f>COUNTIFS(SSC_Ontology_Ver0.5!$A$815:$A$1346,SUBSTITUTE($A22,"{U}",D$16),SSC_Ontology_Ver0.5!$C$815:$C$1346,$B22,SSC_Ontology_Ver0.5!$D$815:$D$1346,SUBSTITUTE($C22,"{U}",D$16))</f>
        <v>1</v>
      </c>
      <c r="E22" s="19">
        <f>COUNTIFS(SSC_Ontology_Ver0.5!$A$815:$A$1346,SUBSTITUTE($A22,"{U}",E$16),SSC_Ontology_Ver0.5!$C$815:$C$1346,$B22,SSC_Ontology_Ver0.5!$D$815:$D$1346,SUBSTITUTE($C22,"{U}",E$16))</f>
        <v>1</v>
      </c>
      <c r="F22" s="19">
        <f>COUNTIFS(SSC_Ontology_Ver0.5!$A$815:$A$1346,SUBSTITUTE($A22,"{U}",F$16),SSC_Ontology_Ver0.5!$C$815:$C$1346,$B22,SSC_Ontology_Ver0.5!$D$815:$D$1346,SUBSTITUTE($C22,"{U}",F$16))</f>
        <v>1</v>
      </c>
      <c r="G22" s="19">
        <f>COUNTIFS(SSC_Ontology_Ver0.5!$A$815:$A$1346,SUBSTITUTE($A22,"{U}",G$16),SSC_Ontology_Ver0.5!$C$815:$C$1346,$B22,SSC_Ontology_Ver0.5!$D$815:$D$1346,SUBSTITUTE($C22,"{U}",G$16))</f>
        <v>1</v>
      </c>
      <c r="H22" s="19">
        <f>COUNTIFS(SSC_Ontology_Ver0.5!$A$815:$A$1346,SUBSTITUTE($A22,"{U}",H$16),SSC_Ontology_Ver0.5!$C$815:$C$1346,$B22,SSC_Ontology_Ver0.5!$D$815:$D$1346,SUBSTITUTE($C22,"{U}",H$16))</f>
        <v>1</v>
      </c>
      <c r="I22" s="19">
        <f>COUNTIFS(SSC_Ontology_Ver0.5!$A$815:$A$1346,SUBSTITUTE($A22,"{U}",I$16),SSC_Ontology_Ver0.5!$C$815:$C$1346,$B22,SSC_Ontology_Ver0.5!$D$815:$D$1346,SUBSTITUTE($C22,"{U}",I$16))</f>
        <v>1</v>
      </c>
      <c r="J22" s="19">
        <f>COUNTIFS(SSC_Ontology_Ver0.5!$A$815:$A$1346,SUBSTITUTE($A22,"{U}",J$16),SSC_Ontology_Ver0.5!$C$815:$C$1346,$B22,SSC_Ontology_Ver0.5!$D$815:$D$1346,SUBSTITUTE($C22,"{U}",J$16))</f>
        <v>1</v>
      </c>
      <c r="K22" s="19">
        <f>COUNTIFS(SSC_Ontology_Ver0.5!$A$815:$A$1346,SUBSTITUTE($A22,"{U}",K$16),SSC_Ontology_Ver0.5!$C$815:$C$1346,$B22,SSC_Ontology_Ver0.5!$D$815:$D$1346,SUBSTITUTE($C22,"{U}",K$16))</f>
        <v>1</v>
      </c>
      <c r="L22" s="19">
        <f>COUNTIFS(SSC_Ontology_Ver0.5!$A$815:$A$1346,SUBSTITUTE($A22,"{U}",L$16),SSC_Ontology_Ver0.5!$C$815:$C$1346,$B22,SSC_Ontology_Ver0.5!$D$815:$D$1346,SUBSTITUTE($C22,"{U}",L$16))</f>
        <v>1</v>
      </c>
      <c r="M22" s="19">
        <f>COUNTIFS(SSC_Ontology_Ver0.5!$A$815:$A$1346,SUBSTITUTE($A22,"{U}",M$16),SSC_Ontology_Ver0.5!$C$815:$C$1346,$B22,SSC_Ontology_Ver0.5!$D$815:$D$1346,SUBSTITUTE($C22,"{U}",M$16))</f>
        <v>1</v>
      </c>
      <c r="N22" s="19">
        <f>COUNTIFS(SSC_Ontology_Ver0.5!$A$815:$A$1346,SUBSTITUTE($A22,"{U}",N$16),SSC_Ontology_Ver0.5!$C$815:$C$1346,$B22,SSC_Ontology_Ver0.5!$D$815:$D$1346,SUBSTITUTE($C22,"{U}",N$16))</f>
        <v>1</v>
      </c>
      <c r="O22" s="19">
        <f>COUNTIFS(SSC_Ontology_Ver0.5!$A$815:$A$1346,SUBSTITUTE($A22,"{U}",O$16),SSC_Ontology_Ver0.5!$C$815:$C$1346,$B22,SSC_Ontology_Ver0.5!$D$815:$D$1346,SUBSTITUTE($C22,"{U}",O$16))</f>
        <v>1</v>
      </c>
      <c r="P22" s="19">
        <f>COUNTIFS(SSC_Ontology_Ver0.5!$A$815:$A$1346,SUBSTITUTE($A22,"{U}",P$16),SSC_Ontology_Ver0.5!$C$815:$C$1346,$B22,SSC_Ontology_Ver0.5!$D$815:$D$1346,SUBSTITUTE($C22,"{U}",P$16))</f>
        <v>1</v>
      </c>
      <c r="Q22" s="19">
        <f>COUNTIFS(SSC_Ontology_Ver0.5!$A$815:$A$1346,SUBSTITUTE($A22,"{U}",Q$16),SSC_Ontology_Ver0.5!$C$815:$C$1346,$B22,SSC_Ontology_Ver0.5!$D$815:$D$1346,SUBSTITUTE($C22,"{U}",Q$16))</f>
        <v>1</v>
      </c>
      <c r="R22" s="15" t="str">
        <f>IF($B22="rec:locatedIn","Excluded - location varies by unit",IF(AND(MIN(D22:Q22)=MAX(D22:Q22),MAX(D22:Q22)=1),"OK",IF(MIN(D22:Q22)=0,"Not on all units","Duplicated")))</f>
        <v>OK</v>
      </c>
    </row>
    <row r="23" spans="1:18" x14ac:dyDescent="0.3">
      <c r="A23" s="13" t="s">
        <v>4851</v>
      </c>
      <c r="B23" s="14" t="s">
        <v>308</v>
      </c>
      <c r="C23" s="14" t="s">
        <v>4858</v>
      </c>
      <c r="D23" s="19">
        <f>COUNTIFS(SSC_Ontology_Ver0.5!$A$815:$A$1346,SUBSTITUTE($A23,"{U}",D$16),SSC_Ontology_Ver0.5!$C$815:$C$1346,$B23,SSC_Ontology_Ver0.5!$D$815:$D$1346,SUBSTITUTE($C23,"{U}",D$16))</f>
        <v>1</v>
      </c>
      <c r="E23" s="19">
        <f>COUNTIFS(SSC_Ontology_Ver0.5!$A$815:$A$1346,SUBSTITUTE($A23,"{U}",E$16),SSC_Ontology_Ver0.5!$C$815:$C$1346,$B23,SSC_Ontology_Ver0.5!$D$815:$D$1346,SUBSTITUTE($C23,"{U}",E$16))</f>
        <v>1</v>
      </c>
      <c r="F23" s="19">
        <f>COUNTIFS(SSC_Ontology_Ver0.5!$A$815:$A$1346,SUBSTITUTE($A23,"{U}",F$16),SSC_Ontology_Ver0.5!$C$815:$C$1346,$B23,SSC_Ontology_Ver0.5!$D$815:$D$1346,SUBSTITUTE($C23,"{U}",F$16))</f>
        <v>1</v>
      </c>
      <c r="G23" s="19">
        <f>COUNTIFS(SSC_Ontology_Ver0.5!$A$815:$A$1346,SUBSTITUTE($A23,"{U}",G$16),SSC_Ontology_Ver0.5!$C$815:$C$1346,$B23,SSC_Ontology_Ver0.5!$D$815:$D$1346,SUBSTITUTE($C23,"{U}",G$16))</f>
        <v>1</v>
      </c>
      <c r="H23" s="19">
        <f>COUNTIFS(SSC_Ontology_Ver0.5!$A$815:$A$1346,SUBSTITUTE($A23,"{U}",H$16),SSC_Ontology_Ver0.5!$C$815:$C$1346,$B23,SSC_Ontology_Ver0.5!$D$815:$D$1346,SUBSTITUTE($C23,"{U}",H$16))</f>
        <v>1</v>
      </c>
      <c r="I23" s="19">
        <f>COUNTIFS(SSC_Ontology_Ver0.5!$A$815:$A$1346,SUBSTITUTE($A23,"{U}",I$16),SSC_Ontology_Ver0.5!$C$815:$C$1346,$B23,SSC_Ontology_Ver0.5!$D$815:$D$1346,SUBSTITUTE($C23,"{U}",I$16))</f>
        <v>1</v>
      </c>
      <c r="J23" s="19">
        <f>COUNTIFS(SSC_Ontology_Ver0.5!$A$815:$A$1346,SUBSTITUTE($A23,"{U}",J$16),SSC_Ontology_Ver0.5!$C$815:$C$1346,$B23,SSC_Ontology_Ver0.5!$D$815:$D$1346,SUBSTITUTE($C23,"{U}",J$16))</f>
        <v>1</v>
      </c>
      <c r="K23" s="19">
        <f>COUNTIFS(SSC_Ontology_Ver0.5!$A$815:$A$1346,SUBSTITUTE($A23,"{U}",K$16),SSC_Ontology_Ver0.5!$C$815:$C$1346,$B23,SSC_Ontology_Ver0.5!$D$815:$D$1346,SUBSTITUTE($C23,"{U}",K$16))</f>
        <v>1</v>
      </c>
      <c r="L23" s="19">
        <f>COUNTIFS(SSC_Ontology_Ver0.5!$A$815:$A$1346,SUBSTITUTE($A23,"{U}",L$16),SSC_Ontology_Ver0.5!$C$815:$C$1346,$B23,SSC_Ontology_Ver0.5!$D$815:$D$1346,SUBSTITUTE($C23,"{U}",L$16))</f>
        <v>1</v>
      </c>
      <c r="M23" s="19">
        <f>COUNTIFS(SSC_Ontology_Ver0.5!$A$815:$A$1346,SUBSTITUTE($A23,"{U}",M$16),SSC_Ontology_Ver0.5!$C$815:$C$1346,$B23,SSC_Ontology_Ver0.5!$D$815:$D$1346,SUBSTITUTE($C23,"{U}",M$16))</f>
        <v>1</v>
      </c>
      <c r="N23" s="19">
        <f>COUNTIFS(SSC_Ontology_Ver0.5!$A$815:$A$1346,SUBSTITUTE($A23,"{U}",N$16),SSC_Ontology_Ver0.5!$C$815:$C$1346,$B23,SSC_Ontology_Ver0.5!$D$815:$D$1346,SUBSTITUTE($C23,"{U}",N$16))</f>
        <v>1</v>
      </c>
      <c r="O23" s="19">
        <f>COUNTIFS(SSC_Ontology_Ver0.5!$A$815:$A$1346,SUBSTITUTE($A23,"{U}",O$16),SSC_Ontology_Ver0.5!$C$815:$C$1346,$B23,SSC_Ontology_Ver0.5!$D$815:$D$1346,SUBSTITUTE($C23,"{U}",O$16))</f>
        <v>1</v>
      </c>
      <c r="P23" s="19">
        <f>COUNTIFS(SSC_Ontology_Ver0.5!$A$815:$A$1346,SUBSTITUTE($A23,"{U}",P$16),SSC_Ontology_Ver0.5!$C$815:$C$1346,$B23,SSC_Ontology_Ver0.5!$D$815:$D$1346,SUBSTITUTE($C23,"{U}",P$16))</f>
        <v>1</v>
      </c>
      <c r="Q23" s="19">
        <f>COUNTIFS(SSC_Ontology_Ver0.5!$A$815:$A$1346,SUBSTITUTE($A23,"{U}",Q$16),SSC_Ontology_Ver0.5!$C$815:$C$1346,$B23,SSC_Ontology_Ver0.5!$D$815:$D$1346,SUBSTITUTE($C23,"{U}",Q$16))</f>
        <v>1</v>
      </c>
      <c r="R23" s="15" t="str">
        <f>IF($B23="rec:locatedIn","Excluded - location varies by unit",IF(AND(MIN(D23:Q23)=MAX(D23:Q23),MAX(D23:Q23)=1),"OK",IF(MIN(D23:Q23)=0,"Not on all units","Duplicated")))</f>
        <v>OK</v>
      </c>
    </row>
    <row r="24" spans="1:18" x14ac:dyDescent="0.3">
      <c r="A24" s="13" t="s">
        <v>4851</v>
      </c>
      <c r="B24" s="14" t="s">
        <v>308</v>
      </c>
      <c r="C24" s="14" t="s">
        <v>4859</v>
      </c>
      <c r="D24" s="19">
        <f>COUNTIFS(SSC_Ontology_Ver0.5!$A$815:$A$1346,SUBSTITUTE($A24,"{U}",D$16),SSC_Ontology_Ver0.5!$C$815:$C$1346,$B24,SSC_Ontology_Ver0.5!$D$815:$D$1346,SUBSTITUTE($C24,"{U}",D$16))</f>
        <v>1</v>
      </c>
      <c r="E24" s="19">
        <f>COUNTIFS(SSC_Ontology_Ver0.5!$A$815:$A$1346,SUBSTITUTE($A24,"{U}",E$16),SSC_Ontology_Ver0.5!$C$815:$C$1346,$B24,SSC_Ontology_Ver0.5!$D$815:$D$1346,SUBSTITUTE($C24,"{U}",E$16))</f>
        <v>1</v>
      </c>
      <c r="F24" s="19">
        <f>COUNTIFS(SSC_Ontology_Ver0.5!$A$815:$A$1346,SUBSTITUTE($A24,"{U}",F$16),SSC_Ontology_Ver0.5!$C$815:$C$1346,$B24,SSC_Ontology_Ver0.5!$D$815:$D$1346,SUBSTITUTE($C24,"{U}",F$16))</f>
        <v>1</v>
      </c>
      <c r="G24" s="19">
        <f>COUNTIFS(SSC_Ontology_Ver0.5!$A$815:$A$1346,SUBSTITUTE($A24,"{U}",G$16),SSC_Ontology_Ver0.5!$C$815:$C$1346,$B24,SSC_Ontology_Ver0.5!$D$815:$D$1346,SUBSTITUTE($C24,"{U}",G$16))</f>
        <v>1</v>
      </c>
      <c r="H24" s="19">
        <f>COUNTIFS(SSC_Ontology_Ver0.5!$A$815:$A$1346,SUBSTITUTE($A24,"{U}",H$16),SSC_Ontology_Ver0.5!$C$815:$C$1346,$B24,SSC_Ontology_Ver0.5!$D$815:$D$1346,SUBSTITUTE($C24,"{U}",H$16))</f>
        <v>1</v>
      </c>
      <c r="I24" s="19">
        <f>COUNTIFS(SSC_Ontology_Ver0.5!$A$815:$A$1346,SUBSTITUTE($A24,"{U}",I$16),SSC_Ontology_Ver0.5!$C$815:$C$1346,$B24,SSC_Ontology_Ver0.5!$D$815:$D$1346,SUBSTITUTE($C24,"{U}",I$16))</f>
        <v>1</v>
      </c>
      <c r="J24" s="19">
        <f>COUNTIFS(SSC_Ontology_Ver0.5!$A$815:$A$1346,SUBSTITUTE($A24,"{U}",J$16),SSC_Ontology_Ver0.5!$C$815:$C$1346,$B24,SSC_Ontology_Ver0.5!$D$815:$D$1346,SUBSTITUTE($C24,"{U}",J$16))</f>
        <v>1</v>
      </c>
      <c r="K24" s="19">
        <f>COUNTIFS(SSC_Ontology_Ver0.5!$A$815:$A$1346,SUBSTITUTE($A24,"{U}",K$16),SSC_Ontology_Ver0.5!$C$815:$C$1346,$B24,SSC_Ontology_Ver0.5!$D$815:$D$1346,SUBSTITUTE($C24,"{U}",K$16))</f>
        <v>1</v>
      </c>
      <c r="L24" s="19">
        <f>COUNTIFS(SSC_Ontology_Ver0.5!$A$815:$A$1346,SUBSTITUTE($A24,"{U}",L$16),SSC_Ontology_Ver0.5!$C$815:$C$1346,$B24,SSC_Ontology_Ver0.5!$D$815:$D$1346,SUBSTITUTE($C24,"{U}",L$16))</f>
        <v>1</v>
      </c>
      <c r="M24" s="19">
        <f>COUNTIFS(SSC_Ontology_Ver0.5!$A$815:$A$1346,SUBSTITUTE($A24,"{U}",M$16),SSC_Ontology_Ver0.5!$C$815:$C$1346,$B24,SSC_Ontology_Ver0.5!$D$815:$D$1346,SUBSTITUTE($C24,"{U}",M$16))</f>
        <v>1</v>
      </c>
      <c r="N24" s="19">
        <f>COUNTIFS(SSC_Ontology_Ver0.5!$A$815:$A$1346,SUBSTITUTE($A24,"{U}",N$16),SSC_Ontology_Ver0.5!$C$815:$C$1346,$B24,SSC_Ontology_Ver0.5!$D$815:$D$1346,SUBSTITUTE($C24,"{U}",N$16))</f>
        <v>1</v>
      </c>
      <c r="O24" s="19">
        <f>COUNTIFS(SSC_Ontology_Ver0.5!$A$815:$A$1346,SUBSTITUTE($A24,"{U}",O$16),SSC_Ontology_Ver0.5!$C$815:$C$1346,$B24,SSC_Ontology_Ver0.5!$D$815:$D$1346,SUBSTITUTE($C24,"{U}",O$16))</f>
        <v>1</v>
      </c>
      <c r="P24" s="19">
        <f>COUNTIFS(SSC_Ontology_Ver0.5!$A$815:$A$1346,SUBSTITUTE($A24,"{U}",P$16),SSC_Ontology_Ver0.5!$C$815:$C$1346,$B24,SSC_Ontology_Ver0.5!$D$815:$D$1346,SUBSTITUTE($C24,"{U}",P$16))</f>
        <v>1</v>
      </c>
      <c r="Q24" s="19">
        <f>COUNTIFS(SSC_Ontology_Ver0.5!$A$815:$A$1346,SUBSTITUTE($A24,"{U}",Q$16),SSC_Ontology_Ver0.5!$C$815:$C$1346,$B24,SSC_Ontology_Ver0.5!$D$815:$D$1346,SUBSTITUTE($C24,"{U}",Q$16))</f>
        <v>1</v>
      </c>
      <c r="R24" s="15" t="str">
        <f>IF($B24="rec:locatedIn","Excluded - location varies by unit",IF(AND(MIN(D24:Q24)=MAX(D24:Q24),MAX(D24:Q24)=1),"OK",IF(MIN(D24:Q24)=0,"Not on all units","Duplicated")))</f>
        <v>OK</v>
      </c>
    </row>
    <row r="25" spans="1:18" x14ac:dyDescent="0.3">
      <c r="A25" s="13" t="s">
        <v>4851</v>
      </c>
      <c r="B25" s="14" t="s">
        <v>308</v>
      </c>
      <c r="C25" s="14" t="s">
        <v>4860</v>
      </c>
      <c r="D25" s="19">
        <f>COUNTIFS(SSC_Ontology_Ver0.5!$A$815:$A$1346,SUBSTITUTE($A25,"{U}",D$16),SSC_Ontology_Ver0.5!$C$815:$C$1346,$B25,SSC_Ontology_Ver0.5!$D$815:$D$1346,SUBSTITUTE($C25,"{U}",D$16))</f>
        <v>1</v>
      </c>
      <c r="E25" s="19">
        <f>COUNTIFS(SSC_Ontology_Ver0.5!$A$815:$A$1346,SUBSTITUTE($A25,"{U}",E$16),SSC_Ontology_Ver0.5!$C$815:$C$1346,$B25,SSC_Ontology_Ver0.5!$D$815:$D$1346,SUBSTITUTE($C25,"{U}",E$16))</f>
        <v>1</v>
      </c>
      <c r="F25" s="19">
        <f>COUNTIFS(SSC_Ontology_Ver0.5!$A$815:$A$1346,SUBSTITUTE($A25,"{U}",F$16),SSC_Ontology_Ver0.5!$C$815:$C$1346,$B25,SSC_Ontology_Ver0.5!$D$815:$D$1346,SUBSTITUTE($C25,"{U}",F$16))</f>
        <v>1</v>
      </c>
      <c r="G25" s="19">
        <f>COUNTIFS(SSC_Ontology_Ver0.5!$A$815:$A$1346,SUBSTITUTE($A25,"{U}",G$16),SSC_Ontology_Ver0.5!$C$815:$C$1346,$B25,SSC_Ontology_Ver0.5!$D$815:$D$1346,SUBSTITUTE($C25,"{U}",G$16))</f>
        <v>1</v>
      </c>
      <c r="H25" s="19">
        <f>COUNTIFS(SSC_Ontology_Ver0.5!$A$815:$A$1346,SUBSTITUTE($A25,"{U}",H$16),SSC_Ontology_Ver0.5!$C$815:$C$1346,$B25,SSC_Ontology_Ver0.5!$D$815:$D$1346,SUBSTITUTE($C25,"{U}",H$16))</f>
        <v>1</v>
      </c>
      <c r="I25" s="19">
        <f>COUNTIFS(SSC_Ontology_Ver0.5!$A$815:$A$1346,SUBSTITUTE($A25,"{U}",I$16),SSC_Ontology_Ver0.5!$C$815:$C$1346,$B25,SSC_Ontology_Ver0.5!$D$815:$D$1346,SUBSTITUTE($C25,"{U}",I$16))</f>
        <v>1</v>
      </c>
      <c r="J25" s="19">
        <f>COUNTIFS(SSC_Ontology_Ver0.5!$A$815:$A$1346,SUBSTITUTE($A25,"{U}",J$16),SSC_Ontology_Ver0.5!$C$815:$C$1346,$B25,SSC_Ontology_Ver0.5!$D$815:$D$1346,SUBSTITUTE($C25,"{U}",J$16))</f>
        <v>1</v>
      </c>
      <c r="K25" s="19">
        <f>COUNTIFS(SSC_Ontology_Ver0.5!$A$815:$A$1346,SUBSTITUTE($A25,"{U}",K$16),SSC_Ontology_Ver0.5!$C$815:$C$1346,$B25,SSC_Ontology_Ver0.5!$D$815:$D$1346,SUBSTITUTE($C25,"{U}",K$16))</f>
        <v>1</v>
      </c>
      <c r="L25" s="19">
        <f>COUNTIFS(SSC_Ontology_Ver0.5!$A$815:$A$1346,SUBSTITUTE($A25,"{U}",L$16),SSC_Ontology_Ver0.5!$C$815:$C$1346,$B25,SSC_Ontology_Ver0.5!$D$815:$D$1346,SUBSTITUTE($C25,"{U}",L$16))</f>
        <v>1</v>
      </c>
      <c r="M25" s="19">
        <f>COUNTIFS(SSC_Ontology_Ver0.5!$A$815:$A$1346,SUBSTITUTE($A25,"{U}",M$16),SSC_Ontology_Ver0.5!$C$815:$C$1346,$B25,SSC_Ontology_Ver0.5!$D$815:$D$1346,SUBSTITUTE($C25,"{U}",M$16))</f>
        <v>1</v>
      </c>
      <c r="N25" s="19">
        <f>COUNTIFS(SSC_Ontology_Ver0.5!$A$815:$A$1346,SUBSTITUTE($A25,"{U}",N$16),SSC_Ontology_Ver0.5!$C$815:$C$1346,$B25,SSC_Ontology_Ver0.5!$D$815:$D$1346,SUBSTITUTE($C25,"{U}",N$16))</f>
        <v>1</v>
      </c>
      <c r="O25" s="19">
        <f>COUNTIFS(SSC_Ontology_Ver0.5!$A$815:$A$1346,SUBSTITUTE($A25,"{U}",O$16),SSC_Ontology_Ver0.5!$C$815:$C$1346,$B25,SSC_Ontology_Ver0.5!$D$815:$D$1346,SUBSTITUTE($C25,"{U}",O$16))</f>
        <v>1</v>
      </c>
      <c r="P25" s="19">
        <f>COUNTIFS(SSC_Ontology_Ver0.5!$A$815:$A$1346,SUBSTITUTE($A25,"{U}",P$16),SSC_Ontology_Ver0.5!$C$815:$C$1346,$B25,SSC_Ontology_Ver0.5!$D$815:$D$1346,SUBSTITUTE($C25,"{U}",P$16))</f>
        <v>1</v>
      </c>
      <c r="Q25" s="19">
        <f>COUNTIFS(SSC_Ontology_Ver0.5!$A$815:$A$1346,SUBSTITUTE($A25,"{U}",Q$16),SSC_Ontology_Ver0.5!$C$815:$C$1346,$B25,SSC_Ontology_Ver0.5!$D$815:$D$1346,SUBSTITUTE($C25,"{U}",Q$16))</f>
        <v>1</v>
      </c>
      <c r="R25" s="15" t="str">
        <f>IF($B25="rec:locatedIn","Excluded - location varies by unit",IF(AND(MIN(D25:Q25)=MAX(D25:Q25),MAX(D25:Q25)=1),"OK",IF(MIN(D25:Q25)=0,"Not on all units","Duplicated")))</f>
        <v>OK</v>
      </c>
    </row>
    <row r="26" spans="1:18" x14ac:dyDescent="0.3">
      <c r="A26" s="13" t="s">
        <v>4851</v>
      </c>
      <c r="B26" s="14" t="s">
        <v>308</v>
      </c>
      <c r="C26" s="14" t="s">
        <v>4861</v>
      </c>
      <c r="D26" s="19">
        <f>COUNTIFS(SSC_Ontology_Ver0.5!$A$815:$A$1346,SUBSTITUTE($A26,"{U}",D$16),SSC_Ontology_Ver0.5!$C$815:$C$1346,$B26,SSC_Ontology_Ver0.5!$D$815:$D$1346,SUBSTITUTE($C26,"{U}",D$16))</f>
        <v>1</v>
      </c>
      <c r="E26" s="19">
        <f>COUNTIFS(SSC_Ontology_Ver0.5!$A$815:$A$1346,SUBSTITUTE($A26,"{U}",E$16),SSC_Ontology_Ver0.5!$C$815:$C$1346,$B26,SSC_Ontology_Ver0.5!$D$815:$D$1346,SUBSTITUTE($C26,"{U}",E$16))</f>
        <v>1</v>
      </c>
      <c r="F26" s="19">
        <f>COUNTIFS(SSC_Ontology_Ver0.5!$A$815:$A$1346,SUBSTITUTE($A26,"{U}",F$16),SSC_Ontology_Ver0.5!$C$815:$C$1346,$B26,SSC_Ontology_Ver0.5!$D$815:$D$1346,SUBSTITUTE($C26,"{U}",F$16))</f>
        <v>1</v>
      </c>
      <c r="G26" s="19">
        <f>COUNTIFS(SSC_Ontology_Ver0.5!$A$815:$A$1346,SUBSTITUTE($A26,"{U}",G$16),SSC_Ontology_Ver0.5!$C$815:$C$1346,$B26,SSC_Ontology_Ver0.5!$D$815:$D$1346,SUBSTITUTE($C26,"{U}",G$16))</f>
        <v>1</v>
      </c>
      <c r="H26" s="19">
        <f>COUNTIFS(SSC_Ontology_Ver0.5!$A$815:$A$1346,SUBSTITUTE($A26,"{U}",H$16),SSC_Ontology_Ver0.5!$C$815:$C$1346,$B26,SSC_Ontology_Ver0.5!$D$815:$D$1346,SUBSTITUTE($C26,"{U}",H$16))</f>
        <v>1</v>
      </c>
      <c r="I26" s="19">
        <f>COUNTIFS(SSC_Ontology_Ver0.5!$A$815:$A$1346,SUBSTITUTE($A26,"{U}",I$16),SSC_Ontology_Ver0.5!$C$815:$C$1346,$B26,SSC_Ontology_Ver0.5!$D$815:$D$1346,SUBSTITUTE($C26,"{U}",I$16))</f>
        <v>1</v>
      </c>
      <c r="J26" s="19">
        <f>COUNTIFS(SSC_Ontology_Ver0.5!$A$815:$A$1346,SUBSTITUTE($A26,"{U}",J$16),SSC_Ontology_Ver0.5!$C$815:$C$1346,$B26,SSC_Ontology_Ver0.5!$D$815:$D$1346,SUBSTITUTE($C26,"{U}",J$16))</f>
        <v>1</v>
      </c>
      <c r="K26" s="19">
        <f>COUNTIFS(SSC_Ontology_Ver0.5!$A$815:$A$1346,SUBSTITUTE($A26,"{U}",K$16),SSC_Ontology_Ver0.5!$C$815:$C$1346,$B26,SSC_Ontology_Ver0.5!$D$815:$D$1346,SUBSTITUTE($C26,"{U}",K$16))</f>
        <v>1</v>
      </c>
      <c r="L26" s="19">
        <f>COUNTIFS(SSC_Ontology_Ver0.5!$A$815:$A$1346,SUBSTITUTE($A26,"{U}",L$16),SSC_Ontology_Ver0.5!$C$815:$C$1346,$B26,SSC_Ontology_Ver0.5!$D$815:$D$1346,SUBSTITUTE($C26,"{U}",L$16))</f>
        <v>1</v>
      </c>
      <c r="M26" s="19">
        <f>COUNTIFS(SSC_Ontology_Ver0.5!$A$815:$A$1346,SUBSTITUTE($A26,"{U}",M$16),SSC_Ontology_Ver0.5!$C$815:$C$1346,$B26,SSC_Ontology_Ver0.5!$D$815:$D$1346,SUBSTITUTE($C26,"{U}",M$16))</f>
        <v>1</v>
      </c>
      <c r="N26" s="19">
        <f>COUNTIFS(SSC_Ontology_Ver0.5!$A$815:$A$1346,SUBSTITUTE($A26,"{U}",N$16),SSC_Ontology_Ver0.5!$C$815:$C$1346,$B26,SSC_Ontology_Ver0.5!$D$815:$D$1346,SUBSTITUTE($C26,"{U}",N$16))</f>
        <v>1</v>
      </c>
      <c r="O26" s="19">
        <f>COUNTIFS(SSC_Ontology_Ver0.5!$A$815:$A$1346,SUBSTITUTE($A26,"{U}",O$16),SSC_Ontology_Ver0.5!$C$815:$C$1346,$B26,SSC_Ontology_Ver0.5!$D$815:$D$1346,SUBSTITUTE($C26,"{U}",O$16))</f>
        <v>1</v>
      </c>
      <c r="P26" s="19">
        <f>COUNTIFS(SSC_Ontology_Ver0.5!$A$815:$A$1346,SUBSTITUTE($A26,"{U}",P$16),SSC_Ontology_Ver0.5!$C$815:$C$1346,$B26,SSC_Ontology_Ver0.5!$D$815:$D$1346,SUBSTITUTE($C26,"{U}",P$16))</f>
        <v>1</v>
      </c>
      <c r="Q26" s="19">
        <f>COUNTIFS(SSC_Ontology_Ver0.5!$A$815:$A$1346,SUBSTITUTE($A26,"{U}",Q$16),SSC_Ontology_Ver0.5!$C$815:$C$1346,$B26,SSC_Ontology_Ver0.5!$D$815:$D$1346,SUBSTITUTE($C26,"{U}",Q$16))</f>
        <v>1</v>
      </c>
      <c r="R26" s="15" t="str">
        <f>IF($B26="rec:locatedIn","Excluded - location varies by unit",IF(AND(MIN(D26:Q26)=MAX(D26:Q26),MAX(D26:Q26)=1),"OK",IF(MIN(D26:Q26)=0,"Not on all units","Duplicated")))</f>
        <v>OK</v>
      </c>
    </row>
    <row r="27" spans="1:18" x14ac:dyDescent="0.3">
      <c r="A27" s="13" t="s">
        <v>4851</v>
      </c>
      <c r="B27" s="14" t="s">
        <v>308</v>
      </c>
      <c r="C27" s="14" t="s">
        <v>4862</v>
      </c>
      <c r="D27" s="19">
        <f>COUNTIFS(SSC_Ontology_Ver0.5!$A$815:$A$1346,SUBSTITUTE($A27,"{U}",D$16),SSC_Ontology_Ver0.5!$C$815:$C$1346,$B27,SSC_Ontology_Ver0.5!$D$815:$D$1346,SUBSTITUTE($C27,"{U}",D$16))</f>
        <v>1</v>
      </c>
      <c r="E27" s="19">
        <f>COUNTIFS(SSC_Ontology_Ver0.5!$A$815:$A$1346,SUBSTITUTE($A27,"{U}",E$16),SSC_Ontology_Ver0.5!$C$815:$C$1346,$B27,SSC_Ontology_Ver0.5!$D$815:$D$1346,SUBSTITUTE($C27,"{U}",E$16))</f>
        <v>1</v>
      </c>
      <c r="F27" s="19">
        <f>COUNTIFS(SSC_Ontology_Ver0.5!$A$815:$A$1346,SUBSTITUTE($A27,"{U}",F$16),SSC_Ontology_Ver0.5!$C$815:$C$1346,$B27,SSC_Ontology_Ver0.5!$D$815:$D$1346,SUBSTITUTE($C27,"{U}",F$16))</f>
        <v>1</v>
      </c>
      <c r="G27" s="19">
        <f>COUNTIFS(SSC_Ontology_Ver0.5!$A$815:$A$1346,SUBSTITUTE($A27,"{U}",G$16),SSC_Ontology_Ver0.5!$C$815:$C$1346,$B27,SSC_Ontology_Ver0.5!$D$815:$D$1346,SUBSTITUTE($C27,"{U}",G$16))</f>
        <v>1</v>
      </c>
      <c r="H27" s="19">
        <f>COUNTIFS(SSC_Ontology_Ver0.5!$A$815:$A$1346,SUBSTITUTE($A27,"{U}",H$16),SSC_Ontology_Ver0.5!$C$815:$C$1346,$B27,SSC_Ontology_Ver0.5!$D$815:$D$1346,SUBSTITUTE($C27,"{U}",H$16))</f>
        <v>1</v>
      </c>
      <c r="I27" s="19">
        <f>COUNTIFS(SSC_Ontology_Ver0.5!$A$815:$A$1346,SUBSTITUTE($A27,"{U}",I$16),SSC_Ontology_Ver0.5!$C$815:$C$1346,$B27,SSC_Ontology_Ver0.5!$D$815:$D$1346,SUBSTITUTE($C27,"{U}",I$16))</f>
        <v>1</v>
      </c>
      <c r="J27" s="19">
        <f>COUNTIFS(SSC_Ontology_Ver0.5!$A$815:$A$1346,SUBSTITUTE($A27,"{U}",J$16),SSC_Ontology_Ver0.5!$C$815:$C$1346,$B27,SSC_Ontology_Ver0.5!$D$815:$D$1346,SUBSTITUTE($C27,"{U}",J$16))</f>
        <v>1</v>
      </c>
      <c r="K27" s="19">
        <f>COUNTIFS(SSC_Ontology_Ver0.5!$A$815:$A$1346,SUBSTITUTE($A27,"{U}",K$16),SSC_Ontology_Ver0.5!$C$815:$C$1346,$B27,SSC_Ontology_Ver0.5!$D$815:$D$1346,SUBSTITUTE($C27,"{U}",K$16))</f>
        <v>1</v>
      </c>
      <c r="L27" s="19">
        <f>COUNTIFS(SSC_Ontology_Ver0.5!$A$815:$A$1346,SUBSTITUTE($A27,"{U}",L$16),SSC_Ontology_Ver0.5!$C$815:$C$1346,$B27,SSC_Ontology_Ver0.5!$D$815:$D$1346,SUBSTITUTE($C27,"{U}",L$16))</f>
        <v>1</v>
      </c>
      <c r="M27" s="19">
        <f>COUNTIFS(SSC_Ontology_Ver0.5!$A$815:$A$1346,SUBSTITUTE($A27,"{U}",M$16),SSC_Ontology_Ver0.5!$C$815:$C$1346,$B27,SSC_Ontology_Ver0.5!$D$815:$D$1346,SUBSTITUTE($C27,"{U}",M$16))</f>
        <v>1</v>
      </c>
      <c r="N27" s="19">
        <f>COUNTIFS(SSC_Ontology_Ver0.5!$A$815:$A$1346,SUBSTITUTE($A27,"{U}",N$16),SSC_Ontology_Ver0.5!$C$815:$C$1346,$B27,SSC_Ontology_Ver0.5!$D$815:$D$1346,SUBSTITUTE($C27,"{U}",N$16))</f>
        <v>1</v>
      </c>
      <c r="O27" s="19">
        <f>COUNTIFS(SSC_Ontology_Ver0.5!$A$815:$A$1346,SUBSTITUTE($A27,"{U}",O$16),SSC_Ontology_Ver0.5!$C$815:$C$1346,$B27,SSC_Ontology_Ver0.5!$D$815:$D$1346,SUBSTITUTE($C27,"{U}",O$16))</f>
        <v>1</v>
      </c>
      <c r="P27" s="19">
        <f>COUNTIFS(SSC_Ontology_Ver0.5!$A$815:$A$1346,SUBSTITUTE($A27,"{U}",P$16),SSC_Ontology_Ver0.5!$C$815:$C$1346,$B27,SSC_Ontology_Ver0.5!$D$815:$D$1346,SUBSTITUTE($C27,"{U}",P$16))</f>
        <v>1</v>
      </c>
      <c r="Q27" s="19">
        <f>COUNTIFS(SSC_Ontology_Ver0.5!$A$815:$A$1346,SUBSTITUTE($A27,"{U}",Q$16),SSC_Ontology_Ver0.5!$C$815:$C$1346,$B27,SSC_Ontology_Ver0.5!$D$815:$D$1346,SUBSTITUTE($C27,"{U}",Q$16))</f>
        <v>1</v>
      </c>
      <c r="R27" s="15" t="str">
        <f>IF($B27="rec:locatedIn","Excluded - location varies by unit",IF(AND(MIN(D27:Q27)=MAX(D27:Q27),MAX(D27:Q27)=1),"OK",IF(MIN(D27:Q27)=0,"Not on all units","Duplicated")))</f>
        <v>OK</v>
      </c>
    </row>
    <row r="28" spans="1:18" x14ac:dyDescent="0.3">
      <c r="A28" s="13" t="s">
        <v>4851</v>
      </c>
      <c r="B28" s="14" t="s">
        <v>308</v>
      </c>
      <c r="C28" s="14" t="s">
        <v>4863</v>
      </c>
      <c r="D28" s="19">
        <f>COUNTIFS(SSC_Ontology_Ver0.5!$A$815:$A$1346,SUBSTITUTE($A28,"{U}",D$16),SSC_Ontology_Ver0.5!$C$815:$C$1346,$B28,SSC_Ontology_Ver0.5!$D$815:$D$1346,SUBSTITUTE($C28,"{U}",D$16))</f>
        <v>1</v>
      </c>
      <c r="E28" s="19">
        <f>COUNTIFS(SSC_Ontology_Ver0.5!$A$815:$A$1346,SUBSTITUTE($A28,"{U}",E$16),SSC_Ontology_Ver0.5!$C$815:$C$1346,$B28,SSC_Ontology_Ver0.5!$D$815:$D$1346,SUBSTITUTE($C28,"{U}",E$16))</f>
        <v>1</v>
      </c>
      <c r="F28" s="19">
        <f>COUNTIFS(SSC_Ontology_Ver0.5!$A$815:$A$1346,SUBSTITUTE($A28,"{U}",F$16),SSC_Ontology_Ver0.5!$C$815:$C$1346,$B28,SSC_Ontology_Ver0.5!$D$815:$D$1346,SUBSTITUTE($C28,"{U}",F$16))</f>
        <v>1</v>
      </c>
      <c r="G28" s="19">
        <f>COUNTIFS(SSC_Ontology_Ver0.5!$A$815:$A$1346,SUBSTITUTE($A28,"{U}",G$16),SSC_Ontology_Ver0.5!$C$815:$C$1346,$B28,SSC_Ontology_Ver0.5!$D$815:$D$1346,SUBSTITUTE($C28,"{U}",G$16))</f>
        <v>1</v>
      </c>
      <c r="H28" s="19">
        <f>COUNTIFS(SSC_Ontology_Ver0.5!$A$815:$A$1346,SUBSTITUTE($A28,"{U}",H$16),SSC_Ontology_Ver0.5!$C$815:$C$1346,$B28,SSC_Ontology_Ver0.5!$D$815:$D$1346,SUBSTITUTE($C28,"{U}",H$16))</f>
        <v>1</v>
      </c>
      <c r="I28" s="19">
        <f>COUNTIFS(SSC_Ontology_Ver0.5!$A$815:$A$1346,SUBSTITUTE($A28,"{U}",I$16),SSC_Ontology_Ver0.5!$C$815:$C$1346,$B28,SSC_Ontology_Ver0.5!$D$815:$D$1346,SUBSTITUTE($C28,"{U}",I$16))</f>
        <v>1</v>
      </c>
      <c r="J28" s="19">
        <f>COUNTIFS(SSC_Ontology_Ver0.5!$A$815:$A$1346,SUBSTITUTE($A28,"{U}",J$16),SSC_Ontology_Ver0.5!$C$815:$C$1346,$B28,SSC_Ontology_Ver0.5!$D$815:$D$1346,SUBSTITUTE($C28,"{U}",J$16))</f>
        <v>1</v>
      </c>
      <c r="K28" s="19">
        <f>COUNTIFS(SSC_Ontology_Ver0.5!$A$815:$A$1346,SUBSTITUTE($A28,"{U}",K$16),SSC_Ontology_Ver0.5!$C$815:$C$1346,$B28,SSC_Ontology_Ver0.5!$D$815:$D$1346,SUBSTITUTE($C28,"{U}",K$16))</f>
        <v>1</v>
      </c>
      <c r="L28" s="19">
        <f>COUNTIFS(SSC_Ontology_Ver0.5!$A$815:$A$1346,SUBSTITUTE($A28,"{U}",L$16),SSC_Ontology_Ver0.5!$C$815:$C$1346,$B28,SSC_Ontology_Ver0.5!$D$815:$D$1346,SUBSTITUTE($C28,"{U}",L$16))</f>
        <v>1</v>
      </c>
      <c r="M28" s="19">
        <f>COUNTIFS(SSC_Ontology_Ver0.5!$A$815:$A$1346,SUBSTITUTE($A28,"{U}",M$16),SSC_Ontology_Ver0.5!$C$815:$C$1346,$B28,SSC_Ontology_Ver0.5!$D$815:$D$1346,SUBSTITUTE($C28,"{U}",M$16))</f>
        <v>1</v>
      </c>
      <c r="N28" s="19">
        <f>COUNTIFS(SSC_Ontology_Ver0.5!$A$815:$A$1346,SUBSTITUTE($A28,"{U}",N$16),SSC_Ontology_Ver0.5!$C$815:$C$1346,$B28,SSC_Ontology_Ver0.5!$D$815:$D$1346,SUBSTITUTE($C28,"{U}",N$16))</f>
        <v>1</v>
      </c>
      <c r="O28" s="19">
        <f>COUNTIFS(SSC_Ontology_Ver0.5!$A$815:$A$1346,SUBSTITUTE($A28,"{U}",O$16),SSC_Ontology_Ver0.5!$C$815:$C$1346,$B28,SSC_Ontology_Ver0.5!$D$815:$D$1346,SUBSTITUTE($C28,"{U}",O$16))</f>
        <v>1</v>
      </c>
      <c r="P28" s="19">
        <f>COUNTIFS(SSC_Ontology_Ver0.5!$A$815:$A$1346,SUBSTITUTE($A28,"{U}",P$16),SSC_Ontology_Ver0.5!$C$815:$C$1346,$B28,SSC_Ontology_Ver0.5!$D$815:$D$1346,SUBSTITUTE($C28,"{U}",P$16))</f>
        <v>1</v>
      </c>
      <c r="Q28" s="19">
        <f>COUNTIFS(SSC_Ontology_Ver0.5!$A$815:$A$1346,SUBSTITUTE($A28,"{U}",Q$16),SSC_Ontology_Ver0.5!$C$815:$C$1346,$B28,SSC_Ontology_Ver0.5!$D$815:$D$1346,SUBSTITUTE($C28,"{U}",Q$16))</f>
        <v>1</v>
      </c>
      <c r="R28" s="15" t="str">
        <f>IF($B28="rec:locatedIn","Excluded - location varies by unit",IF(AND(MIN(D28:Q28)=MAX(D28:Q28),MAX(D28:Q28)=1),"OK",IF(MIN(D28:Q28)=0,"Not on all units","Duplicated")))</f>
        <v>OK</v>
      </c>
    </row>
    <row r="29" spans="1:18" x14ac:dyDescent="0.3">
      <c r="A29" s="13" t="s">
        <v>4851</v>
      </c>
      <c r="B29" s="14" t="s">
        <v>308</v>
      </c>
      <c r="C29" s="14" t="s">
        <v>4864</v>
      </c>
      <c r="D29" s="19">
        <f>COUNTIFS(SSC_Ontology_Ver0.5!$A$815:$A$1346,SUBSTITUTE($A29,"{U}",D$16),SSC_Ontology_Ver0.5!$C$815:$C$1346,$B29,SSC_Ontology_Ver0.5!$D$815:$D$1346,SUBSTITUTE($C29,"{U}",D$16))</f>
        <v>1</v>
      </c>
      <c r="E29" s="19">
        <f>COUNTIFS(SSC_Ontology_Ver0.5!$A$815:$A$1346,SUBSTITUTE($A29,"{U}",E$16),SSC_Ontology_Ver0.5!$C$815:$C$1346,$B29,SSC_Ontology_Ver0.5!$D$815:$D$1346,SUBSTITUTE($C29,"{U}",E$16))</f>
        <v>1</v>
      </c>
      <c r="F29" s="19">
        <f>COUNTIFS(SSC_Ontology_Ver0.5!$A$815:$A$1346,SUBSTITUTE($A29,"{U}",F$16),SSC_Ontology_Ver0.5!$C$815:$C$1346,$B29,SSC_Ontology_Ver0.5!$D$815:$D$1346,SUBSTITUTE($C29,"{U}",F$16))</f>
        <v>1</v>
      </c>
      <c r="G29" s="19">
        <f>COUNTIFS(SSC_Ontology_Ver0.5!$A$815:$A$1346,SUBSTITUTE($A29,"{U}",G$16),SSC_Ontology_Ver0.5!$C$815:$C$1346,$B29,SSC_Ontology_Ver0.5!$D$815:$D$1346,SUBSTITUTE($C29,"{U}",G$16))</f>
        <v>1</v>
      </c>
      <c r="H29" s="19">
        <f>COUNTIFS(SSC_Ontology_Ver0.5!$A$815:$A$1346,SUBSTITUTE($A29,"{U}",H$16),SSC_Ontology_Ver0.5!$C$815:$C$1346,$B29,SSC_Ontology_Ver0.5!$D$815:$D$1346,SUBSTITUTE($C29,"{U}",H$16))</f>
        <v>1</v>
      </c>
      <c r="I29" s="19">
        <f>COUNTIFS(SSC_Ontology_Ver0.5!$A$815:$A$1346,SUBSTITUTE($A29,"{U}",I$16),SSC_Ontology_Ver0.5!$C$815:$C$1346,$B29,SSC_Ontology_Ver0.5!$D$815:$D$1346,SUBSTITUTE($C29,"{U}",I$16))</f>
        <v>1</v>
      </c>
      <c r="J29" s="19">
        <f>COUNTIFS(SSC_Ontology_Ver0.5!$A$815:$A$1346,SUBSTITUTE($A29,"{U}",J$16),SSC_Ontology_Ver0.5!$C$815:$C$1346,$B29,SSC_Ontology_Ver0.5!$D$815:$D$1346,SUBSTITUTE($C29,"{U}",J$16))</f>
        <v>1</v>
      </c>
      <c r="K29" s="19">
        <f>COUNTIFS(SSC_Ontology_Ver0.5!$A$815:$A$1346,SUBSTITUTE($A29,"{U}",K$16),SSC_Ontology_Ver0.5!$C$815:$C$1346,$B29,SSC_Ontology_Ver0.5!$D$815:$D$1346,SUBSTITUTE($C29,"{U}",K$16))</f>
        <v>1</v>
      </c>
      <c r="L29" s="19">
        <f>COUNTIFS(SSC_Ontology_Ver0.5!$A$815:$A$1346,SUBSTITUTE($A29,"{U}",L$16),SSC_Ontology_Ver0.5!$C$815:$C$1346,$B29,SSC_Ontology_Ver0.5!$D$815:$D$1346,SUBSTITUTE($C29,"{U}",L$16))</f>
        <v>1</v>
      </c>
      <c r="M29" s="19">
        <f>COUNTIFS(SSC_Ontology_Ver0.5!$A$815:$A$1346,SUBSTITUTE($A29,"{U}",M$16),SSC_Ontology_Ver0.5!$C$815:$C$1346,$B29,SSC_Ontology_Ver0.5!$D$815:$D$1346,SUBSTITUTE($C29,"{U}",M$16))</f>
        <v>1</v>
      </c>
      <c r="N29" s="19">
        <f>COUNTIFS(SSC_Ontology_Ver0.5!$A$815:$A$1346,SUBSTITUTE($A29,"{U}",N$16),SSC_Ontology_Ver0.5!$C$815:$C$1346,$B29,SSC_Ontology_Ver0.5!$D$815:$D$1346,SUBSTITUTE($C29,"{U}",N$16))</f>
        <v>1</v>
      </c>
      <c r="O29" s="19">
        <f>COUNTIFS(SSC_Ontology_Ver0.5!$A$815:$A$1346,SUBSTITUTE($A29,"{U}",O$16),SSC_Ontology_Ver0.5!$C$815:$C$1346,$B29,SSC_Ontology_Ver0.5!$D$815:$D$1346,SUBSTITUTE($C29,"{U}",O$16))</f>
        <v>1</v>
      </c>
      <c r="P29" s="19">
        <f>COUNTIFS(SSC_Ontology_Ver0.5!$A$815:$A$1346,SUBSTITUTE($A29,"{U}",P$16),SSC_Ontology_Ver0.5!$C$815:$C$1346,$B29,SSC_Ontology_Ver0.5!$D$815:$D$1346,SUBSTITUTE($C29,"{U}",P$16))</f>
        <v>1</v>
      </c>
      <c r="Q29" s="19">
        <f>COUNTIFS(SSC_Ontology_Ver0.5!$A$815:$A$1346,SUBSTITUTE($A29,"{U}",Q$16),SSC_Ontology_Ver0.5!$C$815:$C$1346,$B29,SSC_Ontology_Ver0.5!$D$815:$D$1346,SUBSTITUTE($C29,"{U}",Q$16))</f>
        <v>1</v>
      </c>
      <c r="R29" s="15" t="str">
        <f>IF($B29="rec:locatedIn","Excluded - location varies by unit",IF(AND(MIN(D29:Q29)=MAX(D29:Q29),MAX(D29:Q29)=1),"OK",IF(MIN(D29:Q29)=0,"Not on all units","Duplicated")))</f>
        <v>OK</v>
      </c>
    </row>
    <row r="30" spans="1:18" x14ac:dyDescent="0.3">
      <c r="A30" s="13" t="s">
        <v>4851</v>
      </c>
      <c r="B30" s="14" t="s">
        <v>308</v>
      </c>
      <c r="C30" s="14" t="s">
        <v>4865</v>
      </c>
      <c r="D30" s="19">
        <f>COUNTIFS(SSC_Ontology_Ver0.5!$A$815:$A$1346,SUBSTITUTE($A30,"{U}",D$16),SSC_Ontology_Ver0.5!$C$815:$C$1346,$B30,SSC_Ontology_Ver0.5!$D$815:$D$1346,SUBSTITUTE($C30,"{U}",D$16))</f>
        <v>1</v>
      </c>
      <c r="E30" s="19">
        <f>COUNTIFS(SSC_Ontology_Ver0.5!$A$815:$A$1346,SUBSTITUTE($A30,"{U}",E$16),SSC_Ontology_Ver0.5!$C$815:$C$1346,$B30,SSC_Ontology_Ver0.5!$D$815:$D$1346,SUBSTITUTE($C30,"{U}",E$16))</f>
        <v>1</v>
      </c>
      <c r="F30" s="19">
        <f>COUNTIFS(SSC_Ontology_Ver0.5!$A$815:$A$1346,SUBSTITUTE($A30,"{U}",F$16),SSC_Ontology_Ver0.5!$C$815:$C$1346,$B30,SSC_Ontology_Ver0.5!$D$815:$D$1346,SUBSTITUTE($C30,"{U}",F$16))</f>
        <v>1</v>
      </c>
      <c r="G30" s="19">
        <f>COUNTIFS(SSC_Ontology_Ver0.5!$A$815:$A$1346,SUBSTITUTE($A30,"{U}",G$16),SSC_Ontology_Ver0.5!$C$815:$C$1346,$B30,SSC_Ontology_Ver0.5!$D$815:$D$1346,SUBSTITUTE($C30,"{U}",G$16))</f>
        <v>1</v>
      </c>
      <c r="H30" s="19">
        <f>COUNTIFS(SSC_Ontology_Ver0.5!$A$815:$A$1346,SUBSTITUTE($A30,"{U}",H$16),SSC_Ontology_Ver0.5!$C$815:$C$1346,$B30,SSC_Ontology_Ver0.5!$D$815:$D$1346,SUBSTITUTE($C30,"{U}",H$16))</f>
        <v>1</v>
      </c>
      <c r="I30" s="19">
        <f>COUNTIFS(SSC_Ontology_Ver0.5!$A$815:$A$1346,SUBSTITUTE($A30,"{U}",I$16),SSC_Ontology_Ver0.5!$C$815:$C$1346,$B30,SSC_Ontology_Ver0.5!$D$815:$D$1346,SUBSTITUTE($C30,"{U}",I$16))</f>
        <v>1</v>
      </c>
      <c r="J30" s="19">
        <f>COUNTIFS(SSC_Ontology_Ver0.5!$A$815:$A$1346,SUBSTITUTE($A30,"{U}",J$16),SSC_Ontology_Ver0.5!$C$815:$C$1346,$B30,SSC_Ontology_Ver0.5!$D$815:$D$1346,SUBSTITUTE($C30,"{U}",J$16))</f>
        <v>1</v>
      </c>
      <c r="K30" s="19">
        <f>COUNTIFS(SSC_Ontology_Ver0.5!$A$815:$A$1346,SUBSTITUTE($A30,"{U}",K$16),SSC_Ontology_Ver0.5!$C$815:$C$1346,$B30,SSC_Ontology_Ver0.5!$D$815:$D$1346,SUBSTITUTE($C30,"{U}",K$16))</f>
        <v>1</v>
      </c>
      <c r="L30" s="19">
        <f>COUNTIFS(SSC_Ontology_Ver0.5!$A$815:$A$1346,SUBSTITUTE($A30,"{U}",L$16),SSC_Ontology_Ver0.5!$C$815:$C$1346,$B30,SSC_Ontology_Ver0.5!$D$815:$D$1346,SUBSTITUTE($C30,"{U}",L$16))</f>
        <v>1</v>
      </c>
      <c r="M30" s="19">
        <f>COUNTIFS(SSC_Ontology_Ver0.5!$A$815:$A$1346,SUBSTITUTE($A30,"{U}",M$16),SSC_Ontology_Ver0.5!$C$815:$C$1346,$B30,SSC_Ontology_Ver0.5!$D$815:$D$1346,SUBSTITUTE($C30,"{U}",M$16))</f>
        <v>1</v>
      </c>
      <c r="N30" s="19">
        <f>COUNTIFS(SSC_Ontology_Ver0.5!$A$815:$A$1346,SUBSTITUTE($A30,"{U}",N$16),SSC_Ontology_Ver0.5!$C$815:$C$1346,$B30,SSC_Ontology_Ver0.5!$D$815:$D$1346,SUBSTITUTE($C30,"{U}",N$16))</f>
        <v>1</v>
      </c>
      <c r="O30" s="19">
        <f>COUNTIFS(SSC_Ontology_Ver0.5!$A$815:$A$1346,SUBSTITUTE($A30,"{U}",O$16),SSC_Ontology_Ver0.5!$C$815:$C$1346,$B30,SSC_Ontology_Ver0.5!$D$815:$D$1346,SUBSTITUTE($C30,"{U}",O$16))</f>
        <v>1</v>
      </c>
      <c r="P30" s="19">
        <f>COUNTIFS(SSC_Ontology_Ver0.5!$A$815:$A$1346,SUBSTITUTE($A30,"{U}",P$16),SSC_Ontology_Ver0.5!$C$815:$C$1346,$B30,SSC_Ontology_Ver0.5!$D$815:$D$1346,SUBSTITUTE($C30,"{U}",P$16))</f>
        <v>1</v>
      </c>
      <c r="Q30" s="19">
        <f>COUNTIFS(SSC_Ontology_Ver0.5!$A$815:$A$1346,SUBSTITUTE($A30,"{U}",Q$16),SSC_Ontology_Ver0.5!$C$815:$C$1346,$B30,SSC_Ontology_Ver0.5!$D$815:$D$1346,SUBSTITUTE($C30,"{U}",Q$16))</f>
        <v>1</v>
      </c>
      <c r="R30" s="15" t="str">
        <f>IF($B30="rec:locatedIn","Excluded - location varies by unit",IF(AND(MIN(D30:Q30)=MAX(D30:Q30),MAX(D30:Q30)=1),"OK",IF(MIN(D30:Q30)=0,"Not on all units","Duplicated")))</f>
        <v>OK</v>
      </c>
    </row>
    <row r="31" spans="1:18" x14ac:dyDescent="0.3">
      <c r="A31" s="13" t="s">
        <v>4851</v>
      </c>
      <c r="B31" s="14" t="s">
        <v>308</v>
      </c>
      <c r="C31" s="14" t="s">
        <v>4866</v>
      </c>
      <c r="D31" s="19">
        <f>COUNTIFS(SSC_Ontology_Ver0.5!$A$815:$A$1346,SUBSTITUTE($A31,"{U}",D$16),SSC_Ontology_Ver0.5!$C$815:$C$1346,$B31,SSC_Ontology_Ver0.5!$D$815:$D$1346,SUBSTITUTE($C31,"{U}",D$16))</f>
        <v>1</v>
      </c>
      <c r="E31" s="19">
        <f>COUNTIFS(SSC_Ontology_Ver0.5!$A$815:$A$1346,SUBSTITUTE($A31,"{U}",E$16),SSC_Ontology_Ver0.5!$C$815:$C$1346,$B31,SSC_Ontology_Ver0.5!$D$815:$D$1346,SUBSTITUTE($C31,"{U}",E$16))</f>
        <v>1</v>
      </c>
      <c r="F31" s="19">
        <f>COUNTIFS(SSC_Ontology_Ver0.5!$A$815:$A$1346,SUBSTITUTE($A31,"{U}",F$16),SSC_Ontology_Ver0.5!$C$815:$C$1346,$B31,SSC_Ontology_Ver0.5!$D$815:$D$1346,SUBSTITUTE($C31,"{U}",F$16))</f>
        <v>1</v>
      </c>
      <c r="G31" s="19">
        <f>COUNTIFS(SSC_Ontology_Ver0.5!$A$815:$A$1346,SUBSTITUTE($A31,"{U}",G$16),SSC_Ontology_Ver0.5!$C$815:$C$1346,$B31,SSC_Ontology_Ver0.5!$D$815:$D$1346,SUBSTITUTE($C31,"{U}",G$16))</f>
        <v>1</v>
      </c>
      <c r="H31" s="19">
        <f>COUNTIFS(SSC_Ontology_Ver0.5!$A$815:$A$1346,SUBSTITUTE($A31,"{U}",H$16),SSC_Ontology_Ver0.5!$C$815:$C$1346,$B31,SSC_Ontology_Ver0.5!$D$815:$D$1346,SUBSTITUTE($C31,"{U}",H$16))</f>
        <v>1</v>
      </c>
      <c r="I31" s="19">
        <f>COUNTIFS(SSC_Ontology_Ver0.5!$A$815:$A$1346,SUBSTITUTE($A31,"{U}",I$16),SSC_Ontology_Ver0.5!$C$815:$C$1346,$B31,SSC_Ontology_Ver0.5!$D$815:$D$1346,SUBSTITUTE($C31,"{U}",I$16))</f>
        <v>1</v>
      </c>
      <c r="J31" s="19">
        <f>COUNTIFS(SSC_Ontology_Ver0.5!$A$815:$A$1346,SUBSTITUTE($A31,"{U}",J$16),SSC_Ontology_Ver0.5!$C$815:$C$1346,$B31,SSC_Ontology_Ver0.5!$D$815:$D$1346,SUBSTITUTE($C31,"{U}",J$16))</f>
        <v>1</v>
      </c>
      <c r="K31" s="19">
        <f>COUNTIFS(SSC_Ontology_Ver0.5!$A$815:$A$1346,SUBSTITUTE($A31,"{U}",K$16),SSC_Ontology_Ver0.5!$C$815:$C$1346,$B31,SSC_Ontology_Ver0.5!$D$815:$D$1346,SUBSTITUTE($C31,"{U}",K$16))</f>
        <v>1</v>
      </c>
      <c r="L31" s="19">
        <f>COUNTIFS(SSC_Ontology_Ver0.5!$A$815:$A$1346,SUBSTITUTE($A31,"{U}",L$16),SSC_Ontology_Ver0.5!$C$815:$C$1346,$B31,SSC_Ontology_Ver0.5!$D$815:$D$1346,SUBSTITUTE($C31,"{U}",L$16))</f>
        <v>1</v>
      </c>
      <c r="M31" s="19">
        <f>COUNTIFS(SSC_Ontology_Ver0.5!$A$815:$A$1346,SUBSTITUTE($A31,"{U}",M$16),SSC_Ontology_Ver0.5!$C$815:$C$1346,$B31,SSC_Ontology_Ver0.5!$D$815:$D$1346,SUBSTITUTE($C31,"{U}",M$16))</f>
        <v>1</v>
      </c>
      <c r="N31" s="19">
        <f>COUNTIFS(SSC_Ontology_Ver0.5!$A$815:$A$1346,SUBSTITUTE($A31,"{U}",N$16),SSC_Ontology_Ver0.5!$C$815:$C$1346,$B31,SSC_Ontology_Ver0.5!$D$815:$D$1346,SUBSTITUTE($C31,"{U}",N$16))</f>
        <v>1</v>
      </c>
      <c r="O31" s="19">
        <f>COUNTIFS(SSC_Ontology_Ver0.5!$A$815:$A$1346,SUBSTITUTE($A31,"{U}",O$16),SSC_Ontology_Ver0.5!$C$815:$C$1346,$B31,SSC_Ontology_Ver0.5!$D$815:$D$1346,SUBSTITUTE($C31,"{U}",O$16))</f>
        <v>1</v>
      </c>
      <c r="P31" s="19">
        <f>COUNTIFS(SSC_Ontology_Ver0.5!$A$815:$A$1346,SUBSTITUTE($A31,"{U}",P$16),SSC_Ontology_Ver0.5!$C$815:$C$1346,$B31,SSC_Ontology_Ver0.5!$D$815:$D$1346,SUBSTITUTE($C31,"{U}",P$16))</f>
        <v>1</v>
      </c>
      <c r="Q31" s="19">
        <f>COUNTIFS(SSC_Ontology_Ver0.5!$A$815:$A$1346,SUBSTITUTE($A31,"{U}",Q$16),SSC_Ontology_Ver0.5!$C$815:$C$1346,$B31,SSC_Ontology_Ver0.5!$D$815:$D$1346,SUBSTITUTE($C31,"{U}",Q$16))</f>
        <v>1</v>
      </c>
      <c r="R31" s="15" t="str">
        <f>IF($B31="rec:locatedIn","Excluded - location varies by unit",IF(AND(MIN(D31:Q31)=MAX(D31:Q31),MAX(D31:Q31)=1),"OK",IF(MIN(D31:Q31)=0,"Not on all units","Duplicated")))</f>
        <v>OK</v>
      </c>
    </row>
    <row r="32" spans="1:18" x14ac:dyDescent="0.3">
      <c r="A32" s="13" t="s">
        <v>4851</v>
      </c>
      <c r="B32" s="14" t="s">
        <v>308</v>
      </c>
      <c r="C32" s="14" t="s">
        <v>4867</v>
      </c>
      <c r="D32" s="19">
        <f>COUNTIFS(SSC_Ontology_Ver0.5!$A$815:$A$1346,SUBSTITUTE($A32,"{U}",D$16),SSC_Ontology_Ver0.5!$C$815:$C$1346,$B32,SSC_Ontology_Ver0.5!$D$815:$D$1346,SUBSTITUTE($C32,"{U}",D$16))</f>
        <v>1</v>
      </c>
      <c r="E32" s="19">
        <f>COUNTIFS(SSC_Ontology_Ver0.5!$A$815:$A$1346,SUBSTITUTE($A32,"{U}",E$16),SSC_Ontology_Ver0.5!$C$815:$C$1346,$B32,SSC_Ontology_Ver0.5!$D$815:$D$1346,SUBSTITUTE($C32,"{U}",E$16))</f>
        <v>1</v>
      </c>
      <c r="F32" s="19">
        <f>COUNTIFS(SSC_Ontology_Ver0.5!$A$815:$A$1346,SUBSTITUTE($A32,"{U}",F$16),SSC_Ontology_Ver0.5!$C$815:$C$1346,$B32,SSC_Ontology_Ver0.5!$D$815:$D$1346,SUBSTITUTE($C32,"{U}",F$16))</f>
        <v>1</v>
      </c>
      <c r="G32" s="19">
        <f>COUNTIFS(SSC_Ontology_Ver0.5!$A$815:$A$1346,SUBSTITUTE($A32,"{U}",G$16),SSC_Ontology_Ver0.5!$C$815:$C$1346,$B32,SSC_Ontology_Ver0.5!$D$815:$D$1346,SUBSTITUTE($C32,"{U}",G$16))</f>
        <v>1</v>
      </c>
      <c r="H32" s="19">
        <f>COUNTIFS(SSC_Ontology_Ver0.5!$A$815:$A$1346,SUBSTITUTE($A32,"{U}",H$16),SSC_Ontology_Ver0.5!$C$815:$C$1346,$B32,SSC_Ontology_Ver0.5!$D$815:$D$1346,SUBSTITUTE($C32,"{U}",H$16))</f>
        <v>1</v>
      </c>
      <c r="I32" s="19">
        <f>COUNTIFS(SSC_Ontology_Ver0.5!$A$815:$A$1346,SUBSTITUTE($A32,"{U}",I$16),SSC_Ontology_Ver0.5!$C$815:$C$1346,$B32,SSC_Ontology_Ver0.5!$D$815:$D$1346,SUBSTITUTE($C32,"{U}",I$16))</f>
        <v>1</v>
      </c>
      <c r="J32" s="19">
        <f>COUNTIFS(SSC_Ontology_Ver0.5!$A$815:$A$1346,SUBSTITUTE($A32,"{U}",J$16),SSC_Ontology_Ver0.5!$C$815:$C$1346,$B32,SSC_Ontology_Ver0.5!$D$815:$D$1346,SUBSTITUTE($C32,"{U}",J$16))</f>
        <v>1</v>
      </c>
      <c r="K32" s="19">
        <f>COUNTIFS(SSC_Ontology_Ver0.5!$A$815:$A$1346,SUBSTITUTE($A32,"{U}",K$16),SSC_Ontology_Ver0.5!$C$815:$C$1346,$B32,SSC_Ontology_Ver0.5!$D$815:$D$1346,SUBSTITUTE($C32,"{U}",K$16))</f>
        <v>1</v>
      </c>
      <c r="L32" s="19">
        <f>COUNTIFS(SSC_Ontology_Ver0.5!$A$815:$A$1346,SUBSTITUTE($A32,"{U}",L$16),SSC_Ontology_Ver0.5!$C$815:$C$1346,$B32,SSC_Ontology_Ver0.5!$D$815:$D$1346,SUBSTITUTE($C32,"{U}",L$16))</f>
        <v>1</v>
      </c>
      <c r="M32" s="19">
        <f>COUNTIFS(SSC_Ontology_Ver0.5!$A$815:$A$1346,SUBSTITUTE($A32,"{U}",M$16),SSC_Ontology_Ver0.5!$C$815:$C$1346,$B32,SSC_Ontology_Ver0.5!$D$815:$D$1346,SUBSTITUTE($C32,"{U}",M$16))</f>
        <v>1</v>
      </c>
      <c r="N32" s="19">
        <f>COUNTIFS(SSC_Ontology_Ver0.5!$A$815:$A$1346,SUBSTITUTE($A32,"{U}",N$16),SSC_Ontology_Ver0.5!$C$815:$C$1346,$B32,SSC_Ontology_Ver0.5!$D$815:$D$1346,SUBSTITUTE($C32,"{U}",N$16))</f>
        <v>1</v>
      </c>
      <c r="O32" s="19">
        <f>COUNTIFS(SSC_Ontology_Ver0.5!$A$815:$A$1346,SUBSTITUTE($A32,"{U}",O$16),SSC_Ontology_Ver0.5!$C$815:$C$1346,$B32,SSC_Ontology_Ver0.5!$D$815:$D$1346,SUBSTITUTE($C32,"{U}",O$16))</f>
        <v>1</v>
      </c>
      <c r="P32" s="19">
        <f>COUNTIFS(SSC_Ontology_Ver0.5!$A$815:$A$1346,SUBSTITUTE($A32,"{U}",P$16),SSC_Ontology_Ver0.5!$C$815:$C$1346,$B32,SSC_Ontology_Ver0.5!$D$815:$D$1346,SUBSTITUTE($C32,"{U}",P$16))</f>
        <v>1</v>
      </c>
      <c r="Q32" s="19">
        <f>COUNTIFS(SSC_Ontology_Ver0.5!$A$815:$A$1346,SUBSTITUTE($A32,"{U}",Q$16),SSC_Ontology_Ver0.5!$C$815:$C$1346,$B32,SSC_Ontology_Ver0.5!$D$815:$D$1346,SUBSTITUTE($C32,"{U}",Q$16))</f>
        <v>1</v>
      </c>
      <c r="R32" s="15" t="str">
        <f>IF($B32="rec:locatedIn","Excluded - location varies by unit",IF(AND(MIN(D32:Q32)=MAX(D32:Q32),MAX(D32:Q32)=1),"OK",IF(MIN(D32:Q32)=0,"Not on all units","Duplicated")))</f>
        <v>OK</v>
      </c>
    </row>
    <row r="33" spans="1:18" x14ac:dyDescent="0.3">
      <c r="A33" s="13" t="s">
        <v>4851</v>
      </c>
      <c r="B33" s="14" t="s">
        <v>308</v>
      </c>
      <c r="C33" s="14" t="s">
        <v>4868</v>
      </c>
      <c r="D33" s="19">
        <f>COUNTIFS(SSC_Ontology_Ver0.5!$A$815:$A$1346,SUBSTITUTE($A33,"{U}",D$16),SSC_Ontology_Ver0.5!$C$815:$C$1346,$B33,SSC_Ontology_Ver0.5!$D$815:$D$1346,SUBSTITUTE($C33,"{U}",D$16))</f>
        <v>1</v>
      </c>
      <c r="E33" s="19">
        <f>COUNTIFS(SSC_Ontology_Ver0.5!$A$815:$A$1346,SUBSTITUTE($A33,"{U}",E$16),SSC_Ontology_Ver0.5!$C$815:$C$1346,$B33,SSC_Ontology_Ver0.5!$D$815:$D$1346,SUBSTITUTE($C33,"{U}",E$16))</f>
        <v>1</v>
      </c>
      <c r="F33" s="19">
        <f>COUNTIFS(SSC_Ontology_Ver0.5!$A$815:$A$1346,SUBSTITUTE($A33,"{U}",F$16),SSC_Ontology_Ver0.5!$C$815:$C$1346,$B33,SSC_Ontology_Ver0.5!$D$815:$D$1346,SUBSTITUTE($C33,"{U}",F$16))</f>
        <v>1</v>
      </c>
      <c r="G33" s="19">
        <f>COUNTIFS(SSC_Ontology_Ver0.5!$A$815:$A$1346,SUBSTITUTE($A33,"{U}",G$16),SSC_Ontology_Ver0.5!$C$815:$C$1346,$B33,SSC_Ontology_Ver0.5!$D$815:$D$1346,SUBSTITUTE($C33,"{U}",G$16))</f>
        <v>1</v>
      </c>
      <c r="H33" s="19">
        <f>COUNTIFS(SSC_Ontology_Ver0.5!$A$815:$A$1346,SUBSTITUTE($A33,"{U}",H$16),SSC_Ontology_Ver0.5!$C$815:$C$1346,$B33,SSC_Ontology_Ver0.5!$D$815:$D$1346,SUBSTITUTE($C33,"{U}",H$16))</f>
        <v>1</v>
      </c>
      <c r="I33" s="19">
        <f>COUNTIFS(SSC_Ontology_Ver0.5!$A$815:$A$1346,SUBSTITUTE($A33,"{U}",I$16),SSC_Ontology_Ver0.5!$C$815:$C$1346,$B33,SSC_Ontology_Ver0.5!$D$815:$D$1346,SUBSTITUTE($C33,"{U}",I$16))</f>
        <v>1</v>
      </c>
      <c r="J33" s="19">
        <f>COUNTIFS(SSC_Ontology_Ver0.5!$A$815:$A$1346,SUBSTITUTE($A33,"{U}",J$16),SSC_Ontology_Ver0.5!$C$815:$C$1346,$B33,SSC_Ontology_Ver0.5!$D$815:$D$1346,SUBSTITUTE($C33,"{U}",J$16))</f>
        <v>1</v>
      </c>
      <c r="K33" s="19">
        <f>COUNTIFS(SSC_Ontology_Ver0.5!$A$815:$A$1346,SUBSTITUTE($A33,"{U}",K$16),SSC_Ontology_Ver0.5!$C$815:$C$1346,$B33,SSC_Ontology_Ver0.5!$D$815:$D$1346,SUBSTITUTE($C33,"{U}",K$16))</f>
        <v>1</v>
      </c>
      <c r="L33" s="19">
        <f>COUNTIFS(SSC_Ontology_Ver0.5!$A$815:$A$1346,SUBSTITUTE($A33,"{U}",L$16),SSC_Ontology_Ver0.5!$C$815:$C$1346,$B33,SSC_Ontology_Ver0.5!$D$815:$D$1346,SUBSTITUTE($C33,"{U}",L$16))</f>
        <v>1</v>
      </c>
      <c r="M33" s="19">
        <f>COUNTIFS(SSC_Ontology_Ver0.5!$A$815:$A$1346,SUBSTITUTE($A33,"{U}",M$16),SSC_Ontology_Ver0.5!$C$815:$C$1346,$B33,SSC_Ontology_Ver0.5!$D$815:$D$1346,SUBSTITUTE($C33,"{U}",M$16))</f>
        <v>1</v>
      </c>
      <c r="N33" s="19">
        <f>COUNTIFS(SSC_Ontology_Ver0.5!$A$815:$A$1346,SUBSTITUTE($A33,"{U}",N$16),SSC_Ontology_Ver0.5!$C$815:$C$1346,$B33,SSC_Ontology_Ver0.5!$D$815:$D$1346,SUBSTITUTE($C33,"{U}",N$16))</f>
        <v>1</v>
      </c>
      <c r="O33" s="19">
        <f>COUNTIFS(SSC_Ontology_Ver0.5!$A$815:$A$1346,SUBSTITUTE($A33,"{U}",O$16),SSC_Ontology_Ver0.5!$C$815:$C$1346,$B33,SSC_Ontology_Ver0.5!$D$815:$D$1346,SUBSTITUTE($C33,"{U}",O$16))</f>
        <v>1</v>
      </c>
      <c r="P33" s="19">
        <f>COUNTIFS(SSC_Ontology_Ver0.5!$A$815:$A$1346,SUBSTITUTE($A33,"{U}",P$16),SSC_Ontology_Ver0.5!$C$815:$C$1346,$B33,SSC_Ontology_Ver0.5!$D$815:$D$1346,SUBSTITUTE($C33,"{U}",P$16))</f>
        <v>1</v>
      </c>
      <c r="Q33" s="19">
        <f>COUNTIFS(SSC_Ontology_Ver0.5!$A$815:$A$1346,SUBSTITUTE($A33,"{U}",Q$16),SSC_Ontology_Ver0.5!$C$815:$C$1346,$B33,SSC_Ontology_Ver0.5!$D$815:$D$1346,SUBSTITUTE($C33,"{U}",Q$16))</f>
        <v>1</v>
      </c>
      <c r="R33" s="15" t="str">
        <f>IF($B33="rec:locatedIn","Excluded - location varies by unit",IF(AND(MIN(D33:Q33)=MAX(D33:Q33),MAX(D33:Q33)=1),"OK",IF(MIN(D33:Q33)=0,"Not on all units","Duplicated")))</f>
        <v>OK</v>
      </c>
    </row>
    <row r="34" spans="1:18" x14ac:dyDescent="0.3">
      <c r="A34" s="13" t="s">
        <v>4851</v>
      </c>
      <c r="B34" s="14" t="s">
        <v>22</v>
      </c>
      <c r="C34" s="14" t="s">
        <v>23</v>
      </c>
      <c r="D34" s="19">
        <f>COUNTIFS(SSC_Ontology_Ver0.5!$A$815:$A$1346,SUBSTITUTE($A34,"{U}",D$16),SSC_Ontology_Ver0.5!$C$815:$C$1346,$B34,SSC_Ontology_Ver0.5!$D$815:$D$1346,SUBSTITUTE($C34,"{U}",D$16))</f>
        <v>1</v>
      </c>
      <c r="E34" s="19">
        <f>COUNTIFS(SSC_Ontology_Ver0.5!$A$815:$A$1346,SUBSTITUTE($A34,"{U}",E$16),SSC_Ontology_Ver0.5!$C$815:$C$1346,$B34,SSC_Ontology_Ver0.5!$D$815:$D$1346,SUBSTITUTE($C34,"{U}",E$16))</f>
        <v>1</v>
      </c>
      <c r="F34" s="19">
        <f>COUNTIFS(SSC_Ontology_Ver0.5!$A$815:$A$1346,SUBSTITUTE($A34,"{U}",F$16),SSC_Ontology_Ver0.5!$C$815:$C$1346,$B34,SSC_Ontology_Ver0.5!$D$815:$D$1346,SUBSTITUTE($C34,"{U}",F$16))</f>
        <v>1</v>
      </c>
      <c r="G34" s="19">
        <f>COUNTIFS(SSC_Ontology_Ver0.5!$A$815:$A$1346,SUBSTITUTE($A34,"{U}",G$16),SSC_Ontology_Ver0.5!$C$815:$C$1346,$B34,SSC_Ontology_Ver0.5!$D$815:$D$1346,SUBSTITUTE($C34,"{U}",G$16))</f>
        <v>1</v>
      </c>
      <c r="H34" s="19">
        <f>COUNTIFS(SSC_Ontology_Ver0.5!$A$815:$A$1346,SUBSTITUTE($A34,"{U}",H$16),SSC_Ontology_Ver0.5!$C$815:$C$1346,$B34,SSC_Ontology_Ver0.5!$D$815:$D$1346,SUBSTITUTE($C34,"{U}",H$16))</f>
        <v>1</v>
      </c>
      <c r="I34" s="19">
        <f>COUNTIFS(SSC_Ontology_Ver0.5!$A$815:$A$1346,SUBSTITUTE($A34,"{U}",I$16),SSC_Ontology_Ver0.5!$C$815:$C$1346,$B34,SSC_Ontology_Ver0.5!$D$815:$D$1346,SUBSTITUTE($C34,"{U}",I$16))</f>
        <v>1</v>
      </c>
      <c r="J34" s="19">
        <f>COUNTIFS(SSC_Ontology_Ver0.5!$A$815:$A$1346,SUBSTITUTE($A34,"{U}",J$16),SSC_Ontology_Ver0.5!$C$815:$C$1346,$B34,SSC_Ontology_Ver0.5!$D$815:$D$1346,SUBSTITUTE($C34,"{U}",J$16))</f>
        <v>1</v>
      </c>
      <c r="K34" s="19">
        <f>COUNTIFS(SSC_Ontology_Ver0.5!$A$815:$A$1346,SUBSTITUTE($A34,"{U}",K$16),SSC_Ontology_Ver0.5!$C$815:$C$1346,$B34,SSC_Ontology_Ver0.5!$D$815:$D$1346,SUBSTITUTE($C34,"{U}",K$16))</f>
        <v>1</v>
      </c>
      <c r="L34" s="19">
        <f>COUNTIFS(SSC_Ontology_Ver0.5!$A$815:$A$1346,SUBSTITUTE($A34,"{U}",L$16),SSC_Ontology_Ver0.5!$C$815:$C$1346,$B34,SSC_Ontology_Ver0.5!$D$815:$D$1346,SUBSTITUTE($C34,"{U}",L$16))</f>
        <v>1</v>
      </c>
      <c r="M34" s="19">
        <f>COUNTIFS(SSC_Ontology_Ver0.5!$A$815:$A$1346,SUBSTITUTE($A34,"{U}",M$16),SSC_Ontology_Ver0.5!$C$815:$C$1346,$B34,SSC_Ontology_Ver0.5!$D$815:$D$1346,SUBSTITUTE($C34,"{U}",M$16))</f>
        <v>1</v>
      </c>
      <c r="N34" s="19">
        <f>COUNTIFS(SSC_Ontology_Ver0.5!$A$815:$A$1346,SUBSTITUTE($A34,"{U}",N$16),SSC_Ontology_Ver0.5!$C$815:$C$1346,$B34,SSC_Ontology_Ver0.5!$D$815:$D$1346,SUBSTITUTE($C34,"{U}",N$16))</f>
        <v>1</v>
      </c>
      <c r="O34" s="19">
        <f>COUNTIFS(SSC_Ontology_Ver0.5!$A$815:$A$1346,SUBSTITUTE($A34,"{U}",O$16),SSC_Ontology_Ver0.5!$C$815:$C$1346,$B34,SSC_Ontology_Ver0.5!$D$815:$D$1346,SUBSTITUTE($C34,"{U}",O$16))</f>
        <v>1</v>
      </c>
      <c r="P34" s="19">
        <f>COUNTIFS(SSC_Ontology_Ver0.5!$A$815:$A$1346,SUBSTITUTE($A34,"{U}",P$16),SSC_Ontology_Ver0.5!$C$815:$C$1346,$B34,SSC_Ontology_Ver0.5!$D$815:$D$1346,SUBSTITUTE($C34,"{U}",P$16))</f>
        <v>1</v>
      </c>
      <c r="Q34" s="19">
        <f>COUNTIFS(SSC_Ontology_Ver0.5!$A$815:$A$1346,SUBSTITUTE($A34,"{U}",Q$16),SSC_Ontology_Ver0.5!$C$815:$C$1346,$B34,SSC_Ontology_Ver0.5!$D$815:$D$1346,SUBSTITUTE($C34,"{U}",Q$16))</f>
        <v>1</v>
      </c>
      <c r="R34" s="15" t="str">
        <f>IF($B34="rec:locatedIn","Excluded - location varies by unit",IF(AND(MIN(D34:Q34)=MAX(D34:Q34),MAX(D34:Q34)=1),"OK",IF(MIN(D34:Q34)=0,"Not on all units","Duplicated")))</f>
        <v>OK</v>
      </c>
    </row>
    <row r="35" spans="1:18" x14ac:dyDescent="0.3">
      <c r="A35" s="13" t="s">
        <v>4851</v>
      </c>
      <c r="B35" s="14" t="s">
        <v>380</v>
      </c>
      <c r="C35" s="14" t="s">
        <v>9</v>
      </c>
      <c r="D35" s="19">
        <f>COUNTIFS(SSC_Ontology_Ver0.5!$A$815:$A$1346,SUBSTITUTE($A35,"{U}",D$16),SSC_Ontology_Ver0.5!$C$815:$C$1346,$B35,SSC_Ontology_Ver0.5!$D$815:$D$1346,SUBSTITUTE($C35,"{U}",D$16))</f>
        <v>1</v>
      </c>
      <c r="E35" s="19">
        <f>COUNTIFS(SSC_Ontology_Ver0.5!$A$815:$A$1346,SUBSTITUTE($A35,"{U}",E$16),SSC_Ontology_Ver0.5!$C$815:$C$1346,$B35,SSC_Ontology_Ver0.5!$D$815:$D$1346,SUBSTITUTE($C35,"{U}",E$16))</f>
        <v>1</v>
      </c>
      <c r="F35" s="19">
        <f>COUNTIFS(SSC_Ontology_Ver0.5!$A$815:$A$1346,SUBSTITUTE($A35,"{U}",F$16),SSC_Ontology_Ver0.5!$C$815:$C$1346,$B35,SSC_Ontology_Ver0.5!$D$815:$D$1346,SUBSTITUTE($C35,"{U}",F$16))</f>
        <v>1</v>
      </c>
      <c r="G35" s="19">
        <f>COUNTIFS(SSC_Ontology_Ver0.5!$A$815:$A$1346,SUBSTITUTE($A35,"{U}",G$16),SSC_Ontology_Ver0.5!$C$815:$C$1346,$B35,SSC_Ontology_Ver0.5!$D$815:$D$1346,SUBSTITUTE($C35,"{U}",G$16))</f>
        <v>1</v>
      </c>
      <c r="H35" s="19">
        <f>COUNTIFS(SSC_Ontology_Ver0.5!$A$815:$A$1346,SUBSTITUTE($A35,"{U}",H$16),SSC_Ontology_Ver0.5!$C$815:$C$1346,$B35,SSC_Ontology_Ver0.5!$D$815:$D$1346,SUBSTITUTE($C35,"{U}",H$16))</f>
        <v>1</v>
      </c>
      <c r="I35" s="19">
        <f>COUNTIFS(SSC_Ontology_Ver0.5!$A$815:$A$1346,SUBSTITUTE($A35,"{U}",I$16),SSC_Ontology_Ver0.5!$C$815:$C$1346,$B35,SSC_Ontology_Ver0.5!$D$815:$D$1346,SUBSTITUTE($C35,"{U}",I$16))</f>
        <v>1</v>
      </c>
      <c r="J35" s="19">
        <f>COUNTIFS(SSC_Ontology_Ver0.5!$A$815:$A$1346,SUBSTITUTE($A35,"{U}",J$16),SSC_Ontology_Ver0.5!$C$815:$C$1346,$B35,SSC_Ontology_Ver0.5!$D$815:$D$1346,SUBSTITUTE($C35,"{U}",J$16))</f>
        <v>1</v>
      </c>
      <c r="K35" s="19">
        <f>COUNTIFS(SSC_Ontology_Ver0.5!$A$815:$A$1346,SUBSTITUTE($A35,"{U}",K$16),SSC_Ontology_Ver0.5!$C$815:$C$1346,$B35,SSC_Ontology_Ver0.5!$D$815:$D$1346,SUBSTITUTE($C35,"{U}",K$16))</f>
        <v>1</v>
      </c>
      <c r="L35" s="19">
        <f>COUNTIFS(SSC_Ontology_Ver0.5!$A$815:$A$1346,SUBSTITUTE($A35,"{U}",L$16),SSC_Ontology_Ver0.5!$C$815:$C$1346,$B35,SSC_Ontology_Ver0.5!$D$815:$D$1346,SUBSTITUTE($C35,"{U}",L$16))</f>
        <v>1</v>
      </c>
      <c r="M35" s="19">
        <f>COUNTIFS(SSC_Ontology_Ver0.5!$A$815:$A$1346,SUBSTITUTE($A35,"{U}",M$16),SSC_Ontology_Ver0.5!$C$815:$C$1346,$B35,SSC_Ontology_Ver0.5!$D$815:$D$1346,SUBSTITUTE($C35,"{U}",M$16))</f>
        <v>1</v>
      </c>
      <c r="N35" s="19">
        <f>COUNTIFS(SSC_Ontology_Ver0.5!$A$815:$A$1346,SUBSTITUTE($A35,"{U}",N$16),SSC_Ontology_Ver0.5!$C$815:$C$1346,$B35,SSC_Ontology_Ver0.5!$D$815:$D$1346,SUBSTITUTE($C35,"{U}",N$16))</f>
        <v>1</v>
      </c>
      <c r="O35" s="19">
        <f>COUNTIFS(SSC_Ontology_Ver0.5!$A$815:$A$1346,SUBSTITUTE($A35,"{U}",O$16),SSC_Ontology_Ver0.5!$C$815:$C$1346,$B35,SSC_Ontology_Ver0.5!$D$815:$D$1346,SUBSTITUTE($C35,"{U}",O$16))</f>
        <v>1</v>
      </c>
      <c r="P35" s="19">
        <f>COUNTIFS(SSC_Ontology_Ver0.5!$A$815:$A$1346,SUBSTITUTE($A35,"{U}",P$16),SSC_Ontology_Ver0.5!$C$815:$C$1346,$B35,SSC_Ontology_Ver0.5!$D$815:$D$1346,SUBSTITUTE($C35,"{U}",P$16))</f>
        <v>1</v>
      </c>
      <c r="Q35" s="19">
        <f>COUNTIFS(SSC_Ontology_Ver0.5!$A$815:$A$1346,SUBSTITUTE($A35,"{U}",Q$16),SSC_Ontology_Ver0.5!$C$815:$C$1346,$B35,SSC_Ontology_Ver0.5!$D$815:$D$1346,SUBSTITUTE($C35,"{U}",Q$16))</f>
        <v>1</v>
      </c>
      <c r="R35" s="15" t="str">
        <f>IF($B35="rec:locatedIn","Excluded - location varies by unit",IF(AND(MIN(D35:Q35)=MAX(D35:Q35),MAX(D35:Q35)=1),"OK",IF(MIN(D35:Q35)=0,"Not on all units","Duplicated")))</f>
        <v>OK</v>
      </c>
    </row>
    <row r="36" spans="1:18" x14ac:dyDescent="0.3">
      <c r="A36" s="13" t="s">
        <v>4851</v>
      </c>
      <c r="B36" s="14" t="s">
        <v>16</v>
      </c>
      <c r="C36" s="14" t="s">
        <v>1117</v>
      </c>
      <c r="D36" s="19">
        <f>COUNTIFS(SSC_Ontology_Ver0.5!$A$815:$A$1346,SUBSTITUTE($A36,"{U}",D$16),SSC_Ontology_Ver0.5!$C$815:$C$1346,$B36,SSC_Ontology_Ver0.5!$D$815:$D$1346,SUBSTITUTE($C36,"{U}",D$16))</f>
        <v>1</v>
      </c>
      <c r="E36" s="19">
        <f>COUNTIFS(SSC_Ontology_Ver0.5!$A$815:$A$1346,SUBSTITUTE($A36,"{U}",E$16),SSC_Ontology_Ver0.5!$C$815:$C$1346,$B36,SSC_Ontology_Ver0.5!$D$815:$D$1346,SUBSTITUTE($C36,"{U}",E$16))</f>
        <v>1</v>
      </c>
      <c r="F36" s="19">
        <f>COUNTIFS(SSC_Ontology_Ver0.5!$A$815:$A$1346,SUBSTITUTE($A36,"{U}",F$16),SSC_Ontology_Ver0.5!$C$815:$C$1346,$B36,SSC_Ontology_Ver0.5!$D$815:$D$1346,SUBSTITUTE($C36,"{U}",F$16))</f>
        <v>1</v>
      </c>
      <c r="G36" s="19">
        <f>COUNTIFS(SSC_Ontology_Ver0.5!$A$815:$A$1346,SUBSTITUTE($A36,"{U}",G$16),SSC_Ontology_Ver0.5!$C$815:$C$1346,$B36,SSC_Ontology_Ver0.5!$D$815:$D$1346,SUBSTITUTE($C36,"{U}",G$16))</f>
        <v>1</v>
      </c>
      <c r="H36" s="19">
        <f>COUNTIFS(SSC_Ontology_Ver0.5!$A$815:$A$1346,SUBSTITUTE($A36,"{U}",H$16),SSC_Ontology_Ver0.5!$C$815:$C$1346,$B36,SSC_Ontology_Ver0.5!$D$815:$D$1346,SUBSTITUTE($C36,"{U}",H$16))</f>
        <v>1</v>
      </c>
      <c r="I36" s="19">
        <f>COUNTIFS(SSC_Ontology_Ver0.5!$A$815:$A$1346,SUBSTITUTE($A36,"{U}",I$16),SSC_Ontology_Ver0.5!$C$815:$C$1346,$B36,SSC_Ontology_Ver0.5!$D$815:$D$1346,SUBSTITUTE($C36,"{U}",I$16))</f>
        <v>1</v>
      </c>
      <c r="J36" s="19">
        <f>COUNTIFS(SSC_Ontology_Ver0.5!$A$815:$A$1346,SUBSTITUTE($A36,"{U}",J$16),SSC_Ontology_Ver0.5!$C$815:$C$1346,$B36,SSC_Ontology_Ver0.5!$D$815:$D$1346,SUBSTITUTE($C36,"{U}",J$16))</f>
        <v>0</v>
      </c>
      <c r="K36" s="19">
        <f>COUNTIFS(SSC_Ontology_Ver0.5!$A$815:$A$1346,SUBSTITUTE($A36,"{U}",K$16),SSC_Ontology_Ver0.5!$C$815:$C$1346,$B36,SSC_Ontology_Ver0.5!$D$815:$D$1346,SUBSTITUTE($C36,"{U}",K$16))</f>
        <v>0</v>
      </c>
      <c r="L36" s="19">
        <f>COUNTIFS(SSC_Ontology_Ver0.5!$A$815:$A$1346,SUBSTITUTE($A36,"{U}",L$16),SSC_Ontology_Ver0.5!$C$815:$C$1346,$B36,SSC_Ontology_Ver0.5!$D$815:$D$1346,SUBSTITUTE($C36,"{U}",L$16))</f>
        <v>0</v>
      </c>
      <c r="M36" s="19">
        <f>COUNTIFS(SSC_Ontology_Ver0.5!$A$815:$A$1346,SUBSTITUTE($A36,"{U}",M$16),SSC_Ontology_Ver0.5!$C$815:$C$1346,$B36,SSC_Ontology_Ver0.5!$D$815:$D$1346,SUBSTITUTE($C36,"{U}",M$16))</f>
        <v>0</v>
      </c>
      <c r="N36" s="19">
        <f>COUNTIFS(SSC_Ontology_Ver0.5!$A$815:$A$1346,SUBSTITUTE($A36,"{U}",N$16),SSC_Ontology_Ver0.5!$C$815:$C$1346,$B36,SSC_Ontology_Ver0.5!$D$815:$D$1346,SUBSTITUTE($C36,"{U}",N$16))</f>
        <v>0</v>
      </c>
      <c r="O36" s="19">
        <f>COUNTIFS(SSC_Ontology_Ver0.5!$A$815:$A$1346,SUBSTITUTE($A36,"{U}",O$16),SSC_Ontology_Ver0.5!$C$815:$C$1346,$B36,SSC_Ontology_Ver0.5!$D$815:$D$1346,SUBSTITUTE($C36,"{U}",O$16))</f>
        <v>0</v>
      </c>
      <c r="P36" s="19">
        <f>COUNTIFS(SSC_Ontology_Ver0.5!$A$815:$A$1346,SUBSTITUTE($A36,"{U}",P$16),SSC_Ontology_Ver0.5!$C$815:$C$1346,$B36,SSC_Ontology_Ver0.5!$D$815:$D$1346,SUBSTITUTE($C36,"{U}",P$16))</f>
        <v>0</v>
      </c>
      <c r="Q36" s="19">
        <f>COUNTIFS(SSC_Ontology_Ver0.5!$A$815:$A$1346,SUBSTITUTE($A36,"{U}",Q$16),SSC_Ontology_Ver0.5!$C$815:$C$1346,$B36,SSC_Ontology_Ver0.5!$D$815:$D$1346,SUBSTITUTE($C36,"{U}",Q$16))</f>
        <v>0</v>
      </c>
      <c r="R36" s="15" t="str">
        <f>IF($B36="rec:locatedIn","Excluded - location varies by unit",IF(AND(MIN(D36:Q36)=MAX(D36:Q36),MAX(D36:Q36)=1),"OK",IF(MIN(D36:Q36)=0,"Not on all units","Duplicated")))</f>
        <v>Excluded - location varies by unit</v>
      </c>
    </row>
    <row r="37" spans="1:18" x14ac:dyDescent="0.3">
      <c r="A37" s="13" t="s">
        <v>4851</v>
      </c>
      <c r="B37" s="14" t="s">
        <v>11</v>
      </c>
      <c r="C37" s="14" t="s">
        <v>12</v>
      </c>
      <c r="D37" s="19">
        <f>COUNTIFS(SSC_Ontology_Ver0.5!$A$815:$A$1346,SUBSTITUTE($A37,"{U}",D$16),SSC_Ontology_Ver0.5!$C$815:$C$1346,$B37,SSC_Ontology_Ver0.5!$D$815:$D$1346,SUBSTITUTE($C37,"{U}",D$16))</f>
        <v>1</v>
      </c>
      <c r="E37" s="19">
        <f>COUNTIFS(SSC_Ontology_Ver0.5!$A$815:$A$1346,SUBSTITUTE($A37,"{U}",E$16),SSC_Ontology_Ver0.5!$C$815:$C$1346,$B37,SSC_Ontology_Ver0.5!$D$815:$D$1346,SUBSTITUTE($C37,"{U}",E$16))</f>
        <v>1</v>
      </c>
      <c r="F37" s="19">
        <f>COUNTIFS(SSC_Ontology_Ver0.5!$A$815:$A$1346,SUBSTITUTE($A37,"{U}",F$16),SSC_Ontology_Ver0.5!$C$815:$C$1346,$B37,SSC_Ontology_Ver0.5!$D$815:$D$1346,SUBSTITUTE($C37,"{U}",F$16))</f>
        <v>1</v>
      </c>
      <c r="G37" s="19">
        <f>COUNTIFS(SSC_Ontology_Ver0.5!$A$815:$A$1346,SUBSTITUTE($A37,"{U}",G$16),SSC_Ontology_Ver0.5!$C$815:$C$1346,$B37,SSC_Ontology_Ver0.5!$D$815:$D$1346,SUBSTITUTE($C37,"{U}",G$16))</f>
        <v>1</v>
      </c>
      <c r="H37" s="19">
        <f>COUNTIFS(SSC_Ontology_Ver0.5!$A$815:$A$1346,SUBSTITUTE($A37,"{U}",H$16),SSC_Ontology_Ver0.5!$C$815:$C$1346,$B37,SSC_Ontology_Ver0.5!$D$815:$D$1346,SUBSTITUTE($C37,"{U}",H$16))</f>
        <v>1</v>
      </c>
      <c r="I37" s="19">
        <f>COUNTIFS(SSC_Ontology_Ver0.5!$A$815:$A$1346,SUBSTITUTE($A37,"{U}",I$16),SSC_Ontology_Ver0.5!$C$815:$C$1346,$B37,SSC_Ontology_Ver0.5!$D$815:$D$1346,SUBSTITUTE($C37,"{U}",I$16))</f>
        <v>1</v>
      </c>
      <c r="J37" s="19">
        <f>COUNTIFS(SSC_Ontology_Ver0.5!$A$815:$A$1346,SUBSTITUTE($A37,"{U}",J$16),SSC_Ontology_Ver0.5!$C$815:$C$1346,$B37,SSC_Ontology_Ver0.5!$D$815:$D$1346,SUBSTITUTE($C37,"{U}",J$16))</f>
        <v>1</v>
      </c>
      <c r="K37" s="19">
        <f>COUNTIFS(SSC_Ontology_Ver0.5!$A$815:$A$1346,SUBSTITUTE($A37,"{U}",K$16),SSC_Ontology_Ver0.5!$C$815:$C$1346,$B37,SSC_Ontology_Ver0.5!$D$815:$D$1346,SUBSTITUTE($C37,"{U}",K$16))</f>
        <v>1</v>
      </c>
      <c r="L37" s="19">
        <f>COUNTIFS(SSC_Ontology_Ver0.5!$A$815:$A$1346,SUBSTITUTE($A37,"{U}",L$16),SSC_Ontology_Ver0.5!$C$815:$C$1346,$B37,SSC_Ontology_Ver0.5!$D$815:$D$1346,SUBSTITUTE($C37,"{U}",L$16))</f>
        <v>1</v>
      </c>
      <c r="M37" s="19">
        <f>COUNTIFS(SSC_Ontology_Ver0.5!$A$815:$A$1346,SUBSTITUTE($A37,"{U}",M$16),SSC_Ontology_Ver0.5!$C$815:$C$1346,$B37,SSC_Ontology_Ver0.5!$D$815:$D$1346,SUBSTITUTE($C37,"{U}",M$16))</f>
        <v>1</v>
      </c>
      <c r="N37" s="19">
        <f>COUNTIFS(SSC_Ontology_Ver0.5!$A$815:$A$1346,SUBSTITUTE($A37,"{U}",N$16),SSC_Ontology_Ver0.5!$C$815:$C$1346,$B37,SSC_Ontology_Ver0.5!$D$815:$D$1346,SUBSTITUTE($C37,"{U}",N$16))</f>
        <v>1</v>
      </c>
      <c r="O37" s="19">
        <f>COUNTIFS(SSC_Ontology_Ver0.5!$A$815:$A$1346,SUBSTITUTE($A37,"{U}",O$16),SSC_Ontology_Ver0.5!$C$815:$C$1346,$B37,SSC_Ontology_Ver0.5!$D$815:$D$1346,SUBSTITUTE($C37,"{U}",O$16))</f>
        <v>1</v>
      </c>
      <c r="P37" s="19">
        <f>COUNTIFS(SSC_Ontology_Ver0.5!$A$815:$A$1346,SUBSTITUTE($A37,"{U}",P$16),SSC_Ontology_Ver0.5!$C$815:$C$1346,$B37,SSC_Ontology_Ver0.5!$D$815:$D$1346,SUBSTITUTE($C37,"{U}",P$16))</f>
        <v>1</v>
      </c>
      <c r="Q37" s="19">
        <f>COUNTIFS(SSC_Ontology_Ver0.5!$A$815:$A$1346,SUBSTITUTE($A37,"{U}",Q$16),SSC_Ontology_Ver0.5!$C$815:$C$1346,$B37,SSC_Ontology_Ver0.5!$D$815:$D$1346,SUBSTITUTE($C37,"{U}",Q$16))</f>
        <v>1</v>
      </c>
      <c r="R37" s="15" t="str">
        <f>IF($B37="rec:locatedIn","Excluded - location varies by unit",IF(AND(MIN(D37:Q37)=MAX(D37:Q37),MAX(D37:Q37)=1),"OK",IF(MIN(D37:Q37)=0,"Not on all units","Duplicated")))</f>
        <v>OK</v>
      </c>
    </row>
    <row r="38" spans="1:18" x14ac:dyDescent="0.3">
      <c r="A38" s="13" t="s">
        <v>4859</v>
      </c>
      <c r="B38" s="14" t="s">
        <v>11</v>
      </c>
      <c r="C38" s="14" t="s">
        <v>12</v>
      </c>
      <c r="D38" s="19">
        <f>COUNTIFS(SSC_Ontology_Ver0.5!$A$815:$A$1346,SUBSTITUTE($A38,"{U}",D$16),SSC_Ontology_Ver0.5!$C$815:$C$1346,$B38,SSC_Ontology_Ver0.5!$D$815:$D$1346,SUBSTITUTE($C38,"{U}",D$16))</f>
        <v>1</v>
      </c>
      <c r="E38" s="19">
        <f>COUNTIFS(SSC_Ontology_Ver0.5!$A$815:$A$1346,SUBSTITUTE($A38,"{U}",E$16),SSC_Ontology_Ver0.5!$C$815:$C$1346,$B38,SSC_Ontology_Ver0.5!$D$815:$D$1346,SUBSTITUTE($C38,"{U}",E$16))</f>
        <v>1</v>
      </c>
      <c r="F38" s="19">
        <f>COUNTIFS(SSC_Ontology_Ver0.5!$A$815:$A$1346,SUBSTITUTE($A38,"{U}",F$16),SSC_Ontology_Ver0.5!$C$815:$C$1346,$B38,SSC_Ontology_Ver0.5!$D$815:$D$1346,SUBSTITUTE($C38,"{U}",F$16))</f>
        <v>1</v>
      </c>
      <c r="G38" s="19">
        <f>COUNTIFS(SSC_Ontology_Ver0.5!$A$815:$A$1346,SUBSTITUTE($A38,"{U}",G$16),SSC_Ontology_Ver0.5!$C$815:$C$1346,$B38,SSC_Ontology_Ver0.5!$D$815:$D$1346,SUBSTITUTE($C38,"{U}",G$16))</f>
        <v>1</v>
      </c>
      <c r="H38" s="19">
        <f>COUNTIFS(SSC_Ontology_Ver0.5!$A$815:$A$1346,SUBSTITUTE($A38,"{U}",H$16),SSC_Ontology_Ver0.5!$C$815:$C$1346,$B38,SSC_Ontology_Ver0.5!$D$815:$D$1346,SUBSTITUTE($C38,"{U}",H$16))</f>
        <v>1</v>
      </c>
      <c r="I38" s="19">
        <f>COUNTIFS(SSC_Ontology_Ver0.5!$A$815:$A$1346,SUBSTITUTE($A38,"{U}",I$16),SSC_Ontology_Ver0.5!$C$815:$C$1346,$B38,SSC_Ontology_Ver0.5!$D$815:$D$1346,SUBSTITUTE($C38,"{U}",I$16))</f>
        <v>1</v>
      </c>
      <c r="J38" s="19">
        <f>COUNTIFS(SSC_Ontology_Ver0.5!$A$815:$A$1346,SUBSTITUTE($A38,"{U}",J$16),SSC_Ontology_Ver0.5!$C$815:$C$1346,$B38,SSC_Ontology_Ver0.5!$D$815:$D$1346,SUBSTITUTE($C38,"{U}",J$16))</f>
        <v>1</v>
      </c>
      <c r="K38" s="19">
        <f>COUNTIFS(SSC_Ontology_Ver0.5!$A$815:$A$1346,SUBSTITUTE($A38,"{U}",K$16),SSC_Ontology_Ver0.5!$C$815:$C$1346,$B38,SSC_Ontology_Ver0.5!$D$815:$D$1346,SUBSTITUTE($C38,"{U}",K$16))</f>
        <v>1</v>
      </c>
      <c r="L38" s="19">
        <f>COUNTIFS(SSC_Ontology_Ver0.5!$A$815:$A$1346,SUBSTITUTE($A38,"{U}",L$16),SSC_Ontology_Ver0.5!$C$815:$C$1346,$B38,SSC_Ontology_Ver0.5!$D$815:$D$1346,SUBSTITUTE($C38,"{U}",L$16))</f>
        <v>1</v>
      </c>
      <c r="M38" s="19">
        <f>COUNTIFS(SSC_Ontology_Ver0.5!$A$815:$A$1346,SUBSTITUTE($A38,"{U}",M$16),SSC_Ontology_Ver0.5!$C$815:$C$1346,$B38,SSC_Ontology_Ver0.5!$D$815:$D$1346,SUBSTITUTE($C38,"{U}",M$16))</f>
        <v>1</v>
      </c>
      <c r="N38" s="19">
        <f>COUNTIFS(SSC_Ontology_Ver0.5!$A$815:$A$1346,SUBSTITUTE($A38,"{U}",N$16),SSC_Ontology_Ver0.5!$C$815:$C$1346,$B38,SSC_Ontology_Ver0.5!$D$815:$D$1346,SUBSTITUTE($C38,"{U}",N$16))</f>
        <v>1</v>
      </c>
      <c r="O38" s="19">
        <f>COUNTIFS(SSC_Ontology_Ver0.5!$A$815:$A$1346,SUBSTITUTE($A38,"{U}",O$16),SSC_Ontology_Ver0.5!$C$815:$C$1346,$B38,SSC_Ontology_Ver0.5!$D$815:$D$1346,SUBSTITUTE($C38,"{U}",O$16))</f>
        <v>1</v>
      </c>
      <c r="P38" s="19">
        <f>COUNTIFS(SSC_Ontology_Ver0.5!$A$815:$A$1346,SUBSTITUTE($A38,"{U}",P$16),SSC_Ontology_Ver0.5!$C$815:$C$1346,$B38,SSC_Ontology_Ver0.5!$D$815:$D$1346,SUBSTITUTE($C38,"{U}",P$16))</f>
        <v>1</v>
      </c>
      <c r="Q38" s="19">
        <f>COUNTIFS(SSC_Ontology_Ver0.5!$A$815:$A$1346,SUBSTITUTE($A38,"{U}",Q$16),SSC_Ontology_Ver0.5!$C$815:$C$1346,$B38,SSC_Ontology_Ver0.5!$D$815:$D$1346,SUBSTITUTE($C38,"{U}",Q$16))</f>
        <v>1</v>
      </c>
      <c r="R38" s="15" t="str">
        <f>IF($B38="rec:locatedIn","Excluded - location varies by unit",IF(AND(MIN(D38:Q38)=MAX(D38:Q38),MAX(D38:Q38)=1),"OK",IF(MIN(D38:Q38)=0,"Not on all units","Duplicated")))</f>
        <v>OK</v>
      </c>
    </row>
    <row r="39" spans="1:18" x14ac:dyDescent="0.3">
      <c r="A39" s="13" t="s">
        <v>4856</v>
      </c>
      <c r="B39" s="14" t="s">
        <v>11</v>
      </c>
      <c r="C39" s="14" t="s">
        <v>12</v>
      </c>
      <c r="D39" s="19">
        <f>COUNTIFS(SSC_Ontology_Ver0.5!$A$815:$A$1346,SUBSTITUTE($A39,"{U}",D$16),SSC_Ontology_Ver0.5!$C$815:$C$1346,$B39,SSC_Ontology_Ver0.5!$D$815:$D$1346,SUBSTITUTE($C39,"{U}",D$16))</f>
        <v>1</v>
      </c>
      <c r="E39" s="19">
        <f>COUNTIFS(SSC_Ontology_Ver0.5!$A$815:$A$1346,SUBSTITUTE($A39,"{U}",E$16),SSC_Ontology_Ver0.5!$C$815:$C$1346,$B39,SSC_Ontology_Ver0.5!$D$815:$D$1346,SUBSTITUTE($C39,"{U}",E$16))</f>
        <v>1</v>
      </c>
      <c r="F39" s="19">
        <f>COUNTIFS(SSC_Ontology_Ver0.5!$A$815:$A$1346,SUBSTITUTE($A39,"{U}",F$16),SSC_Ontology_Ver0.5!$C$815:$C$1346,$B39,SSC_Ontology_Ver0.5!$D$815:$D$1346,SUBSTITUTE($C39,"{U}",F$16))</f>
        <v>1</v>
      </c>
      <c r="G39" s="19">
        <f>COUNTIFS(SSC_Ontology_Ver0.5!$A$815:$A$1346,SUBSTITUTE($A39,"{U}",G$16),SSC_Ontology_Ver0.5!$C$815:$C$1346,$B39,SSC_Ontology_Ver0.5!$D$815:$D$1346,SUBSTITUTE($C39,"{U}",G$16))</f>
        <v>1</v>
      </c>
      <c r="H39" s="19">
        <f>COUNTIFS(SSC_Ontology_Ver0.5!$A$815:$A$1346,SUBSTITUTE($A39,"{U}",H$16),SSC_Ontology_Ver0.5!$C$815:$C$1346,$B39,SSC_Ontology_Ver0.5!$D$815:$D$1346,SUBSTITUTE($C39,"{U}",H$16))</f>
        <v>1</v>
      </c>
      <c r="I39" s="19">
        <f>COUNTIFS(SSC_Ontology_Ver0.5!$A$815:$A$1346,SUBSTITUTE($A39,"{U}",I$16),SSC_Ontology_Ver0.5!$C$815:$C$1346,$B39,SSC_Ontology_Ver0.5!$D$815:$D$1346,SUBSTITUTE($C39,"{U}",I$16))</f>
        <v>1</v>
      </c>
      <c r="J39" s="19">
        <f>COUNTIFS(SSC_Ontology_Ver0.5!$A$815:$A$1346,SUBSTITUTE($A39,"{U}",J$16),SSC_Ontology_Ver0.5!$C$815:$C$1346,$B39,SSC_Ontology_Ver0.5!$D$815:$D$1346,SUBSTITUTE($C39,"{U}",J$16))</f>
        <v>1</v>
      </c>
      <c r="K39" s="19">
        <f>COUNTIFS(SSC_Ontology_Ver0.5!$A$815:$A$1346,SUBSTITUTE($A39,"{U}",K$16),SSC_Ontology_Ver0.5!$C$815:$C$1346,$B39,SSC_Ontology_Ver0.5!$D$815:$D$1346,SUBSTITUTE($C39,"{U}",K$16))</f>
        <v>1</v>
      </c>
      <c r="L39" s="19">
        <f>COUNTIFS(SSC_Ontology_Ver0.5!$A$815:$A$1346,SUBSTITUTE($A39,"{U}",L$16),SSC_Ontology_Ver0.5!$C$815:$C$1346,$B39,SSC_Ontology_Ver0.5!$D$815:$D$1346,SUBSTITUTE($C39,"{U}",L$16))</f>
        <v>1</v>
      </c>
      <c r="M39" s="19">
        <f>COUNTIFS(SSC_Ontology_Ver0.5!$A$815:$A$1346,SUBSTITUTE($A39,"{U}",M$16),SSC_Ontology_Ver0.5!$C$815:$C$1346,$B39,SSC_Ontology_Ver0.5!$D$815:$D$1346,SUBSTITUTE($C39,"{U}",M$16))</f>
        <v>1</v>
      </c>
      <c r="N39" s="19">
        <f>COUNTIFS(SSC_Ontology_Ver0.5!$A$815:$A$1346,SUBSTITUTE($A39,"{U}",N$16),SSC_Ontology_Ver0.5!$C$815:$C$1346,$B39,SSC_Ontology_Ver0.5!$D$815:$D$1346,SUBSTITUTE($C39,"{U}",N$16))</f>
        <v>1</v>
      </c>
      <c r="O39" s="19">
        <f>COUNTIFS(SSC_Ontology_Ver0.5!$A$815:$A$1346,SUBSTITUTE($A39,"{U}",O$16),SSC_Ontology_Ver0.5!$C$815:$C$1346,$B39,SSC_Ontology_Ver0.5!$D$815:$D$1346,SUBSTITUTE($C39,"{U}",O$16))</f>
        <v>1</v>
      </c>
      <c r="P39" s="19">
        <f>COUNTIFS(SSC_Ontology_Ver0.5!$A$815:$A$1346,SUBSTITUTE($A39,"{U}",P$16),SSC_Ontology_Ver0.5!$C$815:$C$1346,$B39,SSC_Ontology_Ver0.5!$D$815:$D$1346,SUBSTITUTE($C39,"{U}",P$16))</f>
        <v>1</v>
      </c>
      <c r="Q39" s="19">
        <f>COUNTIFS(SSC_Ontology_Ver0.5!$A$815:$A$1346,SUBSTITUTE($A39,"{U}",Q$16),SSC_Ontology_Ver0.5!$C$815:$C$1346,$B39,SSC_Ontology_Ver0.5!$D$815:$D$1346,SUBSTITUTE($C39,"{U}",Q$16))</f>
        <v>1</v>
      </c>
      <c r="R39" s="15" t="str">
        <f>IF($B39="rec:locatedIn","Excluded - location varies by unit",IF(AND(MIN(D39:Q39)=MAX(D39:Q39),MAX(D39:Q39)=1),"OK",IF(MIN(D39:Q39)=0,"Not on all units","Duplicated")))</f>
        <v>OK</v>
      </c>
    </row>
    <row r="40" spans="1:18" x14ac:dyDescent="0.3">
      <c r="A40" s="13" t="s">
        <v>4860</v>
      </c>
      <c r="B40" s="14" t="s">
        <v>11</v>
      </c>
      <c r="C40" s="14" t="s">
        <v>12</v>
      </c>
      <c r="D40" s="19">
        <f>COUNTIFS(SSC_Ontology_Ver0.5!$A$815:$A$1346,SUBSTITUTE($A40,"{U}",D$16),SSC_Ontology_Ver0.5!$C$815:$C$1346,$B40,SSC_Ontology_Ver0.5!$D$815:$D$1346,SUBSTITUTE($C40,"{U}",D$16))</f>
        <v>1</v>
      </c>
      <c r="E40" s="19">
        <f>COUNTIFS(SSC_Ontology_Ver0.5!$A$815:$A$1346,SUBSTITUTE($A40,"{U}",E$16),SSC_Ontology_Ver0.5!$C$815:$C$1346,$B40,SSC_Ontology_Ver0.5!$D$815:$D$1346,SUBSTITUTE($C40,"{U}",E$16))</f>
        <v>1</v>
      </c>
      <c r="F40" s="19">
        <f>COUNTIFS(SSC_Ontology_Ver0.5!$A$815:$A$1346,SUBSTITUTE($A40,"{U}",F$16),SSC_Ontology_Ver0.5!$C$815:$C$1346,$B40,SSC_Ontology_Ver0.5!$D$815:$D$1346,SUBSTITUTE($C40,"{U}",F$16))</f>
        <v>1</v>
      </c>
      <c r="G40" s="19">
        <f>COUNTIFS(SSC_Ontology_Ver0.5!$A$815:$A$1346,SUBSTITUTE($A40,"{U}",G$16),SSC_Ontology_Ver0.5!$C$815:$C$1346,$B40,SSC_Ontology_Ver0.5!$D$815:$D$1346,SUBSTITUTE($C40,"{U}",G$16))</f>
        <v>1</v>
      </c>
      <c r="H40" s="19">
        <f>COUNTIFS(SSC_Ontology_Ver0.5!$A$815:$A$1346,SUBSTITUTE($A40,"{U}",H$16),SSC_Ontology_Ver0.5!$C$815:$C$1346,$B40,SSC_Ontology_Ver0.5!$D$815:$D$1346,SUBSTITUTE($C40,"{U}",H$16))</f>
        <v>1</v>
      </c>
      <c r="I40" s="19">
        <f>COUNTIFS(SSC_Ontology_Ver0.5!$A$815:$A$1346,SUBSTITUTE($A40,"{U}",I$16),SSC_Ontology_Ver0.5!$C$815:$C$1346,$B40,SSC_Ontology_Ver0.5!$D$815:$D$1346,SUBSTITUTE($C40,"{U}",I$16))</f>
        <v>1</v>
      </c>
      <c r="J40" s="19">
        <f>COUNTIFS(SSC_Ontology_Ver0.5!$A$815:$A$1346,SUBSTITUTE($A40,"{U}",J$16),SSC_Ontology_Ver0.5!$C$815:$C$1346,$B40,SSC_Ontology_Ver0.5!$D$815:$D$1346,SUBSTITUTE($C40,"{U}",J$16))</f>
        <v>1</v>
      </c>
      <c r="K40" s="19">
        <f>COUNTIFS(SSC_Ontology_Ver0.5!$A$815:$A$1346,SUBSTITUTE($A40,"{U}",K$16),SSC_Ontology_Ver0.5!$C$815:$C$1346,$B40,SSC_Ontology_Ver0.5!$D$815:$D$1346,SUBSTITUTE($C40,"{U}",K$16))</f>
        <v>1</v>
      </c>
      <c r="L40" s="19">
        <f>COUNTIFS(SSC_Ontology_Ver0.5!$A$815:$A$1346,SUBSTITUTE($A40,"{U}",L$16),SSC_Ontology_Ver0.5!$C$815:$C$1346,$B40,SSC_Ontology_Ver0.5!$D$815:$D$1346,SUBSTITUTE($C40,"{U}",L$16))</f>
        <v>1</v>
      </c>
      <c r="M40" s="19">
        <f>COUNTIFS(SSC_Ontology_Ver0.5!$A$815:$A$1346,SUBSTITUTE($A40,"{U}",M$16),SSC_Ontology_Ver0.5!$C$815:$C$1346,$B40,SSC_Ontology_Ver0.5!$D$815:$D$1346,SUBSTITUTE($C40,"{U}",M$16))</f>
        <v>1</v>
      </c>
      <c r="N40" s="19">
        <f>COUNTIFS(SSC_Ontology_Ver0.5!$A$815:$A$1346,SUBSTITUTE($A40,"{U}",N$16),SSC_Ontology_Ver0.5!$C$815:$C$1346,$B40,SSC_Ontology_Ver0.5!$D$815:$D$1346,SUBSTITUTE($C40,"{U}",N$16))</f>
        <v>1</v>
      </c>
      <c r="O40" s="19">
        <f>COUNTIFS(SSC_Ontology_Ver0.5!$A$815:$A$1346,SUBSTITUTE($A40,"{U}",O$16),SSC_Ontology_Ver0.5!$C$815:$C$1346,$B40,SSC_Ontology_Ver0.5!$D$815:$D$1346,SUBSTITUTE($C40,"{U}",O$16))</f>
        <v>1</v>
      </c>
      <c r="P40" s="19">
        <f>COUNTIFS(SSC_Ontology_Ver0.5!$A$815:$A$1346,SUBSTITUTE($A40,"{U}",P$16),SSC_Ontology_Ver0.5!$C$815:$C$1346,$B40,SSC_Ontology_Ver0.5!$D$815:$D$1346,SUBSTITUTE($C40,"{U}",P$16))</f>
        <v>1</v>
      </c>
      <c r="Q40" s="19">
        <f>COUNTIFS(SSC_Ontology_Ver0.5!$A$815:$A$1346,SUBSTITUTE($A40,"{U}",Q$16),SSC_Ontology_Ver0.5!$C$815:$C$1346,$B40,SSC_Ontology_Ver0.5!$D$815:$D$1346,SUBSTITUTE($C40,"{U}",Q$16))</f>
        <v>1</v>
      </c>
      <c r="R40" s="15" t="str">
        <f>IF($B40="rec:locatedIn","Excluded - location varies by unit",IF(AND(MIN(D40:Q40)=MAX(D40:Q40),MAX(D40:Q40)=1),"OK",IF(MIN(D40:Q40)=0,"Not on all units","Duplicated")))</f>
        <v>OK</v>
      </c>
    </row>
    <row r="41" spans="1:18" x14ac:dyDescent="0.3">
      <c r="A41" s="13" t="s">
        <v>4861</v>
      </c>
      <c r="B41" s="14" t="s">
        <v>11</v>
      </c>
      <c r="C41" s="14" t="s">
        <v>12</v>
      </c>
      <c r="D41" s="19">
        <f>COUNTIFS(SSC_Ontology_Ver0.5!$A$815:$A$1346,SUBSTITUTE($A41,"{U}",D$16),SSC_Ontology_Ver0.5!$C$815:$C$1346,$B41,SSC_Ontology_Ver0.5!$D$815:$D$1346,SUBSTITUTE($C41,"{U}",D$16))</f>
        <v>1</v>
      </c>
      <c r="E41" s="19">
        <f>COUNTIFS(SSC_Ontology_Ver0.5!$A$815:$A$1346,SUBSTITUTE($A41,"{U}",E$16),SSC_Ontology_Ver0.5!$C$815:$C$1346,$B41,SSC_Ontology_Ver0.5!$D$815:$D$1346,SUBSTITUTE($C41,"{U}",E$16))</f>
        <v>1</v>
      </c>
      <c r="F41" s="19">
        <f>COUNTIFS(SSC_Ontology_Ver0.5!$A$815:$A$1346,SUBSTITUTE($A41,"{U}",F$16),SSC_Ontology_Ver0.5!$C$815:$C$1346,$B41,SSC_Ontology_Ver0.5!$D$815:$D$1346,SUBSTITUTE($C41,"{U}",F$16))</f>
        <v>1</v>
      </c>
      <c r="G41" s="19">
        <f>COUNTIFS(SSC_Ontology_Ver0.5!$A$815:$A$1346,SUBSTITUTE($A41,"{U}",G$16),SSC_Ontology_Ver0.5!$C$815:$C$1346,$B41,SSC_Ontology_Ver0.5!$D$815:$D$1346,SUBSTITUTE($C41,"{U}",G$16))</f>
        <v>1</v>
      </c>
      <c r="H41" s="19">
        <f>COUNTIFS(SSC_Ontology_Ver0.5!$A$815:$A$1346,SUBSTITUTE($A41,"{U}",H$16),SSC_Ontology_Ver0.5!$C$815:$C$1346,$B41,SSC_Ontology_Ver0.5!$D$815:$D$1346,SUBSTITUTE($C41,"{U}",H$16))</f>
        <v>1</v>
      </c>
      <c r="I41" s="19">
        <f>COUNTIFS(SSC_Ontology_Ver0.5!$A$815:$A$1346,SUBSTITUTE($A41,"{U}",I$16),SSC_Ontology_Ver0.5!$C$815:$C$1346,$B41,SSC_Ontology_Ver0.5!$D$815:$D$1346,SUBSTITUTE($C41,"{U}",I$16))</f>
        <v>1</v>
      </c>
      <c r="J41" s="19">
        <f>COUNTIFS(SSC_Ontology_Ver0.5!$A$815:$A$1346,SUBSTITUTE($A41,"{U}",J$16),SSC_Ontology_Ver0.5!$C$815:$C$1346,$B41,SSC_Ontology_Ver0.5!$D$815:$D$1346,SUBSTITUTE($C41,"{U}",J$16))</f>
        <v>1</v>
      </c>
      <c r="K41" s="19">
        <f>COUNTIFS(SSC_Ontology_Ver0.5!$A$815:$A$1346,SUBSTITUTE($A41,"{U}",K$16),SSC_Ontology_Ver0.5!$C$815:$C$1346,$B41,SSC_Ontology_Ver0.5!$D$815:$D$1346,SUBSTITUTE($C41,"{U}",K$16))</f>
        <v>1</v>
      </c>
      <c r="L41" s="19">
        <f>COUNTIFS(SSC_Ontology_Ver0.5!$A$815:$A$1346,SUBSTITUTE($A41,"{U}",L$16),SSC_Ontology_Ver0.5!$C$815:$C$1346,$B41,SSC_Ontology_Ver0.5!$D$815:$D$1346,SUBSTITUTE($C41,"{U}",L$16))</f>
        <v>1</v>
      </c>
      <c r="M41" s="19">
        <f>COUNTIFS(SSC_Ontology_Ver0.5!$A$815:$A$1346,SUBSTITUTE($A41,"{U}",M$16),SSC_Ontology_Ver0.5!$C$815:$C$1346,$B41,SSC_Ontology_Ver0.5!$D$815:$D$1346,SUBSTITUTE($C41,"{U}",M$16))</f>
        <v>1</v>
      </c>
      <c r="N41" s="19">
        <f>COUNTIFS(SSC_Ontology_Ver0.5!$A$815:$A$1346,SUBSTITUTE($A41,"{U}",N$16),SSC_Ontology_Ver0.5!$C$815:$C$1346,$B41,SSC_Ontology_Ver0.5!$D$815:$D$1346,SUBSTITUTE($C41,"{U}",N$16))</f>
        <v>1</v>
      </c>
      <c r="O41" s="19">
        <f>COUNTIFS(SSC_Ontology_Ver0.5!$A$815:$A$1346,SUBSTITUTE($A41,"{U}",O$16),SSC_Ontology_Ver0.5!$C$815:$C$1346,$B41,SSC_Ontology_Ver0.5!$D$815:$D$1346,SUBSTITUTE($C41,"{U}",O$16))</f>
        <v>1</v>
      </c>
      <c r="P41" s="19">
        <f>COUNTIFS(SSC_Ontology_Ver0.5!$A$815:$A$1346,SUBSTITUTE($A41,"{U}",P$16),SSC_Ontology_Ver0.5!$C$815:$C$1346,$B41,SSC_Ontology_Ver0.5!$D$815:$D$1346,SUBSTITUTE($C41,"{U}",P$16))</f>
        <v>1</v>
      </c>
      <c r="Q41" s="19">
        <f>COUNTIFS(SSC_Ontology_Ver0.5!$A$815:$A$1346,SUBSTITUTE($A41,"{U}",Q$16),SSC_Ontology_Ver0.5!$C$815:$C$1346,$B41,SSC_Ontology_Ver0.5!$D$815:$D$1346,SUBSTITUTE($C41,"{U}",Q$16))</f>
        <v>1</v>
      </c>
      <c r="R41" s="15" t="str">
        <f>IF($B41="rec:locatedIn","Excluded - location varies by unit",IF(AND(MIN(D41:Q41)=MAX(D41:Q41),MAX(D41:Q41)=1),"OK",IF(MIN(D41:Q41)=0,"Not on all units","Duplicated")))</f>
        <v>OK</v>
      </c>
    </row>
    <row r="42" spans="1:18" x14ac:dyDescent="0.3">
      <c r="A42" s="13" t="s">
        <v>4862</v>
      </c>
      <c r="B42" s="14" t="s">
        <v>11</v>
      </c>
      <c r="C42" s="14" t="s">
        <v>12</v>
      </c>
      <c r="D42" s="19">
        <f>COUNTIFS(SSC_Ontology_Ver0.5!$A$815:$A$1346,SUBSTITUTE($A42,"{U}",D$16),SSC_Ontology_Ver0.5!$C$815:$C$1346,$B42,SSC_Ontology_Ver0.5!$D$815:$D$1346,SUBSTITUTE($C42,"{U}",D$16))</f>
        <v>1</v>
      </c>
      <c r="E42" s="19">
        <f>COUNTIFS(SSC_Ontology_Ver0.5!$A$815:$A$1346,SUBSTITUTE($A42,"{U}",E$16),SSC_Ontology_Ver0.5!$C$815:$C$1346,$B42,SSC_Ontology_Ver0.5!$D$815:$D$1346,SUBSTITUTE($C42,"{U}",E$16))</f>
        <v>1</v>
      </c>
      <c r="F42" s="19">
        <f>COUNTIFS(SSC_Ontology_Ver0.5!$A$815:$A$1346,SUBSTITUTE($A42,"{U}",F$16),SSC_Ontology_Ver0.5!$C$815:$C$1346,$B42,SSC_Ontology_Ver0.5!$D$815:$D$1346,SUBSTITUTE($C42,"{U}",F$16))</f>
        <v>1</v>
      </c>
      <c r="G42" s="19">
        <f>COUNTIFS(SSC_Ontology_Ver0.5!$A$815:$A$1346,SUBSTITUTE($A42,"{U}",G$16),SSC_Ontology_Ver0.5!$C$815:$C$1346,$B42,SSC_Ontology_Ver0.5!$D$815:$D$1346,SUBSTITUTE($C42,"{U}",G$16))</f>
        <v>1</v>
      </c>
      <c r="H42" s="19">
        <f>COUNTIFS(SSC_Ontology_Ver0.5!$A$815:$A$1346,SUBSTITUTE($A42,"{U}",H$16),SSC_Ontology_Ver0.5!$C$815:$C$1346,$B42,SSC_Ontology_Ver0.5!$D$815:$D$1346,SUBSTITUTE($C42,"{U}",H$16))</f>
        <v>1</v>
      </c>
      <c r="I42" s="19">
        <f>COUNTIFS(SSC_Ontology_Ver0.5!$A$815:$A$1346,SUBSTITUTE($A42,"{U}",I$16),SSC_Ontology_Ver0.5!$C$815:$C$1346,$B42,SSC_Ontology_Ver0.5!$D$815:$D$1346,SUBSTITUTE($C42,"{U}",I$16))</f>
        <v>1</v>
      </c>
      <c r="J42" s="19">
        <f>COUNTIFS(SSC_Ontology_Ver0.5!$A$815:$A$1346,SUBSTITUTE($A42,"{U}",J$16),SSC_Ontology_Ver0.5!$C$815:$C$1346,$B42,SSC_Ontology_Ver0.5!$D$815:$D$1346,SUBSTITUTE($C42,"{U}",J$16))</f>
        <v>1</v>
      </c>
      <c r="K42" s="19">
        <f>COUNTIFS(SSC_Ontology_Ver0.5!$A$815:$A$1346,SUBSTITUTE($A42,"{U}",K$16),SSC_Ontology_Ver0.5!$C$815:$C$1346,$B42,SSC_Ontology_Ver0.5!$D$815:$D$1346,SUBSTITUTE($C42,"{U}",K$16))</f>
        <v>1</v>
      </c>
      <c r="L42" s="19">
        <f>COUNTIFS(SSC_Ontology_Ver0.5!$A$815:$A$1346,SUBSTITUTE($A42,"{U}",L$16),SSC_Ontology_Ver0.5!$C$815:$C$1346,$B42,SSC_Ontology_Ver0.5!$D$815:$D$1346,SUBSTITUTE($C42,"{U}",L$16))</f>
        <v>1</v>
      </c>
      <c r="M42" s="19">
        <f>COUNTIFS(SSC_Ontology_Ver0.5!$A$815:$A$1346,SUBSTITUTE($A42,"{U}",M$16),SSC_Ontology_Ver0.5!$C$815:$C$1346,$B42,SSC_Ontology_Ver0.5!$D$815:$D$1346,SUBSTITUTE($C42,"{U}",M$16))</f>
        <v>1</v>
      </c>
      <c r="N42" s="19">
        <f>COUNTIFS(SSC_Ontology_Ver0.5!$A$815:$A$1346,SUBSTITUTE($A42,"{U}",N$16),SSC_Ontology_Ver0.5!$C$815:$C$1346,$B42,SSC_Ontology_Ver0.5!$D$815:$D$1346,SUBSTITUTE($C42,"{U}",N$16))</f>
        <v>1</v>
      </c>
      <c r="O42" s="19">
        <f>COUNTIFS(SSC_Ontology_Ver0.5!$A$815:$A$1346,SUBSTITUTE($A42,"{U}",O$16),SSC_Ontology_Ver0.5!$C$815:$C$1346,$B42,SSC_Ontology_Ver0.5!$D$815:$D$1346,SUBSTITUTE($C42,"{U}",O$16))</f>
        <v>1</v>
      </c>
      <c r="P42" s="19">
        <f>COUNTIFS(SSC_Ontology_Ver0.5!$A$815:$A$1346,SUBSTITUTE($A42,"{U}",P$16),SSC_Ontology_Ver0.5!$C$815:$C$1346,$B42,SSC_Ontology_Ver0.5!$D$815:$D$1346,SUBSTITUTE($C42,"{U}",P$16))</f>
        <v>1</v>
      </c>
      <c r="Q42" s="19">
        <f>COUNTIFS(SSC_Ontology_Ver0.5!$A$815:$A$1346,SUBSTITUTE($A42,"{U}",Q$16),SSC_Ontology_Ver0.5!$C$815:$C$1346,$B42,SSC_Ontology_Ver0.5!$D$815:$D$1346,SUBSTITUTE($C42,"{U}",Q$16))</f>
        <v>1</v>
      </c>
      <c r="R42" s="15" t="str">
        <f>IF($B42="rec:locatedIn","Excluded - location varies by unit",IF(AND(MIN(D42:Q42)=MAX(D42:Q42),MAX(D42:Q42)=1),"OK",IF(MIN(D42:Q42)=0,"Not on all units","Duplicated")))</f>
        <v>OK</v>
      </c>
    </row>
    <row r="43" spans="1:18" x14ac:dyDescent="0.3">
      <c r="A43" s="13" t="s">
        <v>4863</v>
      </c>
      <c r="B43" s="14" t="s">
        <v>11</v>
      </c>
      <c r="C43" s="14" t="s">
        <v>12</v>
      </c>
      <c r="D43" s="19">
        <f>COUNTIFS(SSC_Ontology_Ver0.5!$A$815:$A$1346,SUBSTITUTE($A43,"{U}",D$16),SSC_Ontology_Ver0.5!$C$815:$C$1346,$B43,SSC_Ontology_Ver0.5!$D$815:$D$1346,SUBSTITUTE($C43,"{U}",D$16))</f>
        <v>1</v>
      </c>
      <c r="E43" s="19">
        <f>COUNTIFS(SSC_Ontology_Ver0.5!$A$815:$A$1346,SUBSTITUTE($A43,"{U}",E$16),SSC_Ontology_Ver0.5!$C$815:$C$1346,$B43,SSC_Ontology_Ver0.5!$D$815:$D$1346,SUBSTITUTE($C43,"{U}",E$16))</f>
        <v>1</v>
      </c>
      <c r="F43" s="19">
        <f>COUNTIFS(SSC_Ontology_Ver0.5!$A$815:$A$1346,SUBSTITUTE($A43,"{U}",F$16),SSC_Ontology_Ver0.5!$C$815:$C$1346,$B43,SSC_Ontology_Ver0.5!$D$815:$D$1346,SUBSTITUTE($C43,"{U}",F$16))</f>
        <v>1</v>
      </c>
      <c r="G43" s="19">
        <f>COUNTIFS(SSC_Ontology_Ver0.5!$A$815:$A$1346,SUBSTITUTE($A43,"{U}",G$16),SSC_Ontology_Ver0.5!$C$815:$C$1346,$B43,SSC_Ontology_Ver0.5!$D$815:$D$1346,SUBSTITUTE($C43,"{U}",G$16))</f>
        <v>1</v>
      </c>
      <c r="H43" s="19">
        <f>COUNTIFS(SSC_Ontology_Ver0.5!$A$815:$A$1346,SUBSTITUTE($A43,"{U}",H$16),SSC_Ontology_Ver0.5!$C$815:$C$1346,$B43,SSC_Ontology_Ver0.5!$D$815:$D$1346,SUBSTITUTE($C43,"{U}",H$16))</f>
        <v>1</v>
      </c>
      <c r="I43" s="19">
        <f>COUNTIFS(SSC_Ontology_Ver0.5!$A$815:$A$1346,SUBSTITUTE($A43,"{U}",I$16),SSC_Ontology_Ver0.5!$C$815:$C$1346,$B43,SSC_Ontology_Ver0.5!$D$815:$D$1346,SUBSTITUTE($C43,"{U}",I$16))</f>
        <v>1</v>
      </c>
      <c r="J43" s="19">
        <f>COUNTIFS(SSC_Ontology_Ver0.5!$A$815:$A$1346,SUBSTITUTE($A43,"{U}",J$16),SSC_Ontology_Ver0.5!$C$815:$C$1346,$B43,SSC_Ontology_Ver0.5!$D$815:$D$1346,SUBSTITUTE($C43,"{U}",J$16))</f>
        <v>1</v>
      </c>
      <c r="K43" s="19">
        <f>COUNTIFS(SSC_Ontology_Ver0.5!$A$815:$A$1346,SUBSTITUTE($A43,"{U}",K$16),SSC_Ontology_Ver0.5!$C$815:$C$1346,$B43,SSC_Ontology_Ver0.5!$D$815:$D$1346,SUBSTITUTE($C43,"{U}",K$16))</f>
        <v>1</v>
      </c>
      <c r="L43" s="19">
        <f>COUNTIFS(SSC_Ontology_Ver0.5!$A$815:$A$1346,SUBSTITUTE($A43,"{U}",L$16),SSC_Ontology_Ver0.5!$C$815:$C$1346,$B43,SSC_Ontology_Ver0.5!$D$815:$D$1346,SUBSTITUTE($C43,"{U}",L$16))</f>
        <v>1</v>
      </c>
      <c r="M43" s="19">
        <f>COUNTIFS(SSC_Ontology_Ver0.5!$A$815:$A$1346,SUBSTITUTE($A43,"{U}",M$16),SSC_Ontology_Ver0.5!$C$815:$C$1346,$B43,SSC_Ontology_Ver0.5!$D$815:$D$1346,SUBSTITUTE($C43,"{U}",M$16))</f>
        <v>1</v>
      </c>
      <c r="N43" s="19">
        <f>COUNTIFS(SSC_Ontology_Ver0.5!$A$815:$A$1346,SUBSTITUTE($A43,"{U}",N$16),SSC_Ontology_Ver0.5!$C$815:$C$1346,$B43,SSC_Ontology_Ver0.5!$D$815:$D$1346,SUBSTITUTE($C43,"{U}",N$16))</f>
        <v>1</v>
      </c>
      <c r="O43" s="19">
        <f>COUNTIFS(SSC_Ontology_Ver0.5!$A$815:$A$1346,SUBSTITUTE($A43,"{U}",O$16),SSC_Ontology_Ver0.5!$C$815:$C$1346,$B43,SSC_Ontology_Ver0.5!$D$815:$D$1346,SUBSTITUTE($C43,"{U}",O$16))</f>
        <v>1</v>
      </c>
      <c r="P43" s="19">
        <f>COUNTIFS(SSC_Ontology_Ver0.5!$A$815:$A$1346,SUBSTITUTE($A43,"{U}",P$16),SSC_Ontology_Ver0.5!$C$815:$C$1346,$B43,SSC_Ontology_Ver0.5!$D$815:$D$1346,SUBSTITUTE($C43,"{U}",P$16))</f>
        <v>1</v>
      </c>
      <c r="Q43" s="19">
        <f>COUNTIFS(SSC_Ontology_Ver0.5!$A$815:$A$1346,SUBSTITUTE($A43,"{U}",Q$16),SSC_Ontology_Ver0.5!$C$815:$C$1346,$B43,SSC_Ontology_Ver0.5!$D$815:$D$1346,SUBSTITUTE($C43,"{U}",Q$16))</f>
        <v>1</v>
      </c>
      <c r="R43" s="15" t="str">
        <f>IF($B43="rec:locatedIn","Excluded - location varies by unit",IF(AND(MIN(D43:Q43)=MAX(D43:Q43),MAX(D43:Q43)=1),"OK",IF(MIN(D43:Q43)=0,"Not on all units","Duplicated")))</f>
        <v>OK</v>
      </c>
    </row>
    <row r="44" spans="1:18" x14ac:dyDescent="0.3">
      <c r="A44" s="13" t="s">
        <v>4858</v>
      </c>
      <c r="B44" s="14" t="s">
        <v>11</v>
      </c>
      <c r="C44" s="14" t="s">
        <v>12</v>
      </c>
      <c r="D44" s="19">
        <f>COUNTIFS(SSC_Ontology_Ver0.5!$A$815:$A$1346,SUBSTITUTE($A44,"{U}",D$16),SSC_Ontology_Ver0.5!$C$815:$C$1346,$B44,SSC_Ontology_Ver0.5!$D$815:$D$1346,SUBSTITUTE($C44,"{U}",D$16))</f>
        <v>1</v>
      </c>
      <c r="E44" s="19">
        <f>COUNTIFS(SSC_Ontology_Ver0.5!$A$815:$A$1346,SUBSTITUTE($A44,"{U}",E$16),SSC_Ontology_Ver0.5!$C$815:$C$1346,$B44,SSC_Ontology_Ver0.5!$D$815:$D$1346,SUBSTITUTE($C44,"{U}",E$16))</f>
        <v>1</v>
      </c>
      <c r="F44" s="19">
        <f>COUNTIFS(SSC_Ontology_Ver0.5!$A$815:$A$1346,SUBSTITUTE($A44,"{U}",F$16),SSC_Ontology_Ver0.5!$C$815:$C$1346,$B44,SSC_Ontology_Ver0.5!$D$815:$D$1346,SUBSTITUTE($C44,"{U}",F$16))</f>
        <v>1</v>
      </c>
      <c r="G44" s="19">
        <f>COUNTIFS(SSC_Ontology_Ver0.5!$A$815:$A$1346,SUBSTITUTE($A44,"{U}",G$16),SSC_Ontology_Ver0.5!$C$815:$C$1346,$B44,SSC_Ontology_Ver0.5!$D$815:$D$1346,SUBSTITUTE($C44,"{U}",G$16))</f>
        <v>1</v>
      </c>
      <c r="H44" s="19">
        <f>COUNTIFS(SSC_Ontology_Ver0.5!$A$815:$A$1346,SUBSTITUTE($A44,"{U}",H$16),SSC_Ontology_Ver0.5!$C$815:$C$1346,$B44,SSC_Ontology_Ver0.5!$D$815:$D$1346,SUBSTITUTE($C44,"{U}",H$16))</f>
        <v>1</v>
      </c>
      <c r="I44" s="19">
        <f>COUNTIFS(SSC_Ontology_Ver0.5!$A$815:$A$1346,SUBSTITUTE($A44,"{U}",I$16),SSC_Ontology_Ver0.5!$C$815:$C$1346,$B44,SSC_Ontology_Ver0.5!$D$815:$D$1346,SUBSTITUTE($C44,"{U}",I$16))</f>
        <v>1</v>
      </c>
      <c r="J44" s="19">
        <f>COUNTIFS(SSC_Ontology_Ver0.5!$A$815:$A$1346,SUBSTITUTE($A44,"{U}",J$16),SSC_Ontology_Ver0.5!$C$815:$C$1346,$B44,SSC_Ontology_Ver0.5!$D$815:$D$1346,SUBSTITUTE($C44,"{U}",J$16))</f>
        <v>1</v>
      </c>
      <c r="K44" s="19">
        <f>COUNTIFS(SSC_Ontology_Ver0.5!$A$815:$A$1346,SUBSTITUTE($A44,"{U}",K$16),SSC_Ontology_Ver0.5!$C$815:$C$1346,$B44,SSC_Ontology_Ver0.5!$D$815:$D$1346,SUBSTITUTE($C44,"{U}",K$16))</f>
        <v>1</v>
      </c>
      <c r="L44" s="19">
        <f>COUNTIFS(SSC_Ontology_Ver0.5!$A$815:$A$1346,SUBSTITUTE($A44,"{U}",L$16),SSC_Ontology_Ver0.5!$C$815:$C$1346,$B44,SSC_Ontology_Ver0.5!$D$815:$D$1346,SUBSTITUTE($C44,"{U}",L$16))</f>
        <v>1</v>
      </c>
      <c r="M44" s="19">
        <f>COUNTIFS(SSC_Ontology_Ver0.5!$A$815:$A$1346,SUBSTITUTE($A44,"{U}",M$16),SSC_Ontology_Ver0.5!$C$815:$C$1346,$B44,SSC_Ontology_Ver0.5!$D$815:$D$1346,SUBSTITUTE($C44,"{U}",M$16))</f>
        <v>1</v>
      </c>
      <c r="N44" s="19">
        <f>COUNTIFS(SSC_Ontology_Ver0.5!$A$815:$A$1346,SUBSTITUTE($A44,"{U}",N$16),SSC_Ontology_Ver0.5!$C$815:$C$1346,$B44,SSC_Ontology_Ver0.5!$D$815:$D$1346,SUBSTITUTE($C44,"{U}",N$16))</f>
        <v>1</v>
      </c>
      <c r="O44" s="19">
        <f>COUNTIFS(SSC_Ontology_Ver0.5!$A$815:$A$1346,SUBSTITUTE($A44,"{U}",O$16),SSC_Ontology_Ver0.5!$C$815:$C$1346,$B44,SSC_Ontology_Ver0.5!$D$815:$D$1346,SUBSTITUTE($C44,"{U}",O$16))</f>
        <v>1</v>
      </c>
      <c r="P44" s="19">
        <f>COUNTIFS(SSC_Ontology_Ver0.5!$A$815:$A$1346,SUBSTITUTE($A44,"{U}",P$16),SSC_Ontology_Ver0.5!$C$815:$C$1346,$B44,SSC_Ontology_Ver0.5!$D$815:$D$1346,SUBSTITUTE($C44,"{U}",P$16))</f>
        <v>1</v>
      </c>
      <c r="Q44" s="19">
        <f>COUNTIFS(SSC_Ontology_Ver0.5!$A$815:$A$1346,SUBSTITUTE($A44,"{U}",Q$16),SSC_Ontology_Ver0.5!$C$815:$C$1346,$B44,SSC_Ontology_Ver0.5!$D$815:$D$1346,SUBSTITUTE($C44,"{U}",Q$16))</f>
        <v>1</v>
      </c>
      <c r="R44" s="15" t="str">
        <f>IF($B44="rec:locatedIn","Excluded - location varies by unit",IF(AND(MIN(D44:Q44)=MAX(D44:Q44),MAX(D44:Q44)=1),"OK",IF(MIN(D44:Q44)=0,"Not on all units","Duplicated")))</f>
        <v>OK</v>
      </c>
    </row>
    <row r="45" spans="1:18" x14ac:dyDescent="0.3">
      <c r="A45" s="13" t="s">
        <v>4864</v>
      </c>
      <c r="B45" s="14" t="s">
        <v>11</v>
      </c>
      <c r="C45" s="14" t="s">
        <v>12</v>
      </c>
      <c r="D45" s="19">
        <f>COUNTIFS(SSC_Ontology_Ver0.5!$A$815:$A$1346,SUBSTITUTE($A45,"{U}",D$16),SSC_Ontology_Ver0.5!$C$815:$C$1346,$B45,SSC_Ontology_Ver0.5!$D$815:$D$1346,SUBSTITUTE($C45,"{U}",D$16))</f>
        <v>1</v>
      </c>
      <c r="E45" s="19">
        <f>COUNTIFS(SSC_Ontology_Ver0.5!$A$815:$A$1346,SUBSTITUTE($A45,"{U}",E$16),SSC_Ontology_Ver0.5!$C$815:$C$1346,$B45,SSC_Ontology_Ver0.5!$D$815:$D$1346,SUBSTITUTE($C45,"{U}",E$16))</f>
        <v>1</v>
      </c>
      <c r="F45" s="19">
        <f>COUNTIFS(SSC_Ontology_Ver0.5!$A$815:$A$1346,SUBSTITUTE($A45,"{U}",F$16),SSC_Ontology_Ver0.5!$C$815:$C$1346,$B45,SSC_Ontology_Ver0.5!$D$815:$D$1346,SUBSTITUTE($C45,"{U}",F$16))</f>
        <v>1</v>
      </c>
      <c r="G45" s="19">
        <f>COUNTIFS(SSC_Ontology_Ver0.5!$A$815:$A$1346,SUBSTITUTE($A45,"{U}",G$16),SSC_Ontology_Ver0.5!$C$815:$C$1346,$B45,SSC_Ontology_Ver0.5!$D$815:$D$1346,SUBSTITUTE($C45,"{U}",G$16))</f>
        <v>1</v>
      </c>
      <c r="H45" s="19">
        <f>COUNTIFS(SSC_Ontology_Ver0.5!$A$815:$A$1346,SUBSTITUTE($A45,"{U}",H$16),SSC_Ontology_Ver0.5!$C$815:$C$1346,$B45,SSC_Ontology_Ver0.5!$D$815:$D$1346,SUBSTITUTE($C45,"{U}",H$16))</f>
        <v>1</v>
      </c>
      <c r="I45" s="19">
        <f>COUNTIFS(SSC_Ontology_Ver0.5!$A$815:$A$1346,SUBSTITUTE($A45,"{U}",I$16),SSC_Ontology_Ver0.5!$C$815:$C$1346,$B45,SSC_Ontology_Ver0.5!$D$815:$D$1346,SUBSTITUTE($C45,"{U}",I$16))</f>
        <v>1</v>
      </c>
      <c r="J45" s="19">
        <f>COUNTIFS(SSC_Ontology_Ver0.5!$A$815:$A$1346,SUBSTITUTE($A45,"{U}",J$16),SSC_Ontology_Ver0.5!$C$815:$C$1346,$B45,SSC_Ontology_Ver0.5!$D$815:$D$1346,SUBSTITUTE($C45,"{U}",J$16))</f>
        <v>1</v>
      </c>
      <c r="K45" s="19">
        <f>COUNTIFS(SSC_Ontology_Ver0.5!$A$815:$A$1346,SUBSTITUTE($A45,"{U}",K$16),SSC_Ontology_Ver0.5!$C$815:$C$1346,$B45,SSC_Ontology_Ver0.5!$D$815:$D$1346,SUBSTITUTE($C45,"{U}",K$16))</f>
        <v>1</v>
      </c>
      <c r="L45" s="19">
        <f>COUNTIFS(SSC_Ontology_Ver0.5!$A$815:$A$1346,SUBSTITUTE($A45,"{U}",L$16),SSC_Ontology_Ver0.5!$C$815:$C$1346,$B45,SSC_Ontology_Ver0.5!$D$815:$D$1346,SUBSTITUTE($C45,"{U}",L$16))</f>
        <v>1</v>
      </c>
      <c r="M45" s="19">
        <f>COUNTIFS(SSC_Ontology_Ver0.5!$A$815:$A$1346,SUBSTITUTE($A45,"{U}",M$16),SSC_Ontology_Ver0.5!$C$815:$C$1346,$B45,SSC_Ontology_Ver0.5!$D$815:$D$1346,SUBSTITUTE($C45,"{U}",M$16))</f>
        <v>1</v>
      </c>
      <c r="N45" s="19">
        <f>COUNTIFS(SSC_Ontology_Ver0.5!$A$815:$A$1346,SUBSTITUTE($A45,"{U}",N$16),SSC_Ontology_Ver0.5!$C$815:$C$1346,$B45,SSC_Ontology_Ver0.5!$D$815:$D$1346,SUBSTITUTE($C45,"{U}",N$16))</f>
        <v>1</v>
      </c>
      <c r="O45" s="19">
        <f>COUNTIFS(SSC_Ontology_Ver0.5!$A$815:$A$1346,SUBSTITUTE($A45,"{U}",O$16),SSC_Ontology_Ver0.5!$C$815:$C$1346,$B45,SSC_Ontology_Ver0.5!$D$815:$D$1346,SUBSTITUTE($C45,"{U}",O$16))</f>
        <v>1</v>
      </c>
      <c r="P45" s="19">
        <f>COUNTIFS(SSC_Ontology_Ver0.5!$A$815:$A$1346,SUBSTITUTE($A45,"{U}",P$16),SSC_Ontology_Ver0.5!$C$815:$C$1346,$B45,SSC_Ontology_Ver0.5!$D$815:$D$1346,SUBSTITUTE($C45,"{U}",P$16))</f>
        <v>1</v>
      </c>
      <c r="Q45" s="19">
        <f>COUNTIFS(SSC_Ontology_Ver0.5!$A$815:$A$1346,SUBSTITUTE($A45,"{U}",Q$16),SSC_Ontology_Ver0.5!$C$815:$C$1346,$B45,SSC_Ontology_Ver0.5!$D$815:$D$1346,SUBSTITUTE($C45,"{U}",Q$16))</f>
        <v>1</v>
      </c>
      <c r="R45" s="15" t="str">
        <f>IF($B45="rec:locatedIn","Excluded - location varies by unit",IF(AND(MIN(D45:Q45)=MAX(D45:Q45),MAX(D45:Q45)=1),"OK",IF(MIN(D45:Q45)=0,"Not on all units","Duplicated")))</f>
        <v>OK</v>
      </c>
    </row>
    <row r="46" spans="1:18" x14ac:dyDescent="0.3">
      <c r="A46" s="13" t="s">
        <v>4852</v>
      </c>
      <c r="B46" s="14" t="s">
        <v>11</v>
      </c>
      <c r="C46" s="14" t="s">
        <v>12</v>
      </c>
      <c r="D46" s="19">
        <f>COUNTIFS(SSC_Ontology_Ver0.5!$A$815:$A$1346,SUBSTITUTE($A46,"{U}",D$16),SSC_Ontology_Ver0.5!$C$815:$C$1346,$B46,SSC_Ontology_Ver0.5!$D$815:$D$1346,SUBSTITUTE($C46,"{U}",D$16))</f>
        <v>1</v>
      </c>
      <c r="E46" s="19">
        <f>COUNTIFS(SSC_Ontology_Ver0.5!$A$815:$A$1346,SUBSTITUTE($A46,"{U}",E$16),SSC_Ontology_Ver0.5!$C$815:$C$1346,$B46,SSC_Ontology_Ver0.5!$D$815:$D$1346,SUBSTITUTE($C46,"{U}",E$16))</f>
        <v>1</v>
      </c>
      <c r="F46" s="19">
        <f>COUNTIFS(SSC_Ontology_Ver0.5!$A$815:$A$1346,SUBSTITUTE($A46,"{U}",F$16),SSC_Ontology_Ver0.5!$C$815:$C$1346,$B46,SSC_Ontology_Ver0.5!$D$815:$D$1346,SUBSTITUTE($C46,"{U}",F$16))</f>
        <v>1</v>
      </c>
      <c r="G46" s="19">
        <f>COUNTIFS(SSC_Ontology_Ver0.5!$A$815:$A$1346,SUBSTITUTE($A46,"{U}",G$16),SSC_Ontology_Ver0.5!$C$815:$C$1346,$B46,SSC_Ontology_Ver0.5!$D$815:$D$1346,SUBSTITUTE($C46,"{U}",G$16))</f>
        <v>1</v>
      </c>
      <c r="H46" s="19">
        <f>COUNTIFS(SSC_Ontology_Ver0.5!$A$815:$A$1346,SUBSTITUTE($A46,"{U}",H$16),SSC_Ontology_Ver0.5!$C$815:$C$1346,$B46,SSC_Ontology_Ver0.5!$D$815:$D$1346,SUBSTITUTE($C46,"{U}",H$16))</f>
        <v>1</v>
      </c>
      <c r="I46" s="19">
        <f>COUNTIFS(SSC_Ontology_Ver0.5!$A$815:$A$1346,SUBSTITUTE($A46,"{U}",I$16),SSC_Ontology_Ver0.5!$C$815:$C$1346,$B46,SSC_Ontology_Ver0.5!$D$815:$D$1346,SUBSTITUTE($C46,"{U}",I$16))</f>
        <v>1</v>
      </c>
      <c r="J46" s="19">
        <f>COUNTIFS(SSC_Ontology_Ver0.5!$A$815:$A$1346,SUBSTITUTE($A46,"{U}",J$16),SSC_Ontology_Ver0.5!$C$815:$C$1346,$B46,SSC_Ontology_Ver0.5!$D$815:$D$1346,SUBSTITUTE($C46,"{U}",J$16))</f>
        <v>1</v>
      </c>
      <c r="K46" s="19">
        <f>COUNTIFS(SSC_Ontology_Ver0.5!$A$815:$A$1346,SUBSTITUTE($A46,"{U}",K$16),SSC_Ontology_Ver0.5!$C$815:$C$1346,$B46,SSC_Ontology_Ver0.5!$D$815:$D$1346,SUBSTITUTE($C46,"{U}",K$16))</f>
        <v>1</v>
      </c>
      <c r="L46" s="19">
        <f>COUNTIFS(SSC_Ontology_Ver0.5!$A$815:$A$1346,SUBSTITUTE($A46,"{U}",L$16),SSC_Ontology_Ver0.5!$C$815:$C$1346,$B46,SSC_Ontology_Ver0.5!$D$815:$D$1346,SUBSTITUTE($C46,"{U}",L$16))</f>
        <v>1</v>
      </c>
      <c r="M46" s="19">
        <f>COUNTIFS(SSC_Ontology_Ver0.5!$A$815:$A$1346,SUBSTITUTE($A46,"{U}",M$16),SSC_Ontology_Ver0.5!$C$815:$C$1346,$B46,SSC_Ontology_Ver0.5!$D$815:$D$1346,SUBSTITUTE($C46,"{U}",M$16))</f>
        <v>1</v>
      </c>
      <c r="N46" s="19">
        <f>COUNTIFS(SSC_Ontology_Ver0.5!$A$815:$A$1346,SUBSTITUTE($A46,"{U}",N$16),SSC_Ontology_Ver0.5!$C$815:$C$1346,$B46,SSC_Ontology_Ver0.5!$D$815:$D$1346,SUBSTITUTE($C46,"{U}",N$16))</f>
        <v>1</v>
      </c>
      <c r="O46" s="19">
        <f>COUNTIFS(SSC_Ontology_Ver0.5!$A$815:$A$1346,SUBSTITUTE($A46,"{U}",O$16),SSC_Ontology_Ver0.5!$C$815:$C$1346,$B46,SSC_Ontology_Ver0.5!$D$815:$D$1346,SUBSTITUTE($C46,"{U}",O$16))</f>
        <v>1</v>
      </c>
      <c r="P46" s="19">
        <f>COUNTIFS(SSC_Ontology_Ver0.5!$A$815:$A$1346,SUBSTITUTE($A46,"{U}",P$16),SSC_Ontology_Ver0.5!$C$815:$C$1346,$B46,SSC_Ontology_Ver0.5!$D$815:$D$1346,SUBSTITUTE($C46,"{U}",P$16))</f>
        <v>1</v>
      </c>
      <c r="Q46" s="19">
        <f>COUNTIFS(SSC_Ontology_Ver0.5!$A$815:$A$1346,SUBSTITUTE($A46,"{U}",Q$16),SSC_Ontology_Ver0.5!$C$815:$C$1346,$B46,SSC_Ontology_Ver0.5!$D$815:$D$1346,SUBSTITUTE($C46,"{U}",Q$16))</f>
        <v>1</v>
      </c>
      <c r="R46" s="15" t="str">
        <f>IF($B46="rec:locatedIn","Excluded - location varies by unit",IF(AND(MIN(D46:Q46)=MAX(D46:Q46),MAX(D46:Q46)=1),"OK",IF(MIN(D46:Q46)=0,"Not on all units","Duplicated")))</f>
        <v>OK</v>
      </c>
    </row>
    <row r="47" spans="1:18" x14ac:dyDescent="0.3">
      <c r="A47" s="13" t="s">
        <v>4854</v>
      </c>
      <c r="B47" s="14" t="s">
        <v>11</v>
      </c>
      <c r="C47" s="14" t="s">
        <v>12</v>
      </c>
      <c r="D47" s="19">
        <f>COUNTIFS(SSC_Ontology_Ver0.5!$A$815:$A$1346,SUBSTITUTE($A47,"{U}",D$16),SSC_Ontology_Ver0.5!$C$815:$C$1346,$B47,SSC_Ontology_Ver0.5!$D$815:$D$1346,SUBSTITUTE($C47,"{U}",D$16))</f>
        <v>1</v>
      </c>
      <c r="E47" s="19">
        <f>COUNTIFS(SSC_Ontology_Ver0.5!$A$815:$A$1346,SUBSTITUTE($A47,"{U}",E$16),SSC_Ontology_Ver0.5!$C$815:$C$1346,$B47,SSC_Ontology_Ver0.5!$D$815:$D$1346,SUBSTITUTE($C47,"{U}",E$16))</f>
        <v>1</v>
      </c>
      <c r="F47" s="19">
        <f>COUNTIFS(SSC_Ontology_Ver0.5!$A$815:$A$1346,SUBSTITUTE($A47,"{U}",F$16),SSC_Ontology_Ver0.5!$C$815:$C$1346,$B47,SSC_Ontology_Ver0.5!$D$815:$D$1346,SUBSTITUTE($C47,"{U}",F$16))</f>
        <v>1</v>
      </c>
      <c r="G47" s="19">
        <f>COUNTIFS(SSC_Ontology_Ver0.5!$A$815:$A$1346,SUBSTITUTE($A47,"{U}",G$16),SSC_Ontology_Ver0.5!$C$815:$C$1346,$B47,SSC_Ontology_Ver0.5!$D$815:$D$1346,SUBSTITUTE($C47,"{U}",G$16))</f>
        <v>1</v>
      </c>
      <c r="H47" s="19">
        <f>COUNTIFS(SSC_Ontology_Ver0.5!$A$815:$A$1346,SUBSTITUTE($A47,"{U}",H$16),SSC_Ontology_Ver0.5!$C$815:$C$1346,$B47,SSC_Ontology_Ver0.5!$D$815:$D$1346,SUBSTITUTE($C47,"{U}",H$16))</f>
        <v>1</v>
      </c>
      <c r="I47" s="19">
        <f>COUNTIFS(SSC_Ontology_Ver0.5!$A$815:$A$1346,SUBSTITUTE($A47,"{U}",I$16),SSC_Ontology_Ver0.5!$C$815:$C$1346,$B47,SSC_Ontology_Ver0.5!$D$815:$D$1346,SUBSTITUTE($C47,"{U}",I$16))</f>
        <v>1</v>
      </c>
      <c r="J47" s="19">
        <f>COUNTIFS(SSC_Ontology_Ver0.5!$A$815:$A$1346,SUBSTITUTE($A47,"{U}",J$16),SSC_Ontology_Ver0.5!$C$815:$C$1346,$B47,SSC_Ontology_Ver0.5!$D$815:$D$1346,SUBSTITUTE($C47,"{U}",J$16))</f>
        <v>1</v>
      </c>
      <c r="K47" s="19">
        <f>COUNTIFS(SSC_Ontology_Ver0.5!$A$815:$A$1346,SUBSTITUTE($A47,"{U}",K$16),SSC_Ontology_Ver0.5!$C$815:$C$1346,$B47,SSC_Ontology_Ver0.5!$D$815:$D$1346,SUBSTITUTE($C47,"{U}",K$16))</f>
        <v>1</v>
      </c>
      <c r="L47" s="19">
        <f>COUNTIFS(SSC_Ontology_Ver0.5!$A$815:$A$1346,SUBSTITUTE($A47,"{U}",L$16),SSC_Ontology_Ver0.5!$C$815:$C$1346,$B47,SSC_Ontology_Ver0.5!$D$815:$D$1346,SUBSTITUTE($C47,"{U}",L$16))</f>
        <v>1</v>
      </c>
      <c r="M47" s="19">
        <f>COUNTIFS(SSC_Ontology_Ver0.5!$A$815:$A$1346,SUBSTITUTE($A47,"{U}",M$16),SSC_Ontology_Ver0.5!$C$815:$C$1346,$B47,SSC_Ontology_Ver0.5!$D$815:$D$1346,SUBSTITUTE($C47,"{U}",M$16))</f>
        <v>1</v>
      </c>
      <c r="N47" s="19">
        <f>COUNTIFS(SSC_Ontology_Ver0.5!$A$815:$A$1346,SUBSTITUTE($A47,"{U}",N$16),SSC_Ontology_Ver0.5!$C$815:$C$1346,$B47,SSC_Ontology_Ver0.5!$D$815:$D$1346,SUBSTITUTE($C47,"{U}",N$16))</f>
        <v>1</v>
      </c>
      <c r="O47" s="19">
        <f>COUNTIFS(SSC_Ontology_Ver0.5!$A$815:$A$1346,SUBSTITUTE($A47,"{U}",O$16),SSC_Ontology_Ver0.5!$C$815:$C$1346,$B47,SSC_Ontology_Ver0.5!$D$815:$D$1346,SUBSTITUTE($C47,"{U}",O$16))</f>
        <v>1</v>
      </c>
      <c r="P47" s="19">
        <f>COUNTIFS(SSC_Ontology_Ver0.5!$A$815:$A$1346,SUBSTITUTE($A47,"{U}",P$16),SSC_Ontology_Ver0.5!$C$815:$C$1346,$B47,SSC_Ontology_Ver0.5!$D$815:$D$1346,SUBSTITUTE($C47,"{U}",P$16))</f>
        <v>1</v>
      </c>
      <c r="Q47" s="19">
        <f>COUNTIFS(SSC_Ontology_Ver0.5!$A$815:$A$1346,SUBSTITUTE($A47,"{U}",Q$16),SSC_Ontology_Ver0.5!$C$815:$C$1346,$B47,SSC_Ontology_Ver0.5!$D$815:$D$1346,SUBSTITUTE($C47,"{U}",Q$16))</f>
        <v>1</v>
      </c>
      <c r="R47" s="15" t="str">
        <f>IF($B47="rec:locatedIn","Excluded - location varies by unit",IF(AND(MIN(D47:Q47)=MAX(D47:Q47),MAX(D47:Q47)=1),"OK",IF(MIN(D47:Q47)=0,"Not on all units","Duplicated")))</f>
        <v>OK</v>
      </c>
    </row>
    <row r="48" spans="1:18" x14ac:dyDescent="0.3">
      <c r="A48" s="13" t="s">
        <v>4857</v>
      </c>
      <c r="B48" s="14" t="s">
        <v>11</v>
      </c>
      <c r="C48" s="14" t="s">
        <v>12</v>
      </c>
      <c r="D48" s="19">
        <f>COUNTIFS(SSC_Ontology_Ver0.5!$A$815:$A$1346,SUBSTITUTE($A48,"{U}",D$16),SSC_Ontology_Ver0.5!$C$815:$C$1346,$B48,SSC_Ontology_Ver0.5!$D$815:$D$1346,SUBSTITUTE($C48,"{U}",D$16))</f>
        <v>1</v>
      </c>
      <c r="E48" s="19">
        <f>COUNTIFS(SSC_Ontology_Ver0.5!$A$815:$A$1346,SUBSTITUTE($A48,"{U}",E$16),SSC_Ontology_Ver0.5!$C$815:$C$1346,$B48,SSC_Ontology_Ver0.5!$D$815:$D$1346,SUBSTITUTE($C48,"{U}",E$16))</f>
        <v>1</v>
      </c>
      <c r="F48" s="19">
        <f>COUNTIFS(SSC_Ontology_Ver0.5!$A$815:$A$1346,SUBSTITUTE($A48,"{U}",F$16),SSC_Ontology_Ver0.5!$C$815:$C$1346,$B48,SSC_Ontology_Ver0.5!$D$815:$D$1346,SUBSTITUTE($C48,"{U}",F$16))</f>
        <v>1</v>
      </c>
      <c r="G48" s="19">
        <f>COUNTIFS(SSC_Ontology_Ver0.5!$A$815:$A$1346,SUBSTITUTE($A48,"{U}",G$16),SSC_Ontology_Ver0.5!$C$815:$C$1346,$B48,SSC_Ontology_Ver0.5!$D$815:$D$1346,SUBSTITUTE($C48,"{U}",G$16))</f>
        <v>1</v>
      </c>
      <c r="H48" s="19">
        <f>COUNTIFS(SSC_Ontology_Ver0.5!$A$815:$A$1346,SUBSTITUTE($A48,"{U}",H$16),SSC_Ontology_Ver0.5!$C$815:$C$1346,$B48,SSC_Ontology_Ver0.5!$D$815:$D$1346,SUBSTITUTE($C48,"{U}",H$16))</f>
        <v>1</v>
      </c>
      <c r="I48" s="19">
        <f>COUNTIFS(SSC_Ontology_Ver0.5!$A$815:$A$1346,SUBSTITUTE($A48,"{U}",I$16),SSC_Ontology_Ver0.5!$C$815:$C$1346,$B48,SSC_Ontology_Ver0.5!$D$815:$D$1346,SUBSTITUTE($C48,"{U}",I$16))</f>
        <v>1</v>
      </c>
      <c r="J48" s="19">
        <f>COUNTIFS(SSC_Ontology_Ver0.5!$A$815:$A$1346,SUBSTITUTE($A48,"{U}",J$16),SSC_Ontology_Ver0.5!$C$815:$C$1346,$B48,SSC_Ontology_Ver0.5!$D$815:$D$1346,SUBSTITUTE($C48,"{U}",J$16))</f>
        <v>1</v>
      </c>
      <c r="K48" s="19">
        <f>COUNTIFS(SSC_Ontology_Ver0.5!$A$815:$A$1346,SUBSTITUTE($A48,"{U}",K$16),SSC_Ontology_Ver0.5!$C$815:$C$1346,$B48,SSC_Ontology_Ver0.5!$D$815:$D$1346,SUBSTITUTE($C48,"{U}",K$16))</f>
        <v>1</v>
      </c>
      <c r="L48" s="19">
        <f>COUNTIFS(SSC_Ontology_Ver0.5!$A$815:$A$1346,SUBSTITUTE($A48,"{U}",L$16),SSC_Ontology_Ver0.5!$C$815:$C$1346,$B48,SSC_Ontology_Ver0.5!$D$815:$D$1346,SUBSTITUTE($C48,"{U}",L$16))</f>
        <v>1</v>
      </c>
      <c r="M48" s="19">
        <f>COUNTIFS(SSC_Ontology_Ver0.5!$A$815:$A$1346,SUBSTITUTE($A48,"{U}",M$16),SSC_Ontology_Ver0.5!$C$815:$C$1346,$B48,SSC_Ontology_Ver0.5!$D$815:$D$1346,SUBSTITUTE($C48,"{U}",M$16))</f>
        <v>1</v>
      </c>
      <c r="N48" s="19">
        <f>COUNTIFS(SSC_Ontology_Ver0.5!$A$815:$A$1346,SUBSTITUTE($A48,"{U}",N$16),SSC_Ontology_Ver0.5!$C$815:$C$1346,$B48,SSC_Ontology_Ver0.5!$D$815:$D$1346,SUBSTITUTE($C48,"{U}",N$16))</f>
        <v>1</v>
      </c>
      <c r="O48" s="19">
        <f>COUNTIFS(SSC_Ontology_Ver0.5!$A$815:$A$1346,SUBSTITUTE($A48,"{U}",O$16),SSC_Ontology_Ver0.5!$C$815:$C$1346,$B48,SSC_Ontology_Ver0.5!$D$815:$D$1346,SUBSTITUTE($C48,"{U}",O$16))</f>
        <v>1</v>
      </c>
      <c r="P48" s="19">
        <f>COUNTIFS(SSC_Ontology_Ver0.5!$A$815:$A$1346,SUBSTITUTE($A48,"{U}",P$16),SSC_Ontology_Ver0.5!$C$815:$C$1346,$B48,SSC_Ontology_Ver0.5!$D$815:$D$1346,SUBSTITUTE($C48,"{U}",P$16))</f>
        <v>1</v>
      </c>
      <c r="Q48" s="19">
        <f>COUNTIFS(SSC_Ontology_Ver0.5!$A$815:$A$1346,SUBSTITUTE($A48,"{U}",Q$16),SSC_Ontology_Ver0.5!$C$815:$C$1346,$B48,SSC_Ontology_Ver0.5!$D$815:$D$1346,SUBSTITUTE($C48,"{U}",Q$16))</f>
        <v>1</v>
      </c>
      <c r="R48" s="15" t="str">
        <f>IF($B48="rec:locatedIn","Excluded - location varies by unit",IF(AND(MIN(D48:Q48)=MAX(D48:Q48),MAX(D48:Q48)=1),"OK",IF(MIN(D48:Q48)=0,"Not on all units","Duplicated")))</f>
        <v>OK</v>
      </c>
    </row>
    <row r="49" spans="1:18" x14ac:dyDescent="0.3">
      <c r="A49" s="13" t="s">
        <v>4865</v>
      </c>
      <c r="B49" s="14" t="s">
        <v>11</v>
      </c>
      <c r="C49" s="14" t="s">
        <v>12</v>
      </c>
      <c r="D49" s="19">
        <f>COUNTIFS(SSC_Ontology_Ver0.5!$A$815:$A$1346,SUBSTITUTE($A49,"{U}",D$16),SSC_Ontology_Ver0.5!$C$815:$C$1346,$B49,SSC_Ontology_Ver0.5!$D$815:$D$1346,SUBSTITUTE($C49,"{U}",D$16))</f>
        <v>1</v>
      </c>
      <c r="E49" s="19">
        <f>COUNTIFS(SSC_Ontology_Ver0.5!$A$815:$A$1346,SUBSTITUTE($A49,"{U}",E$16),SSC_Ontology_Ver0.5!$C$815:$C$1346,$B49,SSC_Ontology_Ver0.5!$D$815:$D$1346,SUBSTITUTE($C49,"{U}",E$16))</f>
        <v>1</v>
      </c>
      <c r="F49" s="19">
        <f>COUNTIFS(SSC_Ontology_Ver0.5!$A$815:$A$1346,SUBSTITUTE($A49,"{U}",F$16),SSC_Ontology_Ver0.5!$C$815:$C$1346,$B49,SSC_Ontology_Ver0.5!$D$815:$D$1346,SUBSTITUTE($C49,"{U}",F$16))</f>
        <v>1</v>
      </c>
      <c r="G49" s="19">
        <f>COUNTIFS(SSC_Ontology_Ver0.5!$A$815:$A$1346,SUBSTITUTE($A49,"{U}",G$16),SSC_Ontology_Ver0.5!$C$815:$C$1346,$B49,SSC_Ontology_Ver0.5!$D$815:$D$1346,SUBSTITUTE($C49,"{U}",G$16))</f>
        <v>1</v>
      </c>
      <c r="H49" s="19">
        <f>COUNTIFS(SSC_Ontology_Ver0.5!$A$815:$A$1346,SUBSTITUTE($A49,"{U}",H$16),SSC_Ontology_Ver0.5!$C$815:$C$1346,$B49,SSC_Ontology_Ver0.5!$D$815:$D$1346,SUBSTITUTE($C49,"{U}",H$16))</f>
        <v>1</v>
      </c>
      <c r="I49" s="19">
        <f>COUNTIFS(SSC_Ontology_Ver0.5!$A$815:$A$1346,SUBSTITUTE($A49,"{U}",I$16),SSC_Ontology_Ver0.5!$C$815:$C$1346,$B49,SSC_Ontology_Ver0.5!$D$815:$D$1346,SUBSTITUTE($C49,"{U}",I$16))</f>
        <v>1</v>
      </c>
      <c r="J49" s="19">
        <f>COUNTIFS(SSC_Ontology_Ver0.5!$A$815:$A$1346,SUBSTITUTE($A49,"{U}",J$16),SSC_Ontology_Ver0.5!$C$815:$C$1346,$B49,SSC_Ontology_Ver0.5!$D$815:$D$1346,SUBSTITUTE($C49,"{U}",J$16))</f>
        <v>1</v>
      </c>
      <c r="K49" s="19">
        <f>COUNTIFS(SSC_Ontology_Ver0.5!$A$815:$A$1346,SUBSTITUTE($A49,"{U}",K$16),SSC_Ontology_Ver0.5!$C$815:$C$1346,$B49,SSC_Ontology_Ver0.5!$D$815:$D$1346,SUBSTITUTE($C49,"{U}",K$16))</f>
        <v>1</v>
      </c>
      <c r="L49" s="19">
        <f>COUNTIFS(SSC_Ontology_Ver0.5!$A$815:$A$1346,SUBSTITUTE($A49,"{U}",L$16),SSC_Ontology_Ver0.5!$C$815:$C$1346,$B49,SSC_Ontology_Ver0.5!$D$815:$D$1346,SUBSTITUTE($C49,"{U}",L$16))</f>
        <v>1</v>
      </c>
      <c r="M49" s="19">
        <f>COUNTIFS(SSC_Ontology_Ver0.5!$A$815:$A$1346,SUBSTITUTE($A49,"{U}",M$16),SSC_Ontology_Ver0.5!$C$815:$C$1346,$B49,SSC_Ontology_Ver0.5!$D$815:$D$1346,SUBSTITUTE($C49,"{U}",M$16))</f>
        <v>1</v>
      </c>
      <c r="N49" s="19">
        <f>COUNTIFS(SSC_Ontology_Ver0.5!$A$815:$A$1346,SUBSTITUTE($A49,"{U}",N$16),SSC_Ontology_Ver0.5!$C$815:$C$1346,$B49,SSC_Ontology_Ver0.5!$D$815:$D$1346,SUBSTITUTE($C49,"{U}",N$16))</f>
        <v>1</v>
      </c>
      <c r="O49" s="19">
        <f>COUNTIFS(SSC_Ontology_Ver0.5!$A$815:$A$1346,SUBSTITUTE($A49,"{U}",O$16),SSC_Ontology_Ver0.5!$C$815:$C$1346,$B49,SSC_Ontology_Ver0.5!$D$815:$D$1346,SUBSTITUTE($C49,"{U}",O$16))</f>
        <v>1</v>
      </c>
      <c r="P49" s="19">
        <f>COUNTIFS(SSC_Ontology_Ver0.5!$A$815:$A$1346,SUBSTITUTE($A49,"{U}",P$16),SSC_Ontology_Ver0.5!$C$815:$C$1346,$B49,SSC_Ontology_Ver0.5!$D$815:$D$1346,SUBSTITUTE($C49,"{U}",P$16))</f>
        <v>1</v>
      </c>
      <c r="Q49" s="19">
        <f>COUNTIFS(SSC_Ontology_Ver0.5!$A$815:$A$1346,SUBSTITUTE($A49,"{U}",Q$16),SSC_Ontology_Ver0.5!$C$815:$C$1346,$B49,SSC_Ontology_Ver0.5!$D$815:$D$1346,SUBSTITUTE($C49,"{U}",Q$16))</f>
        <v>1</v>
      </c>
      <c r="R49" s="15" t="str">
        <f>IF($B49="rec:locatedIn","Excluded - location varies by unit",IF(AND(MIN(D49:Q49)=MAX(D49:Q49),MAX(D49:Q49)=1),"OK",IF(MIN(D49:Q49)=0,"Not on all units","Duplicated")))</f>
        <v>OK</v>
      </c>
    </row>
    <row r="50" spans="1:18" x14ac:dyDescent="0.3">
      <c r="A50" s="13" t="s">
        <v>4867</v>
      </c>
      <c r="B50" s="14" t="s">
        <v>11</v>
      </c>
      <c r="C50" s="14" t="s">
        <v>12</v>
      </c>
      <c r="D50" s="19">
        <f>COUNTIFS(SSC_Ontology_Ver0.5!$A$815:$A$1346,SUBSTITUTE($A50,"{U}",D$16),SSC_Ontology_Ver0.5!$C$815:$C$1346,$B50,SSC_Ontology_Ver0.5!$D$815:$D$1346,SUBSTITUTE($C50,"{U}",D$16))</f>
        <v>1</v>
      </c>
      <c r="E50" s="19">
        <f>COUNTIFS(SSC_Ontology_Ver0.5!$A$815:$A$1346,SUBSTITUTE($A50,"{U}",E$16),SSC_Ontology_Ver0.5!$C$815:$C$1346,$B50,SSC_Ontology_Ver0.5!$D$815:$D$1346,SUBSTITUTE($C50,"{U}",E$16))</f>
        <v>1</v>
      </c>
      <c r="F50" s="19">
        <f>COUNTIFS(SSC_Ontology_Ver0.5!$A$815:$A$1346,SUBSTITUTE($A50,"{U}",F$16),SSC_Ontology_Ver0.5!$C$815:$C$1346,$B50,SSC_Ontology_Ver0.5!$D$815:$D$1346,SUBSTITUTE($C50,"{U}",F$16))</f>
        <v>1</v>
      </c>
      <c r="G50" s="19">
        <f>COUNTIFS(SSC_Ontology_Ver0.5!$A$815:$A$1346,SUBSTITUTE($A50,"{U}",G$16),SSC_Ontology_Ver0.5!$C$815:$C$1346,$B50,SSC_Ontology_Ver0.5!$D$815:$D$1346,SUBSTITUTE($C50,"{U}",G$16))</f>
        <v>1</v>
      </c>
      <c r="H50" s="19">
        <f>COUNTIFS(SSC_Ontology_Ver0.5!$A$815:$A$1346,SUBSTITUTE($A50,"{U}",H$16),SSC_Ontology_Ver0.5!$C$815:$C$1346,$B50,SSC_Ontology_Ver0.5!$D$815:$D$1346,SUBSTITUTE($C50,"{U}",H$16))</f>
        <v>1</v>
      </c>
      <c r="I50" s="19">
        <f>COUNTIFS(SSC_Ontology_Ver0.5!$A$815:$A$1346,SUBSTITUTE($A50,"{U}",I$16),SSC_Ontology_Ver0.5!$C$815:$C$1346,$B50,SSC_Ontology_Ver0.5!$D$815:$D$1346,SUBSTITUTE($C50,"{U}",I$16))</f>
        <v>1</v>
      </c>
      <c r="J50" s="19">
        <f>COUNTIFS(SSC_Ontology_Ver0.5!$A$815:$A$1346,SUBSTITUTE($A50,"{U}",J$16),SSC_Ontology_Ver0.5!$C$815:$C$1346,$B50,SSC_Ontology_Ver0.5!$D$815:$D$1346,SUBSTITUTE($C50,"{U}",J$16))</f>
        <v>1</v>
      </c>
      <c r="K50" s="19">
        <f>COUNTIFS(SSC_Ontology_Ver0.5!$A$815:$A$1346,SUBSTITUTE($A50,"{U}",K$16),SSC_Ontology_Ver0.5!$C$815:$C$1346,$B50,SSC_Ontology_Ver0.5!$D$815:$D$1346,SUBSTITUTE($C50,"{U}",K$16))</f>
        <v>1</v>
      </c>
      <c r="L50" s="19">
        <f>COUNTIFS(SSC_Ontology_Ver0.5!$A$815:$A$1346,SUBSTITUTE($A50,"{U}",L$16),SSC_Ontology_Ver0.5!$C$815:$C$1346,$B50,SSC_Ontology_Ver0.5!$D$815:$D$1346,SUBSTITUTE($C50,"{U}",L$16))</f>
        <v>1</v>
      </c>
      <c r="M50" s="19">
        <f>COUNTIFS(SSC_Ontology_Ver0.5!$A$815:$A$1346,SUBSTITUTE($A50,"{U}",M$16),SSC_Ontology_Ver0.5!$C$815:$C$1346,$B50,SSC_Ontology_Ver0.5!$D$815:$D$1346,SUBSTITUTE($C50,"{U}",M$16))</f>
        <v>1</v>
      </c>
      <c r="N50" s="19">
        <f>COUNTIFS(SSC_Ontology_Ver0.5!$A$815:$A$1346,SUBSTITUTE($A50,"{U}",N$16),SSC_Ontology_Ver0.5!$C$815:$C$1346,$B50,SSC_Ontology_Ver0.5!$D$815:$D$1346,SUBSTITUTE($C50,"{U}",N$16))</f>
        <v>1</v>
      </c>
      <c r="O50" s="19">
        <f>COUNTIFS(SSC_Ontology_Ver0.5!$A$815:$A$1346,SUBSTITUTE($A50,"{U}",O$16),SSC_Ontology_Ver0.5!$C$815:$C$1346,$B50,SSC_Ontology_Ver0.5!$D$815:$D$1346,SUBSTITUTE($C50,"{U}",O$16))</f>
        <v>1</v>
      </c>
      <c r="P50" s="19">
        <f>COUNTIFS(SSC_Ontology_Ver0.5!$A$815:$A$1346,SUBSTITUTE($A50,"{U}",P$16),SSC_Ontology_Ver0.5!$C$815:$C$1346,$B50,SSC_Ontology_Ver0.5!$D$815:$D$1346,SUBSTITUTE($C50,"{U}",P$16))</f>
        <v>1</v>
      </c>
      <c r="Q50" s="19">
        <f>COUNTIFS(SSC_Ontology_Ver0.5!$A$815:$A$1346,SUBSTITUTE($A50,"{U}",Q$16),SSC_Ontology_Ver0.5!$C$815:$C$1346,$B50,SSC_Ontology_Ver0.5!$D$815:$D$1346,SUBSTITUTE($C50,"{U}",Q$16))</f>
        <v>1</v>
      </c>
      <c r="R50" s="15" t="str">
        <f>IF($B50="rec:locatedIn","Excluded - location varies by unit",IF(AND(MIN(D50:Q50)=MAX(D50:Q50),MAX(D50:Q50)=1),"OK",IF(MIN(D50:Q50)=0,"Not on all units","Duplicated")))</f>
        <v>OK</v>
      </c>
    </row>
    <row r="51" spans="1:18" x14ac:dyDescent="0.3">
      <c r="A51" s="13" t="s">
        <v>4866</v>
      </c>
      <c r="B51" s="14" t="s">
        <v>11</v>
      </c>
      <c r="C51" s="14" t="s">
        <v>12</v>
      </c>
      <c r="D51" s="19">
        <f>COUNTIFS(SSC_Ontology_Ver0.5!$A$815:$A$1346,SUBSTITUTE($A51,"{U}",D$16),SSC_Ontology_Ver0.5!$C$815:$C$1346,$B51,SSC_Ontology_Ver0.5!$D$815:$D$1346,SUBSTITUTE($C51,"{U}",D$16))</f>
        <v>1</v>
      </c>
      <c r="E51" s="19">
        <f>COUNTIFS(SSC_Ontology_Ver0.5!$A$815:$A$1346,SUBSTITUTE($A51,"{U}",E$16),SSC_Ontology_Ver0.5!$C$815:$C$1346,$B51,SSC_Ontology_Ver0.5!$D$815:$D$1346,SUBSTITUTE($C51,"{U}",E$16))</f>
        <v>1</v>
      </c>
      <c r="F51" s="19">
        <f>COUNTIFS(SSC_Ontology_Ver0.5!$A$815:$A$1346,SUBSTITUTE($A51,"{U}",F$16),SSC_Ontology_Ver0.5!$C$815:$C$1346,$B51,SSC_Ontology_Ver0.5!$D$815:$D$1346,SUBSTITUTE($C51,"{U}",F$16))</f>
        <v>1</v>
      </c>
      <c r="G51" s="19">
        <f>COUNTIFS(SSC_Ontology_Ver0.5!$A$815:$A$1346,SUBSTITUTE($A51,"{U}",G$16),SSC_Ontology_Ver0.5!$C$815:$C$1346,$B51,SSC_Ontology_Ver0.5!$D$815:$D$1346,SUBSTITUTE($C51,"{U}",G$16))</f>
        <v>1</v>
      </c>
      <c r="H51" s="19">
        <f>COUNTIFS(SSC_Ontology_Ver0.5!$A$815:$A$1346,SUBSTITUTE($A51,"{U}",H$16),SSC_Ontology_Ver0.5!$C$815:$C$1346,$B51,SSC_Ontology_Ver0.5!$D$815:$D$1346,SUBSTITUTE($C51,"{U}",H$16))</f>
        <v>1</v>
      </c>
      <c r="I51" s="19">
        <f>COUNTIFS(SSC_Ontology_Ver0.5!$A$815:$A$1346,SUBSTITUTE($A51,"{U}",I$16),SSC_Ontology_Ver0.5!$C$815:$C$1346,$B51,SSC_Ontology_Ver0.5!$D$815:$D$1346,SUBSTITUTE($C51,"{U}",I$16))</f>
        <v>1</v>
      </c>
      <c r="J51" s="19">
        <f>COUNTIFS(SSC_Ontology_Ver0.5!$A$815:$A$1346,SUBSTITUTE($A51,"{U}",J$16),SSC_Ontology_Ver0.5!$C$815:$C$1346,$B51,SSC_Ontology_Ver0.5!$D$815:$D$1346,SUBSTITUTE($C51,"{U}",J$16))</f>
        <v>1</v>
      </c>
      <c r="K51" s="19">
        <f>COUNTIFS(SSC_Ontology_Ver0.5!$A$815:$A$1346,SUBSTITUTE($A51,"{U}",K$16),SSC_Ontology_Ver0.5!$C$815:$C$1346,$B51,SSC_Ontology_Ver0.5!$D$815:$D$1346,SUBSTITUTE($C51,"{U}",K$16))</f>
        <v>1</v>
      </c>
      <c r="L51" s="19">
        <f>COUNTIFS(SSC_Ontology_Ver0.5!$A$815:$A$1346,SUBSTITUTE($A51,"{U}",L$16),SSC_Ontology_Ver0.5!$C$815:$C$1346,$B51,SSC_Ontology_Ver0.5!$D$815:$D$1346,SUBSTITUTE($C51,"{U}",L$16))</f>
        <v>1</v>
      </c>
      <c r="M51" s="19">
        <f>COUNTIFS(SSC_Ontology_Ver0.5!$A$815:$A$1346,SUBSTITUTE($A51,"{U}",M$16),SSC_Ontology_Ver0.5!$C$815:$C$1346,$B51,SSC_Ontology_Ver0.5!$D$815:$D$1346,SUBSTITUTE($C51,"{U}",M$16))</f>
        <v>1</v>
      </c>
      <c r="N51" s="19">
        <f>COUNTIFS(SSC_Ontology_Ver0.5!$A$815:$A$1346,SUBSTITUTE($A51,"{U}",N$16),SSC_Ontology_Ver0.5!$C$815:$C$1346,$B51,SSC_Ontology_Ver0.5!$D$815:$D$1346,SUBSTITUTE($C51,"{U}",N$16))</f>
        <v>1</v>
      </c>
      <c r="O51" s="19">
        <f>COUNTIFS(SSC_Ontology_Ver0.5!$A$815:$A$1346,SUBSTITUTE($A51,"{U}",O$16),SSC_Ontology_Ver0.5!$C$815:$C$1346,$B51,SSC_Ontology_Ver0.5!$D$815:$D$1346,SUBSTITUTE($C51,"{U}",O$16))</f>
        <v>1</v>
      </c>
      <c r="P51" s="19">
        <f>COUNTIFS(SSC_Ontology_Ver0.5!$A$815:$A$1346,SUBSTITUTE($A51,"{U}",P$16),SSC_Ontology_Ver0.5!$C$815:$C$1346,$B51,SSC_Ontology_Ver0.5!$D$815:$D$1346,SUBSTITUTE($C51,"{U}",P$16))</f>
        <v>1</v>
      </c>
      <c r="Q51" s="19">
        <f>COUNTIFS(SSC_Ontology_Ver0.5!$A$815:$A$1346,SUBSTITUTE($A51,"{U}",Q$16),SSC_Ontology_Ver0.5!$C$815:$C$1346,$B51,SSC_Ontology_Ver0.5!$D$815:$D$1346,SUBSTITUTE($C51,"{U}",Q$16))</f>
        <v>1</v>
      </c>
      <c r="R51" s="15" t="str">
        <f>IF($B51="rec:locatedIn","Excluded - location varies by unit",IF(AND(MIN(D51:Q51)=MAX(D51:Q51),MAX(D51:Q51)=1),"OK",IF(MIN(D51:Q51)=0,"Not on all units","Duplicated")))</f>
        <v>OK</v>
      </c>
    </row>
    <row r="52" spans="1:18" x14ac:dyDescent="0.3">
      <c r="A52" s="13" t="s">
        <v>4868</v>
      </c>
      <c r="B52" s="14" t="s">
        <v>11</v>
      </c>
      <c r="C52" s="14" t="s">
        <v>12</v>
      </c>
      <c r="D52" s="19">
        <f>COUNTIFS(SSC_Ontology_Ver0.5!$A$815:$A$1346,SUBSTITUTE($A52,"{U}",D$16),SSC_Ontology_Ver0.5!$C$815:$C$1346,$B52,SSC_Ontology_Ver0.5!$D$815:$D$1346,SUBSTITUTE($C52,"{U}",D$16))</f>
        <v>1</v>
      </c>
      <c r="E52" s="19">
        <f>COUNTIFS(SSC_Ontology_Ver0.5!$A$815:$A$1346,SUBSTITUTE($A52,"{U}",E$16),SSC_Ontology_Ver0.5!$C$815:$C$1346,$B52,SSC_Ontology_Ver0.5!$D$815:$D$1346,SUBSTITUTE($C52,"{U}",E$16))</f>
        <v>1</v>
      </c>
      <c r="F52" s="19">
        <f>COUNTIFS(SSC_Ontology_Ver0.5!$A$815:$A$1346,SUBSTITUTE($A52,"{U}",F$16),SSC_Ontology_Ver0.5!$C$815:$C$1346,$B52,SSC_Ontology_Ver0.5!$D$815:$D$1346,SUBSTITUTE($C52,"{U}",F$16))</f>
        <v>1</v>
      </c>
      <c r="G52" s="19">
        <f>COUNTIFS(SSC_Ontology_Ver0.5!$A$815:$A$1346,SUBSTITUTE($A52,"{U}",G$16),SSC_Ontology_Ver0.5!$C$815:$C$1346,$B52,SSC_Ontology_Ver0.5!$D$815:$D$1346,SUBSTITUTE($C52,"{U}",G$16))</f>
        <v>1</v>
      </c>
      <c r="H52" s="19">
        <f>COUNTIFS(SSC_Ontology_Ver0.5!$A$815:$A$1346,SUBSTITUTE($A52,"{U}",H$16),SSC_Ontology_Ver0.5!$C$815:$C$1346,$B52,SSC_Ontology_Ver0.5!$D$815:$D$1346,SUBSTITUTE($C52,"{U}",H$16))</f>
        <v>1</v>
      </c>
      <c r="I52" s="19">
        <f>COUNTIFS(SSC_Ontology_Ver0.5!$A$815:$A$1346,SUBSTITUTE($A52,"{U}",I$16),SSC_Ontology_Ver0.5!$C$815:$C$1346,$B52,SSC_Ontology_Ver0.5!$D$815:$D$1346,SUBSTITUTE($C52,"{U}",I$16))</f>
        <v>1</v>
      </c>
      <c r="J52" s="19">
        <f>COUNTIFS(SSC_Ontology_Ver0.5!$A$815:$A$1346,SUBSTITUTE($A52,"{U}",J$16),SSC_Ontology_Ver0.5!$C$815:$C$1346,$B52,SSC_Ontology_Ver0.5!$D$815:$D$1346,SUBSTITUTE($C52,"{U}",J$16))</f>
        <v>1</v>
      </c>
      <c r="K52" s="19">
        <f>COUNTIFS(SSC_Ontology_Ver0.5!$A$815:$A$1346,SUBSTITUTE($A52,"{U}",K$16),SSC_Ontology_Ver0.5!$C$815:$C$1346,$B52,SSC_Ontology_Ver0.5!$D$815:$D$1346,SUBSTITUTE($C52,"{U}",K$16))</f>
        <v>1</v>
      </c>
      <c r="L52" s="19">
        <f>COUNTIFS(SSC_Ontology_Ver0.5!$A$815:$A$1346,SUBSTITUTE($A52,"{U}",L$16),SSC_Ontology_Ver0.5!$C$815:$C$1346,$B52,SSC_Ontology_Ver0.5!$D$815:$D$1346,SUBSTITUTE($C52,"{U}",L$16))</f>
        <v>1</v>
      </c>
      <c r="M52" s="19">
        <f>COUNTIFS(SSC_Ontology_Ver0.5!$A$815:$A$1346,SUBSTITUTE($A52,"{U}",M$16),SSC_Ontology_Ver0.5!$C$815:$C$1346,$B52,SSC_Ontology_Ver0.5!$D$815:$D$1346,SUBSTITUTE($C52,"{U}",M$16))</f>
        <v>1</v>
      </c>
      <c r="N52" s="19">
        <f>COUNTIFS(SSC_Ontology_Ver0.5!$A$815:$A$1346,SUBSTITUTE($A52,"{U}",N$16),SSC_Ontology_Ver0.5!$C$815:$C$1346,$B52,SSC_Ontology_Ver0.5!$D$815:$D$1346,SUBSTITUTE($C52,"{U}",N$16))</f>
        <v>1</v>
      </c>
      <c r="O52" s="19">
        <f>COUNTIFS(SSC_Ontology_Ver0.5!$A$815:$A$1346,SUBSTITUTE($A52,"{U}",O$16),SSC_Ontology_Ver0.5!$C$815:$C$1346,$B52,SSC_Ontology_Ver0.5!$D$815:$D$1346,SUBSTITUTE($C52,"{U}",O$16))</f>
        <v>1</v>
      </c>
      <c r="P52" s="19">
        <f>COUNTIFS(SSC_Ontology_Ver0.5!$A$815:$A$1346,SUBSTITUTE($A52,"{U}",P$16),SSC_Ontology_Ver0.5!$C$815:$C$1346,$B52,SSC_Ontology_Ver0.5!$D$815:$D$1346,SUBSTITUTE($C52,"{U}",P$16))</f>
        <v>1</v>
      </c>
      <c r="Q52" s="19">
        <f>COUNTIFS(SSC_Ontology_Ver0.5!$A$815:$A$1346,SUBSTITUTE($A52,"{U}",Q$16),SSC_Ontology_Ver0.5!$C$815:$C$1346,$B52,SSC_Ontology_Ver0.5!$D$815:$D$1346,SUBSTITUTE($C52,"{U}",Q$16))</f>
        <v>1</v>
      </c>
      <c r="R52" s="15" t="str">
        <f>IF($B52="rec:locatedIn","Excluded - location varies by unit",IF(AND(MIN(D52:Q52)=MAX(D52:Q52),MAX(D52:Q52)=1),"OK",IF(MIN(D52:Q52)=0,"Not on all units","Duplicated")))</f>
        <v>OK</v>
      </c>
    </row>
    <row r="53" spans="1:18" x14ac:dyDescent="0.3">
      <c r="A53" s="13" t="s">
        <v>4853</v>
      </c>
      <c r="B53" s="14" t="s">
        <v>11</v>
      </c>
      <c r="C53" s="14" t="s">
        <v>12</v>
      </c>
      <c r="D53" s="19">
        <f>COUNTIFS(SSC_Ontology_Ver0.5!$A$815:$A$1346,SUBSTITUTE($A53,"{U}",D$16),SSC_Ontology_Ver0.5!$C$815:$C$1346,$B53,SSC_Ontology_Ver0.5!$D$815:$D$1346,SUBSTITUTE($C53,"{U}",D$16))</f>
        <v>1</v>
      </c>
      <c r="E53" s="19">
        <f>COUNTIFS(SSC_Ontology_Ver0.5!$A$815:$A$1346,SUBSTITUTE($A53,"{U}",E$16),SSC_Ontology_Ver0.5!$C$815:$C$1346,$B53,SSC_Ontology_Ver0.5!$D$815:$D$1346,SUBSTITUTE($C53,"{U}",E$16))</f>
        <v>1</v>
      </c>
      <c r="F53" s="19">
        <f>COUNTIFS(SSC_Ontology_Ver0.5!$A$815:$A$1346,SUBSTITUTE($A53,"{U}",F$16),SSC_Ontology_Ver0.5!$C$815:$C$1346,$B53,SSC_Ontology_Ver0.5!$D$815:$D$1346,SUBSTITUTE($C53,"{U}",F$16))</f>
        <v>1</v>
      </c>
      <c r="G53" s="19">
        <f>COUNTIFS(SSC_Ontology_Ver0.5!$A$815:$A$1346,SUBSTITUTE($A53,"{U}",G$16),SSC_Ontology_Ver0.5!$C$815:$C$1346,$B53,SSC_Ontology_Ver0.5!$D$815:$D$1346,SUBSTITUTE($C53,"{U}",G$16))</f>
        <v>1</v>
      </c>
      <c r="H53" s="19">
        <f>COUNTIFS(SSC_Ontology_Ver0.5!$A$815:$A$1346,SUBSTITUTE($A53,"{U}",H$16),SSC_Ontology_Ver0.5!$C$815:$C$1346,$B53,SSC_Ontology_Ver0.5!$D$815:$D$1346,SUBSTITUTE($C53,"{U}",H$16))</f>
        <v>1</v>
      </c>
      <c r="I53" s="19">
        <f>COUNTIFS(SSC_Ontology_Ver0.5!$A$815:$A$1346,SUBSTITUTE($A53,"{U}",I$16),SSC_Ontology_Ver0.5!$C$815:$C$1346,$B53,SSC_Ontology_Ver0.5!$D$815:$D$1346,SUBSTITUTE($C53,"{U}",I$16))</f>
        <v>1</v>
      </c>
      <c r="J53" s="19">
        <f>COUNTIFS(SSC_Ontology_Ver0.5!$A$815:$A$1346,SUBSTITUTE($A53,"{U}",J$16),SSC_Ontology_Ver0.5!$C$815:$C$1346,$B53,SSC_Ontology_Ver0.5!$D$815:$D$1346,SUBSTITUTE($C53,"{U}",J$16))</f>
        <v>1</v>
      </c>
      <c r="K53" s="19">
        <f>COUNTIFS(SSC_Ontology_Ver0.5!$A$815:$A$1346,SUBSTITUTE($A53,"{U}",K$16),SSC_Ontology_Ver0.5!$C$815:$C$1346,$B53,SSC_Ontology_Ver0.5!$D$815:$D$1346,SUBSTITUTE($C53,"{U}",K$16))</f>
        <v>1</v>
      </c>
      <c r="L53" s="19">
        <f>COUNTIFS(SSC_Ontology_Ver0.5!$A$815:$A$1346,SUBSTITUTE($A53,"{U}",L$16),SSC_Ontology_Ver0.5!$C$815:$C$1346,$B53,SSC_Ontology_Ver0.5!$D$815:$D$1346,SUBSTITUTE($C53,"{U}",L$16))</f>
        <v>1</v>
      </c>
      <c r="M53" s="19">
        <f>COUNTIFS(SSC_Ontology_Ver0.5!$A$815:$A$1346,SUBSTITUTE($A53,"{U}",M$16),SSC_Ontology_Ver0.5!$C$815:$C$1346,$B53,SSC_Ontology_Ver0.5!$D$815:$D$1346,SUBSTITUTE($C53,"{U}",M$16))</f>
        <v>1</v>
      </c>
      <c r="N53" s="19">
        <f>COUNTIFS(SSC_Ontology_Ver0.5!$A$815:$A$1346,SUBSTITUTE($A53,"{U}",N$16),SSC_Ontology_Ver0.5!$C$815:$C$1346,$B53,SSC_Ontology_Ver0.5!$D$815:$D$1346,SUBSTITUTE($C53,"{U}",N$16))</f>
        <v>1</v>
      </c>
      <c r="O53" s="19">
        <f>COUNTIFS(SSC_Ontology_Ver0.5!$A$815:$A$1346,SUBSTITUTE($A53,"{U}",O$16),SSC_Ontology_Ver0.5!$C$815:$C$1346,$B53,SSC_Ontology_Ver0.5!$D$815:$D$1346,SUBSTITUTE($C53,"{U}",O$16))</f>
        <v>1</v>
      </c>
      <c r="P53" s="19">
        <f>COUNTIFS(SSC_Ontology_Ver0.5!$A$815:$A$1346,SUBSTITUTE($A53,"{U}",P$16),SSC_Ontology_Ver0.5!$C$815:$C$1346,$B53,SSC_Ontology_Ver0.5!$D$815:$D$1346,SUBSTITUTE($C53,"{U}",P$16))</f>
        <v>1</v>
      </c>
      <c r="Q53" s="19">
        <f>COUNTIFS(SSC_Ontology_Ver0.5!$A$815:$A$1346,SUBSTITUTE($A53,"{U}",Q$16),SSC_Ontology_Ver0.5!$C$815:$C$1346,$B53,SSC_Ontology_Ver0.5!$D$815:$D$1346,SUBSTITUTE($C53,"{U}",Q$16))</f>
        <v>1</v>
      </c>
      <c r="R53" s="15" t="str">
        <f>IF($B53="rec:locatedIn","Excluded - location varies by unit",IF(AND(MIN(D53:Q53)=MAX(D53:Q53),MAX(D53:Q53)=1),"OK",IF(MIN(D53:Q53)=0,"Not on all units","Duplicated")))</f>
        <v>OK</v>
      </c>
    </row>
    <row r="54" spans="1:18" x14ac:dyDescent="0.3">
      <c r="A54" s="13" t="s">
        <v>4855</v>
      </c>
      <c r="B54" s="14" t="s">
        <v>11</v>
      </c>
      <c r="C54" s="14" t="s">
        <v>12</v>
      </c>
      <c r="D54" s="19">
        <f>COUNTIFS(SSC_Ontology_Ver0.5!$A$815:$A$1346,SUBSTITUTE($A54,"{U}",D$16),SSC_Ontology_Ver0.5!$C$815:$C$1346,$B54,SSC_Ontology_Ver0.5!$D$815:$D$1346,SUBSTITUTE($C54,"{U}",D$16))</f>
        <v>1</v>
      </c>
      <c r="E54" s="19">
        <f>COUNTIFS(SSC_Ontology_Ver0.5!$A$815:$A$1346,SUBSTITUTE($A54,"{U}",E$16),SSC_Ontology_Ver0.5!$C$815:$C$1346,$B54,SSC_Ontology_Ver0.5!$D$815:$D$1346,SUBSTITUTE($C54,"{U}",E$16))</f>
        <v>1</v>
      </c>
      <c r="F54" s="19">
        <f>COUNTIFS(SSC_Ontology_Ver0.5!$A$815:$A$1346,SUBSTITUTE($A54,"{U}",F$16),SSC_Ontology_Ver0.5!$C$815:$C$1346,$B54,SSC_Ontology_Ver0.5!$D$815:$D$1346,SUBSTITUTE($C54,"{U}",F$16))</f>
        <v>1</v>
      </c>
      <c r="G54" s="19">
        <f>COUNTIFS(SSC_Ontology_Ver0.5!$A$815:$A$1346,SUBSTITUTE($A54,"{U}",G$16),SSC_Ontology_Ver0.5!$C$815:$C$1346,$B54,SSC_Ontology_Ver0.5!$D$815:$D$1346,SUBSTITUTE($C54,"{U}",G$16))</f>
        <v>1</v>
      </c>
      <c r="H54" s="19">
        <f>COUNTIFS(SSC_Ontology_Ver0.5!$A$815:$A$1346,SUBSTITUTE($A54,"{U}",H$16),SSC_Ontology_Ver0.5!$C$815:$C$1346,$B54,SSC_Ontology_Ver0.5!$D$815:$D$1346,SUBSTITUTE($C54,"{U}",H$16))</f>
        <v>1</v>
      </c>
      <c r="I54" s="19">
        <f>COUNTIFS(SSC_Ontology_Ver0.5!$A$815:$A$1346,SUBSTITUTE($A54,"{U}",I$16),SSC_Ontology_Ver0.5!$C$815:$C$1346,$B54,SSC_Ontology_Ver0.5!$D$815:$D$1346,SUBSTITUTE($C54,"{U}",I$16))</f>
        <v>1</v>
      </c>
      <c r="J54" s="19">
        <f>COUNTIFS(SSC_Ontology_Ver0.5!$A$815:$A$1346,SUBSTITUTE($A54,"{U}",J$16),SSC_Ontology_Ver0.5!$C$815:$C$1346,$B54,SSC_Ontology_Ver0.5!$D$815:$D$1346,SUBSTITUTE($C54,"{U}",J$16))</f>
        <v>1</v>
      </c>
      <c r="K54" s="19">
        <f>COUNTIFS(SSC_Ontology_Ver0.5!$A$815:$A$1346,SUBSTITUTE($A54,"{U}",K$16),SSC_Ontology_Ver0.5!$C$815:$C$1346,$B54,SSC_Ontology_Ver0.5!$D$815:$D$1346,SUBSTITUTE($C54,"{U}",K$16))</f>
        <v>1</v>
      </c>
      <c r="L54" s="19">
        <f>COUNTIFS(SSC_Ontology_Ver0.5!$A$815:$A$1346,SUBSTITUTE($A54,"{U}",L$16),SSC_Ontology_Ver0.5!$C$815:$C$1346,$B54,SSC_Ontology_Ver0.5!$D$815:$D$1346,SUBSTITUTE($C54,"{U}",L$16))</f>
        <v>1</v>
      </c>
      <c r="M54" s="19">
        <f>COUNTIFS(SSC_Ontology_Ver0.5!$A$815:$A$1346,SUBSTITUTE($A54,"{U}",M$16),SSC_Ontology_Ver0.5!$C$815:$C$1346,$B54,SSC_Ontology_Ver0.5!$D$815:$D$1346,SUBSTITUTE($C54,"{U}",M$16))</f>
        <v>1</v>
      </c>
      <c r="N54" s="19">
        <f>COUNTIFS(SSC_Ontology_Ver0.5!$A$815:$A$1346,SUBSTITUTE($A54,"{U}",N$16),SSC_Ontology_Ver0.5!$C$815:$C$1346,$B54,SSC_Ontology_Ver0.5!$D$815:$D$1346,SUBSTITUTE($C54,"{U}",N$16))</f>
        <v>1</v>
      </c>
      <c r="O54" s="19">
        <f>COUNTIFS(SSC_Ontology_Ver0.5!$A$815:$A$1346,SUBSTITUTE($A54,"{U}",O$16),SSC_Ontology_Ver0.5!$C$815:$C$1346,$B54,SSC_Ontology_Ver0.5!$D$815:$D$1346,SUBSTITUTE($C54,"{U}",O$16))</f>
        <v>1</v>
      </c>
      <c r="P54" s="19">
        <f>COUNTIFS(SSC_Ontology_Ver0.5!$A$815:$A$1346,SUBSTITUTE($A54,"{U}",P$16),SSC_Ontology_Ver0.5!$C$815:$C$1346,$B54,SSC_Ontology_Ver0.5!$D$815:$D$1346,SUBSTITUTE($C54,"{U}",P$16))</f>
        <v>1</v>
      </c>
      <c r="Q54" s="19">
        <f>COUNTIFS(SSC_Ontology_Ver0.5!$A$815:$A$1346,SUBSTITUTE($A54,"{U}",Q$16),SSC_Ontology_Ver0.5!$C$815:$C$1346,$B54,SSC_Ontology_Ver0.5!$D$815:$D$1346,SUBSTITUTE($C54,"{U}",Q$16))</f>
        <v>1</v>
      </c>
      <c r="R54" s="15" t="str">
        <f>IF($B54="rec:locatedIn","Excluded - location varies by unit",IF(AND(MIN(D54:Q54)=MAX(D54:Q54),MAX(D54:Q54)=1),"OK",IF(MIN(D54:Q54)=0,"Not on all units","Duplicated")))</f>
        <v>OK</v>
      </c>
    </row>
    <row r="55" spans="1:18" x14ac:dyDescent="0.3">
      <c r="A55" s="13" t="s">
        <v>4851</v>
      </c>
      <c r="B55" s="14" t="s">
        <v>16</v>
      </c>
      <c r="C55" s="14" t="s">
        <v>1091</v>
      </c>
      <c r="D55" s="19">
        <f>COUNTIFS(SSC_Ontology_Ver0.5!$A$815:$A$1346,SUBSTITUTE($A55,"{U}",D$16),SSC_Ontology_Ver0.5!$C$815:$C$1346,$B55,SSC_Ontology_Ver0.5!$D$815:$D$1346,SUBSTITUTE($C55,"{U}",D$16))</f>
        <v>0</v>
      </c>
      <c r="E55" s="19">
        <f>COUNTIFS(SSC_Ontology_Ver0.5!$A$815:$A$1346,SUBSTITUTE($A55,"{U}",E$16),SSC_Ontology_Ver0.5!$C$815:$C$1346,$B55,SSC_Ontology_Ver0.5!$D$815:$D$1346,SUBSTITUTE($C55,"{U}",E$16))</f>
        <v>0</v>
      </c>
      <c r="F55" s="19">
        <f>COUNTIFS(SSC_Ontology_Ver0.5!$A$815:$A$1346,SUBSTITUTE($A55,"{U}",F$16),SSC_Ontology_Ver0.5!$C$815:$C$1346,$B55,SSC_Ontology_Ver0.5!$D$815:$D$1346,SUBSTITUTE($C55,"{U}",F$16))</f>
        <v>0</v>
      </c>
      <c r="G55" s="19">
        <f>COUNTIFS(SSC_Ontology_Ver0.5!$A$815:$A$1346,SUBSTITUTE($A55,"{U}",G$16),SSC_Ontology_Ver0.5!$C$815:$C$1346,$B55,SSC_Ontology_Ver0.5!$D$815:$D$1346,SUBSTITUTE($C55,"{U}",G$16))</f>
        <v>0</v>
      </c>
      <c r="H55" s="19">
        <f>COUNTIFS(SSC_Ontology_Ver0.5!$A$815:$A$1346,SUBSTITUTE($A55,"{U}",H$16),SSC_Ontology_Ver0.5!$C$815:$C$1346,$B55,SSC_Ontology_Ver0.5!$D$815:$D$1346,SUBSTITUTE($C55,"{U}",H$16))</f>
        <v>0</v>
      </c>
      <c r="I55" s="19">
        <f>COUNTIFS(SSC_Ontology_Ver0.5!$A$815:$A$1346,SUBSTITUTE($A55,"{U}",I$16),SSC_Ontology_Ver0.5!$C$815:$C$1346,$B55,SSC_Ontology_Ver0.5!$D$815:$D$1346,SUBSTITUTE($C55,"{U}",I$16))</f>
        <v>0</v>
      </c>
      <c r="J55" s="19">
        <f>COUNTIFS(SSC_Ontology_Ver0.5!$A$815:$A$1346,SUBSTITUTE($A55,"{U}",J$16),SSC_Ontology_Ver0.5!$C$815:$C$1346,$B55,SSC_Ontology_Ver0.5!$D$815:$D$1346,SUBSTITUTE($C55,"{U}",J$16))</f>
        <v>1</v>
      </c>
      <c r="K55" s="19">
        <f>COUNTIFS(SSC_Ontology_Ver0.5!$A$815:$A$1346,SUBSTITUTE($A55,"{U}",K$16),SSC_Ontology_Ver0.5!$C$815:$C$1346,$B55,SSC_Ontology_Ver0.5!$D$815:$D$1346,SUBSTITUTE($C55,"{U}",K$16))</f>
        <v>1</v>
      </c>
      <c r="L55" s="19">
        <f>COUNTIFS(SSC_Ontology_Ver0.5!$A$815:$A$1346,SUBSTITUTE($A55,"{U}",L$16),SSC_Ontology_Ver0.5!$C$815:$C$1346,$B55,SSC_Ontology_Ver0.5!$D$815:$D$1346,SUBSTITUTE($C55,"{U}",L$16))</f>
        <v>1</v>
      </c>
      <c r="M55" s="19">
        <f>COUNTIFS(SSC_Ontology_Ver0.5!$A$815:$A$1346,SUBSTITUTE($A55,"{U}",M$16),SSC_Ontology_Ver0.5!$C$815:$C$1346,$B55,SSC_Ontology_Ver0.5!$D$815:$D$1346,SUBSTITUTE($C55,"{U}",M$16))</f>
        <v>1</v>
      </c>
      <c r="N55" s="19">
        <f>COUNTIFS(SSC_Ontology_Ver0.5!$A$815:$A$1346,SUBSTITUTE($A55,"{U}",N$16),SSC_Ontology_Ver0.5!$C$815:$C$1346,$B55,SSC_Ontology_Ver0.5!$D$815:$D$1346,SUBSTITUTE($C55,"{U}",N$16))</f>
        <v>1</v>
      </c>
      <c r="O55" s="19">
        <f>COUNTIFS(SSC_Ontology_Ver0.5!$A$815:$A$1346,SUBSTITUTE($A55,"{U}",O$16),SSC_Ontology_Ver0.5!$C$815:$C$1346,$B55,SSC_Ontology_Ver0.5!$D$815:$D$1346,SUBSTITUTE($C55,"{U}",O$16))</f>
        <v>1</v>
      </c>
      <c r="P55" s="19">
        <f>COUNTIFS(SSC_Ontology_Ver0.5!$A$815:$A$1346,SUBSTITUTE($A55,"{U}",P$16),SSC_Ontology_Ver0.5!$C$815:$C$1346,$B55,SSC_Ontology_Ver0.5!$D$815:$D$1346,SUBSTITUTE($C55,"{U}",P$16))</f>
        <v>0</v>
      </c>
      <c r="Q55" s="19">
        <f>COUNTIFS(SSC_Ontology_Ver0.5!$A$815:$A$1346,SUBSTITUTE($A55,"{U}",Q$16),SSC_Ontology_Ver0.5!$C$815:$C$1346,$B55,SSC_Ontology_Ver0.5!$D$815:$D$1346,SUBSTITUTE($C55,"{U}",Q$16))</f>
        <v>0</v>
      </c>
      <c r="R55" s="15" t="str">
        <f>IF($B55="rec:locatedIn","Excluded - location varies by unit",IF(AND(MIN(D55:Q55)=MAX(D55:Q55),MAX(D55:Q55)=1),"OK",IF(MIN(D55:Q55)=0,"Not on all units","Duplicated")))</f>
        <v>Excluded - location varies by unit</v>
      </c>
    </row>
    <row r="56" spans="1:18" x14ac:dyDescent="0.3">
      <c r="A56" s="16" t="s">
        <v>4851</v>
      </c>
      <c r="B56" s="17" t="s">
        <v>16</v>
      </c>
      <c r="C56" s="17" t="s">
        <v>1079</v>
      </c>
      <c r="D56" s="20">
        <f>COUNTIFS(SSC_Ontology_Ver0.5!$A$815:$A$1346,SUBSTITUTE($A56,"{U}",D$16),SSC_Ontology_Ver0.5!$C$815:$C$1346,$B56,SSC_Ontology_Ver0.5!$D$815:$D$1346,SUBSTITUTE($C56,"{U}",D$16))</f>
        <v>0</v>
      </c>
      <c r="E56" s="20">
        <f>COUNTIFS(SSC_Ontology_Ver0.5!$A$815:$A$1346,SUBSTITUTE($A56,"{U}",E$16),SSC_Ontology_Ver0.5!$C$815:$C$1346,$B56,SSC_Ontology_Ver0.5!$D$815:$D$1346,SUBSTITUTE($C56,"{U}",E$16))</f>
        <v>0</v>
      </c>
      <c r="F56" s="20">
        <f>COUNTIFS(SSC_Ontology_Ver0.5!$A$815:$A$1346,SUBSTITUTE($A56,"{U}",F$16),SSC_Ontology_Ver0.5!$C$815:$C$1346,$B56,SSC_Ontology_Ver0.5!$D$815:$D$1346,SUBSTITUTE($C56,"{U}",F$16))</f>
        <v>0</v>
      </c>
      <c r="G56" s="20">
        <f>COUNTIFS(SSC_Ontology_Ver0.5!$A$815:$A$1346,SUBSTITUTE($A56,"{U}",G$16),SSC_Ontology_Ver0.5!$C$815:$C$1346,$B56,SSC_Ontology_Ver0.5!$D$815:$D$1346,SUBSTITUTE($C56,"{U}",G$16))</f>
        <v>0</v>
      </c>
      <c r="H56" s="20">
        <f>COUNTIFS(SSC_Ontology_Ver0.5!$A$815:$A$1346,SUBSTITUTE($A56,"{U}",H$16),SSC_Ontology_Ver0.5!$C$815:$C$1346,$B56,SSC_Ontology_Ver0.5!$D$815:$D$1346,SUBSTITUTE($C56,"{U}",H$16))</f>
        <v>0</v>
      </c>
      <c r="I56" s="20">
        <f>COUNTIFS(SSC_Ontology_Ver0.5!$A$815:$A$1346,SUBSTITUTE($A56,"{U}",I$16),SSC_Ontology_Ver0.5!$C$815:$C$1346,$B56,SSC_Ontology_Ver0.5!$D$815:$D$1346,SUBSTITUTE($C56,"{U}",I$16))</f>
        <v>0</v>
      </c>
      <c r="J56" s="20">
        <f>COUNTIFS(SSC_Ontology_Ver0.5!$A$815:$A$1346,SUBSTITUTE($A56,"{U}",J$16),SSC_Ontology_Ver0.5!$C$815:$C$1346,$B56,SSC_Ontology_Ver0.5!$D$815:$D$1346,SUBSTITUTE($C56,"{U}",J$16))</f>
        <v>0</v>
      </c>
      <c r="K56" s="20">
        <f>COUNTIFS(SSC_Ontology_Ver0.5!$A$815:$A$1346,SUBSTITUTE($A56,"{U}",K$16),SSC_Ontology_Ver0.5!$C$815:$C$1346,$B56,SSC_Ontology_Ver0.5!$D$815:$D$1346,SUBSTITUTE($C56,"{U}",K$16))</f>
        <v>0</v>
      </c>
      <c r="L56" s="20">
        <f>COUNTIFS(SSC_Ontology_Ver0.5!$A$815:$A$1346,SUBSTITUTE($A56,"{U}",L$16),SSC_Ontology_Ver0.5!$C$815:$C$1346,$B56,SSC_Ontology_Ver0.5!$D$815:$D$1346,SUBSTITUTE($C56,"{U}",L$16))</f>
        <v>0</v>
      </c>
      <c r="M56" s="20">
        <f>COUNTIFS(SSC_Ontology_Ver0.5!$A$815:$A$1346,SUBSTITUTE($A56,"{U}",M$16),SSC_Ontology_Ver0.5!$C$815:$C$1346,$B56,SSC_Ontology_Ver0.5!$D$815:$D$1346,SUBSTITUTE($C56,"{U}",M$16))</f>
        <v>0</v>
      </c>
      <c r="N56" s="20">
        <f>COUNTIFS(SSC_Ontology_Ver0.5!$A$815:$A$1346,SUBSTITUTE($A56,"{U}",N$16),SSC_Ontology_Ver0.5!$C$815:$C$1346,$B56,SSC_Ontology_Ver0.5!$D$815:$D$1346,SUBSTITUTE($C56,"{U}",N$16))</f>
        <v>0</v>
      </c>
      <c r="O56" s="20">
        <f>COUNTIFS(SSC_Ontology_Ver0.5!$A$815:$A$1346,SUBSTITUTE($A56,"{U}",O$16),SSC_Ontology_Ver0.5!$C$815:$C$1346,$B56,SSC_Ontology_Ver0.5!$D$815:$D$1346,SUBSTITUTE($C56,"{U}",O$16))</f>
        <v>0</v>
      </c>
      <c r="P56" s="20">
        <f>COUNTIFS(SSC_Ontology_Ver0.5!$A$815:$A$1346,SUBSTITUTE($A56,"{U}",P$16),SSC_Ontology_Ver0.5!$C$815:$C$1346,$B56,SSC_Ontology_Ver0.5!$D$815:$D$1346,SUBSTITUTE($C56,"{U}",P$16))</f>
        <v>1</v>
      </c>
      <c r="Q56" s="20">
        <f>COUNTIFS(SSC_Ontology_Ver0.5!$A$815:$A$1346,SUBSTITUTE($A56,"{U}",Q$16),SSC_Ontology_Ver0.5!$C$815:$C$1346,$B56,SSC_Ontology_Ver0.5!$D$815:$D$1346,SUBSTITUTE($C56,"{U}",Q$16))</f>
        <v>1</v>
      </c>
      <c r="R56" s="18" t="str">
        <f>IF($B56="rec:locatedIn","Excluded - location varies by unit",IF(AND(MIN(D56:Q56)=MAX(D56:Q56),MAX(D56:Q56)=1),"OK",IF(MIN(D56:Q56)=0,"Not on all units","Duplicated")))</f>
        <v>Excluded - location varies by unit</v>
      </c>
    </row>
    <row r="59" spans="1:18" x14ac:dyDescent="0.3">
      <c r="A59" s="24" t="s">
        <v>4877</v>
      </c>
    </row>
    <row r="60" spans="1:18" x14ac:dyDescent="0.3">
      <c r="A60" s="10" t="s">
        <v>4878</v>
      </c>
      <c r="B60" s="11" t="s">
        <v>4879</v>
      </c>
      <c r="C60" s="11" t="s">
        <v>4880</v>
      </c>
      <c r="D60" s="12" t="s">
        <v>4881</v>
      </c>
    </row>
    <row r="61" spans="1:18" x14ac:dyDescent="0.3">
      <c r="A61" s="13" t="s">
        <v>1175</v>
      </c>
      <c r="B61" s="19">
        <f>COUNTIFS(SSC_Ontology_Ver0.5!$A$815:$A$1346,"entity:SSC_"&amp;$A61,SSC_Ontology_Ver0.5!$C$815:$C$1346,"rec:locatedIn")</f>
        <v>1</v>
      </c>
      <c r="C61" s="14" t="str" cm="1">
        <f t="array" ref="C61">_xlfn.TEXTJOIN(" ; ",TRUE,IF((SSC_Ontology_Ver0.5!$A$815:$A$1346="entity:SSC_"&amp;$A61)*(SSC_Ontology_Ver0.5!$C$815:$C$1346="rec:locatedIn"),SSC_Ontology_Ver0.5!$D$815:$D$1346,""))</f>
        <v>entity:SSC_B1_038_SER-2</v>
      </c>
      <c r="D61" s="25">
        <f>COUNTIFS(SSC_Ontology_Ver0.5!$C$815:$C$1346,"rec:locatedIn",SSC_Ontology_Ver0.5!$D$815:$D$1346,$C61)</f>
        <v>6</v>
      </c>
    </row>
    <row r="62" spans="1:18" x14ac:dyDescent="0.3">
      <c r="A62" s="13" t="s">
        <v>1213</v>
      </c>
      <c r="B62" s="19">
        <f>COUNTIFS(SSC_Ontology_Ver0.5!$A$815:$A$1346,"entity:SSC_"&amp;$A62,SSC_Ontology_Ver0.5!$C$815:$C$1346,"rec:locatedIn")</f>
        <v>1</v>
      </c>
      <c r="C62" s="14" t="str" cm="1">
        <f t="array" ref="C62">_xlfn.TEXTJOIN(" ; ",TRUE,IF((SSC_Ontology_Ver0.5!$A$815:$A$1346="entity:SSC_"&amp;$A62)*(SSC_Ontology_Ver0.5!$C$815:$C$1346="rec:locatedIn"),SSC_Ontology_Ver0.5!$D$815:$D$1346,""))</f>
        <v>entity:SSC_B1_038_SER-2</v>
      </c>
      <c r="D62" s="25">
        <f>COUNTIFS(SSC_Ontology_Ver0.5!$C$815:$C$1346,"rec:locatedIn",SSC_Ontology_Ver0.5!$D$815:$D$1346,$C62)</f>
        <v>6</v>
      </c>
    </row>
    <row r="63" spans="1:18" x14ac:dyDescent="0.3">
      <c r="A63" s="13" t="s">
        <v>1250</v>
      </c>
      <c r="B63" s="19">
        <f>COUNTIFS(SSC_Ontology_Ver0.5!$A$815:$A$1346,"entity:SSC_"&amp;$A63,SSC_Ontology_Ver0.5!$C$815:$C$1346,"rec:locatedIn")</f>
        <v>1</v>
      </c>
      <c r="C63" s="14" t="str" cm="1">
        <f t="array" ref="C63">_xlfn.TEXTJOIN(" ; ",TRUE,IF((SSC_Ontology_Ver0.5!$A$815:$A$1346="entity:SSC_"&amp;$A63)*(SSC_Ontology_Ver0.5!$C$815:$C$1346="rec:locatedIn"),SSC_Ontology_Ver0.5!$D$815:$D$1346,""))</f>
        <v>entity:SSC_B1_038_SER-2</v>
      </c>
      <c r="D63" s="25">
        <f>COUNTIFS(SSC_Ontology_Ver0.5!$C$815:$C$1346,"rec:locatedIn",SSC_Ontology_Ver0.5!$D$815:$D$1346,$C63)</f>
        <v>6</v>
      </c>
    </row>
    <row r="64" spans="1:18" x14ac:dyDescent="0.3">
      <c r="A64" s="13" t="s">
        <v>1287</v>
      </c>
      <c r="B64" s="19">
        <f>COUNTIFS(SSC_Ontology_Ver0.5!$A$815:$A$1346,"entity:SSC_"&amp;$A64,SSC_Ontology_Ver0.5!$C$815:$C$1346,"rec:locatedIn")</f>
        <v>1</v>
      </c>
      <c r="C64" s="14" t="str" cm="1">
        <f t="array" ref="C64">_xlfn.TEXTJOIN(" ; ",TRUE,IF((SSC_Ontology_Ver0.5!$A$815:$A$1346="entity:SSC_"&amp;$A64)*(SSC_Ontology_Ver0.5!$C$815:$C$1346="rec:locatedIn"),SSC_Ontology_Ver0.5!$D$815:$D$1346,""))</f>
        <v>entity:SSC_B1_038_SER-2</v>
      </c>
      <c r="D64" s="25">
        <f>COUNTIFS(SSC_Ontology_Ver0.5!$C$815:$C$1346,"rec:locatedIn",SSC_Ontology_Ver0.5!$D$815:$D$1346,$C64)</f>
        <v>6</v>
      </c>
    </row>
    <row r="65" spans="1:4" x14ac:dyDescent="0.3">
      <c r="A65" s="13" t="s">
        <v>1324</v>
      </c>
      <c r="B65" s="19">
        <f>COUNTIFS(SSC_Ontology_Ver0.5!$A$815:$A$1346,"entity:SSC_"&amp;$A65,SSC_Ontology_Ver0.5!$C$815:$C$1346,"rec:locatedIn")</f>
        <v>1</v>
      </c>
      <c r="C65" s="14" t="str" cm="1">
        <f t="array" ref="C65">_xlfn.TEXTJOIN(" ; ",TRUE,IF((SSC_Ontology_Ver0.5!$A$815:$A$1346="entity:SSC_"&amp;$A65)*(SSC_Ontology_Ver0.5!$C$815:$C$1346="rec:locatedIn"),SSC_Ontology_Ver0.5!$D$815:$D$1346,""))</f>
        <v>entity:SSC_B1_038_SER-2</v>
      </c>
      <c r="D65" s="25">
        <f>COUNTIFS(SSC_Ontology_Ver0.5!$C$815:$C$1346,"rec:locatedIn",SSC_Ontology_Ver0.5!$D$815:$D$1346,$C65)</f>
        <v>6</v>
      </c>
    </row>
    <row r="66" spans="1:4" x14ac:dyDescent="0.3">
      <c r="A66" s="13" t="s">
        <v>1361</v>
      </c>
      <c r="B66" s="19">
        <f>COUNTIFS(SSC_Ontology_Ver0.5!$A$815:$A$1346,"entity:SSC_"&amp;$A66,SSC_Ontology_Ver0.5!$C$815:$C$1346,"rec:locatedIn")</f>
        <v>1</v>
      </c>
      <c r="C66" s="14" t="str" cm="1">
        <f t="array" ref="C66">_xlfn.TEXTJOIN(" ; ",TRUE,IF((SSC_Ontology_Ver0.5!$A$815:$A$1346="entity:SSC_"&amp;$A66)*(SSC_Ontology_Ver0.5!$C$815:$C$1346="rec:locatedIn"),SSC_Ontology_Ver0.5!$D$815:$D$1346,""))</f>
        <v>entity:SSC_B1_038_SER-2</v>
      </c>
      <c r="D66" s="25">
        <f>COUNTIFS(SSC_Ontology_Ver0.5!$C$815:$C$1346,"rec:locatedIn",SSC_Ontology_Ver0.5!$D$815:$D$1346,$C66)</f>
        <v>6</v>
      </c>
    </row>
    <row r="67" spans="1:4" x14ac:dyDescent="0.3">
      <c r="A67" s="13" t="s">
        <v>1398</v>
      </c>
      <c r="B67" s="19">
        <f>COUNTIFS(SSC_Ontology_Ver0.5!$A$815:$A$1346,"entity:SSC_"&amp;$A67,SSC_Ontology_Ver0.5!$C$815:$C$1346,"rec:locatedIn")</f>
        <v>1</v>
      </c>
      <c r="C67" s="14" t="str" cm="1">
        <f t="array" ref="C67">_xlfn.TEXTJOIN(" ; ",TRUE,IF((SSC_Ontology_Ver0.5!$A$815:$A$1346="entity:SSC_"&amp;$A67)*(SSC_Ontology_Ver0.5!$C$815:$C$1346="rec:locatedIn"),SSC_Ontology_Ver0.5!$D$815:$D$1346,""))</f>
        <v>entity:SSC_B1_023_Q_TEL</v>
      </c>
      <c r="D67" s="25">
        <f>COUNTIFS(SSC_Ontology_Ver0.5!$C$815:$C$1346,"rec:locatedIn",SSC_Ontology_Ver0.5!$D$815:$D$1346,$C67)</f>
        <v>6</v>
      </c>
    </row>
    <row r="68" spans="1:4" x14ac:dyDescent="0.3">
      <c r="A68" s="13" t="s">
        <v>1435</v>
      </c>
      <c r="B68" s="19">
        <f>COUNTIFS(SSC_Ontology_Ver0.5!$A$815:$A$1346,"entity:SSC_"&amp;$A68,SSC_Ontology_Ver0.5!$C$815:$C$1346,"rec:locatedIn")</f>
        <v>1</v>
      </c>
      <c r="C68" s="14" t="str" cm="1">
        <f t="array" ref="C68">_xlfn.TEXTJOIN(" ; ",TRUE,IF((SSC_Ontology_Ver0.5!$A$815:$A$1346="entity:SSC_"&amp;$A68)*(SSC_Ontology_Ver0.5!$C$815:$C$1346="rec:locatedIn"),SSC_Ontology_Ver0.5!$D$815:$D$1346,""))</f>
        <v>entity:SSC_B1_023_Q_TEL</v>
      </c>
      <c r="D68" s="25">
        <f>COUNTIFS(SSC_Ontology_Ver0.5!$C$815:$C$1346,"rec:locatedIn",SSC_Ontology_Ver0.5!$D$815:$D$1346,$C68)</f>
        <v>6</v>
      </c>
    </row>
    <row r="69" spans="1:4" x14ac:dyDescent="0.3">
      <c r="A69" s="13" t="s">
        <v>1472</v>
      </c>
      <c r="B69" s="19">
        <f>COUNTIFS(SSC_Ontology_Ver0.5!$A$815:$A$1346,"entity:SSC_"&amp;$A69,SSC_Ontology_Ver0.5!$C$815:$C$1346,"rec:locatedIn")</f>
        <v>1</v>
      </c>
      <c r="C69" s="14" t="str" cm="1">
        <f t="array" ref="C69">_xlfn.TEXTJOIN(" ; ",TRUE,IF((SSC_Ontology_Ver0.5!$A$815:$A$1346="entity:SSC_"&amp;$A69)*(SSC_Ontology_Ver0.5!$C$815:$C$1346="rec:locatedIn"),SSC_Ontology_Ver0.5!$D$815:$D$1346,""))</f>
        <v>entity:SSC_B1_023_Q_TEL</v>
      </c>
      <c r="D69" s="25">
        <f>COUNTIFS(SSC_Ontology_Ver0.5!$C$815:$C$1346,"rec:locatedIn",SSC_Ontology_Ver0.5!$D$815:$D$1346,$C69)</f>
        <v>6</v>
      </c>
    </row>
    <row r="70" spans="1:4" x14ac:dyDescent="0.3">
      <c r="A70" s="13" t="s">
        <v>1509</v>
      </c>
      <c r="B70" s="19">
        <f>COUNTIFS(SSC_Ontology_Ver0.5!$A$815:$A$1346,"entity:SSC_"&amp;$A70,SSC_Ontology_Ver0.5!$C$815:$C$1346,"rec:locatedIn")</f>
        <v>1</v>
      </c>
      <c r="C70" s="14" t="str" cm="1">
        <f t="array" ref="C70">_xlfn.TEXTJOIN(" ; ",TRUE,IF((SSC_Ontology_Ver0.5!$A$815:$A$1346="entity:SSC_"&amp;$A70)*(SSC_Ontology_Ver0.5!$C$815:$C$1346="rec:locatedIn"),SSC_Ontology_Ver0.5!$D$815:$D$1346,""))</f>
        <v>entity:SSC_B1_023_Q_TEL</v>
      </c>
      <c r="D70" s="25">
        <f>COUNTIFS(SSC_Ontology_Ver0.5!$C$815:$C$1346,"rec:locatedIn",SSC_Ontology_Ver0.5!$D$815:$D$1346,$C70)</f>
        <v>6</v>
      </c>
    </row>
    <row r="71" spans="1:4" x14ac:dyDescent="0.3">
      <c r="A71" s="13" t="s">
        <v>1546</v>
      </c>
      <c r="B71" s="19">
        <f>COUNTIFS(SSC_Ontology_Ver0.5!$A$815:$A$1346,"entity:SSC_"&amp;$A71,SSC_Ontology_Ver0.5!$C$815:$C$1346,"rec:locatedIn")</f>
        <v>1</v>
      </c>
      <c r="C71" s="14" t="str" cm="1">
        <f t="array" ref="C71">_xlfn.TEXTJOIN(" ; ",TRUE,IF((SSC_Ontology_Ver0.5!$A$815:$A$1346="entity:SSC_"&amp;$A71)*(SSC_Ontology_Ver0.5!$C$815:$C$1346="rec:locatedIn"),SSC_Ontology_Ver0.5!$D$815:$D$1346,""))</f>
        <v>entity:SSC_B1_023_Q_TEL</v>
      </c>
      <c r="D71" s="25">
        <f>COUNTIFS(SSC_Ontology_Ver0.5!$C$815:$C$1346,"rec:locatedIn",SSC_Ontology_Ver0.5!$D$815:$D$1346,$C71)</f>
        <v>6</v>
      </c>
    </row>
    <row r="72" spans="1:4" x14ac:dyDescent="0.3">
      <c r="A72" s="13" t="s">
        <v>1583</v>
      </c>
      <c r="B72" s="19">
        <f>COUNTIFS(SSC_Ontology_Ver0.5!$A$815:$A$1346,"entity:SSC_"&amp;$A72,SSC_Ontology_Ver0.5!$C$815:$C$1346,"rec:locatedIn")</f>
        <v>1</v>
      </c>
      <c r="C72" s="14" t="str" cm="1">
        <f t="array" ref="C72">_xlfn.TEXTJOIN(" ; ",TRUE,IF((SSC_Ontology_Ver0.5!$A$815:$A$1346="entity:SSC_"&amp;$A72)*(SSC_Ontology_Ver0.5!$C$815:$C$1346="rec:locatedIn"),SSC_Ontology_Ver0.5!$D$815:$D$1346,""))</f>
        <v>entity:SSC_B1_023_Q_TEL</v>
      </c>
      <c r="D72" s="25">
        <f>COUNTIFS(SSC_Ontology_Ver0.5!$C$815:$C$1346,"rec:locatedIn",SSC_Ontology_Ver0.5!$D$815:$D$1346,$C72)</f>
        <v>6</v>
      </c>
    </row>
    <row r="73" spans="1:4" x14ac:dyDescent="0.3">
      <c r="A73" s="13" t="s">
        <v>1620</v>
      </c>
      <c r="B73" s="19">
        <f>COUNTIFS(SSC_Ontology_Ver0.5!$A$815:$A$1346,"entity:SSC_"&amp;$A73,SSC_Ontology_Ver0.5!$C$815:$C$1346,"rec:locatedIn")</f>
        <v>1</v>
      </c>
      <c r="C73" s="14" t="str" cm="1">
        <f t="array" ref="C73">_xlfn.TEXTJOIN(" ; ",TRUE,IF((SSC_Ontology_Ver0.5!$A$815:$A$1346="entity:SSC_"&amp;$A73)*(SSC_Ontology_Ver0.5!$C$815:$C$1346="rec:locatedIn"),SSC_Ontology_Ver0.5!$D$815:$D$1346,""))</f>
        <v>entity:SSC_B1_017_MDF-2</v>
      </c>
      <c r="D73" s="25">
        <f>COUNTIFS(SSC_Ontology_Ver0.5!$C$815:$C$1346,"rec:locatedIn",SSC_Ontology_Ver0.5!$D$815:$D$1346,$C73)</f>
        <v>2</v>
      </c>
    </row>
    <row r="74" spans="1:4" x14ac:dyDescent="0.3">
      <c r="A74" s="16" t="s">
        <v>1657</v>
      </c>
      <c r="B74" s="20">
        <f>COUNTIFS(SSC_Ontology_Ver0.5!$A$815:$A$1346,"entity:SSC_"&amp;$A74,SSC_Ontology_Ver0.5!$C$815:$C$1346,"rec:locatedIn")</f>
        <v>1</v>
      </c>
      <c r="C74" s="17" t="str" cm="1">
        <f t="array" ref="C74">_xlfn.TEXTJOIN(" ; ",TRUE,IF((SSC_Ontology_Ver0.5!$A$815:$A$1346="entity:SSC_"&amp;$A74)*(SSC_Ontology_Ver0.5!$C$815:$C$1346="rec:locatedIn"),SSC_Ontology_Ver0.5!$D$815:$D$1346,""))</f>
        <v>entity:SSC_B1_017_MDF-2</v>
      </c>
      <c r="D74" s="26">
        <f>COUNTIFS(SSC_Ontology_Ver0.5!$C$815:$C$1346,"rec:locatedIn",SSC_Ontology_Ver0.5!$D$815:$D$1346,$C74)</f>
        <v>2</v>
      </c>
    </row>
    <row r="76" spans="1:4" x14ac:dyDescent="0.3">
      <c r="A76" s="8" t="s">
        <v>4882</v>
      </c>
    </row>
  </sheetData>
  <conditionalFormatting sqref="A17:R56 A59">
    <cfRule type="expression" dxfId="11" priority="1">
      <formula>AND($R17&lt;&gt;"OK",LEFT($R17,8)&lt;&gt;"Excluded")</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C8730-B1FE-483D-BD76-C41271DBBBC7}">
  <dimension ref="A1:J157"/>
  <sheetViews>
    <sheetView workbookViewId="0">
      <pane ySplit="22" topLeftCell="A23" activePane="bottomLeft" state="frozen"/>
      <selection pane="bottomLeft" activeCell="J20" sqref="J20"/>
    </sheetView>
  </sheetViews>
  <sheetFormatPr defaultRowHeight="14.4" x14ac:dyDescent="0.3"/>
  <cols>
    <col min="1" max="3" width="42.5546875" customWidth="1"/>
    <col min="4" max="8" width="13" customWidth="1"/>
    <col min="9" max="9" width="79.33203125" bestFit="1" customWidth="1"/>
    <col min="10" max="10" width="18.5546875" bestFit="1" customWidth="1"/>
  </cols>
  <sheetData>
    <row r="1" spans="1:10" ht="18" x14ac:dyDescent="0.35">
      <c r="A1" s="7" t="s">
        <v>4731</v>
      </c>
    </row>
    <row r="2" spans="1:10" x14ac:dyDescent="0.3">
      <c r="A2" s="8" t="s">
        <v>4834</v>
      </c>
    </row>
    <row r="4" spans="1:10" x14ac:dyDescent="0.3">
      <c r="A4" s="6" t="s">
        <v>4732</v>
      </c>
    </row>
    <row r="5" spans="1:10" x14ac:dyDescent="0.3">
      <c r="A5" s="9" t="s">
        <v>4733</v>
      </c>
      <c r="B5" s="9" t="s">
        <v>4734</v>
      </c>
      <c r="C5" s="9" t="s">
        <v>4735</v>
      </c>
      <c r="D5" s="9" t="s">
        <v>4736</v>
      </c>
      <c r="E5" s="9" t="s">
        <v>4737</v>
      </c>
      <c r="F5" s="9" t="s">
        <v>4738</v>
      </c>
    </row>
    <row r="6" spans="1:10" x14ac:dyDescent="0.3">
      <c r="A6" t="s">
        <v>4739</v>
      </c>
      <c r="B6">
        <f>COUNTIF(SSC_Ontology_Ver0.5!$A$128:$A$773,"*AHUB0001*")</f>
        <v>129</v>
      </c>
      <c r="C6">
        <f>COUNTIF(SSC_Ontology_Ver0.5!$A$128:$A$773,"*AHUB0002*")</f>
        <v>130</v>
      </c>
      <c r="D6">
        <f>COUNTIF(SSC_Ontology_Ver0.5!$A$128:$A$773,"*AHUB0003*")</f>
        <v>128</v>
      </c>
      <c r="E6">
        <f>COUNTIF(SSC_Ontology_Ver0.5!$A$128:$A$773,"*AHUB0004*")</f>
        <v>132</v>
      </c>
      <c r="F6">
        <f>COUNTIF(SSC_Ontology_Ver0.5!$A$128:$A$773,"*AHUB0005*")</f>
        <v>127</v>
      </c>
    </row>
    <row r="7" spans="1:10" x14ac:dyDescent="0.3">
      <c r="A7" t="s">
        <v>4740</v>
      </c>
      <c r="B7">
        <f>0</f>
        <v>0</v>
      </c>
      <c r="C7">
        <f>C6-$B$6</f>
        <v>1</v>
      </c>
      <c r="D7">
        <f>D6-$B$6</f>
        <v>-1</v>
      </c>
      <c r="E7">
        <f>E6-$B$6</f>
        <v>3</v>
      </c>
      <c r="F7">
        <f>F6-$B$6</f>
        <v>-2</v>
      </c>
    </row>
    <row r="9" spans="1:10" x14ac:dyDescent="0.3">
      <c r="A9" s="6" t="s">
        <v>4835</v>
      </c>
    </row>
    <row r="10" spans="1:10" x14ac:dyDescent="0.3">
      <c r="A10" s="10" t="s">
        <v>4741</v>
      </c>
      <c r="B10" s="11" t="s">
        <v>4742</v>
      </c>
      <c r="C10" s="11" t="s">
        <v>4743</v>
      </c>
      <c r="D10" s="11" t="s">
        <v>4734</v>
      </c>
      <c r="E10" s="11" t="s">
        <v>4735</v>
      </c>
      <c r="F10" s="11" t="s">
        <v>4736</v>
      </c>
      <c r="G10" s="11" t="s">
        <v>4737</v>
      </c>
      <c r="H10" s="11" t="s">
        <v>4738</v>
      </c>
      <c r="I10" s="12" t="s">
        <v>4744</v>
      </c>
    </row>
    <row r="11" spans="1:10" x14ac:dyDescent="0.3">
      <c r="A11" s="13" t="s">
        <v>4745</v>
      </c>
      <c r="B11" s="14" t="s">
        <v>308</v>
      </c>
      <c r="C11" s="14" t="s">
        <v>4746</v>
      </c>
      <c r="D11" s="19">
        <f>COUNTIFS(SSC_Ontology_Ver0.5!$A$128:$A$773,SUBSTITUTE($A11,"AHUB{N}",D$10),SSC_Ontology_Ver0.5!$C$128:$C$773,$B11,SSC_Ontology_Ver0.5!$D$128:$D$773,SUBSTITUTE($C11,"AHUB{N}",D$10))</f>
        <v>1</v>
      </c>
      <c r="E11" s="19">
        <f>COUNTIFS(SSC_Ontology_Ver0.5!$A$128:$A$773,SUBSTITUTE($A11,"AHUB{N}",E$10),SSC_Ontology_Ver0.5!$C$128:$C$773,$B11,SSC_Ontology_Ver0.5!$D$128:$D$773,SUBSTITUTE($C11,"AHUB{N}",E$10))</f>
        <v>1</v>
      </c>
      <c r="F11" s="19">
        <f>COUNTIFS(SSC_Ontology_Ver0.5!$A$128:$A$773,SUBSTITUTE($A11,"AHUB{N}",F$10),SSC_Ontology_Ver0.5!$C$128:$C$773,$B11,SSC_Ontology_Ver0.5!$D$128:$D$773,SUBSTITUTE($C11,"AHUB{N}",F$10))</f>
        <v>0</v>
      </c>
      <c r="G11" s="19">
        <f>COUNTIFS(SSC_Ontology_Ver0.5!$A$128:$A$773,SUBSTITUTE($A11,"AHUB{N}",G$10),SSC_Ontology_Ver0.5!$C$128:$C$773,$B11,SSC_Ontology_Ver0.5!$D$128:$D$773,SUBSTITUTE($C11,"AHUB{N}",G$10))</f>
        <v>1</v>
      </c>
      <c r="H11" s="19">
        <f>COUNTIFS(SSC_Ontology_Ver0.5!$A$128:$A$773,SUBSTITUTE($A11,"AHUB{N}",H$10),SSC_Ontology_Ver0.5!$C$128:$C$773,$B11,SSC_Ontology_Ver0.5!$D$128:$D$773,SUBSTITUTE($C11,"AHUB{N}",H$10))</f>
        <v>0</v>
      </c>
      <c r="I11" s="15" t="s">
        <v>4752</v>
      </c>
      <c r="J11" t="s">
        <v>4876</v>
      </c>
    </row>
    <row r="12" spans="1:10" x14ac:dyDescent="0.3">
      <c r="A12" s="13" t="s">
        <v>4746</v>
      </c>
      <c r="B12" s="14" t="s">
        <v>11</v>
      </c>
      <c r="C12" s="14" t="s">
        <v>12</v>
      </c>
      <c r="D12" s="19">
        <f>COUNTIFS(SSC_Ontology_Ver0.5!$A$128:$A$773,SUBSTITUTE($A12,"AHUB{N}",D$10),SSC_Ontology_Ver0.5!$C$128:$C$773,$B12,SSC_Ontology_Ver0.5!$D$128:$D$773,SUBSTITUTE($C12,"AHUB{N}",D$10))</f>
        <v>1</v>
      </c>
      <c r="E12" s="19">
        <f>COUNTIFS(SSC_Ontology_Ver0.5!$A$128:$A$773,SUBSTITUTE($A12,"AHUB{N}",E$10),SSC_Ontology_Ver0.5!$C$128:$C$773,$B12,SSC_Ontology_Ver0.5!$D$128:$D$773,SUBSTITUTE($C12,"AHUB{N}",E$10))</f>
        <v>1</v>
      </c>
      <c r="F12" s="19">
        <f>COUNTIFS(SSC_Ontology_Ver0.5!$A$128:$A$773,SUBSTITUTE($A12,"AHUB{N}",F$10),SSC_Ontology_Ver0.5!$C$128:$C$773,$B12,SSC_Ontology_Ver0.5!$D$128:$D$773,SUBSTITUTE($C12,"AHUB{N}",F$10))</f>
        <v>0</v>
      </c>
      <c r="G12" s="19">
        <f>COUNTIFS(SSC_Ontology_Ver0.5!$A$128:$A$773,SUBSTITUTE($A12,"AHUB{N}",G$10),SSC_Ontology_Ver0.5!$C$128:$C$773,$B12,SSC_Ontology_Ver0.5!$D$128:$D$773,SUBSTITUTE($C12,"AHUB{N}",G$10))</f>
        <v>1</v>
      </c>
      <c r="H12" s="19">
        <f>COUNTIFS(SSC_Ontology_Ver0.5!$A$128:$A$773,SUBSTITUTE($A12,"AHUB{N}",H$10),SSC_Ontology_Ver0.5!$C$128:$C$773,$B12,SSC_Ontology_Ver0.5!$D$128:$D$773,SUBSTITUTE($C12,"AHUB{N}",H$10))</f>
        <v>0</v>
      </c>
      <c r="I12" s="15" t="s">
        <v>4753</v>
      </c>
      <c r="J12" t="s">
        <v>4875</v>
      </c>
    </row>
    <row r="13" spans="1:10" x14ac:dyDescent="0.3">
      <c r="A13" s="13" t="s">
        <v>4747</v>
      </c>
      <c r="B13" s="14" t="s">
        <v>308</v>
      </c>
      <c r="C13" s="14" t="s">
        <v>4748</v>
      </c>
      <c r="D13" s="19">
        <f>COUNTIFS(SSC_Ontology_Ver0.5!$A$128:$A$773,SUBSTITUTE($A13,"AHUB{N}",D$10),SSC_Ontology_Ver0.5!$C$128:$C$773,$B13,SSC_Ontology_Ver0.5!$D$128:$D$773,SUBSTITUTE($C13,"AHUB{N}",D$10))</f>
        <v>1</v>
      </c>
      <c r="E13" s="19">
        <f>COUNTIFS(SSC_Ontology_Ver0.5!$A$128:$A$773,SUBSTITUTE($A13,"AHUB{N}",E$10),SSC_Ontology_Ver0.5!$C$128:$C$773,$B13,SSC_Ontology_Ver0.5!$D$128:$D$773,SUBSTITUTE($C13,"AHUB{N}",E$10))</f>
        <v>1</v>
      </c>
      <c r="F13" s="19">
        <f>COUNTIFS(SSC_Ontology_Ver0.5!$A$128:$A$773,SUBSTITUTE($A13,"AHUB{N}",F$10),SSC_Ontology_Ver0.5!$C$128:$C$773,$B13,SSC_Ontology_Ver0.5!$D$128:$D$773,SUBSTITUTE($C13,"AHUB{N}",F$10))</f>
        <v>1</v>
      </c>
      <c r="G13" s="19">
        <f>COUNTIFS(SSC_Ontology_Ver0.5!$A$128:$A$773,SUBSTITUTE($A13,"AHUB{N}",G$10),SSC_Ontology_Ver0.5!$C$128:$C$773,$B13,SSC_Ontology_Ver0.5!$D$128:$D$773,SUBSTITUTE($C13,"AHUB{N}",G$10))</f>
        <v>0</v>
      </c>
      <c r="H13" s="19">
        <f>COUNTIFS(SSC_Ontology_Ver0.5!$A$128:$A$773,SUBSTITUTE($A13,"AHUB{N}",H$10),SSC_Ontology_Ver0.5!$C$128:$C$773,$B13,SSC_Ontology_Ver0.5!$D$128:$D$773,SUBSTITUTE($C13,"AHUB{N}",H$10))</f>
        <v>1</v>
      </c>
      <c r="I13" s="15" t="s">
        <v>4754</v>
      </c>
      <c r="J13" t="s">
        <v>4876</v>
      </c>
    </row>
    <row r="14" spans="1:10" x14ac:dyDescent="0.3">
      <c r="A14" s="13" t="s">
        <v>4748</v>
      </c>
      <c r="B14" s="14" t="s">
        <v>11</v>
      </c>
      <c r="C14" s="14" t="s">
        <v>12</v>
      </c>
      <c r="D14" s="19">
        <f>COUNTIFS(SSC_Ontology_Ver0.5!$A$128:$A$773,SUBSTITUTE($A14,"AHUB{N}",D$10),SSC_Ontology_Ver0.5!$C$128:$C$773,$B14,SSC_Ontology_Ver0.5!$D$128:$D$773,SUBSTITUTE($C14,"AHUB{N}",D$10))</f>
        <v>1</v>
      </c>
      <c r="E14" s="19">
        <f>COUNTIFS(SSC_Ontology_Ver0.5!$A$128:$A$773,SUBSTITUTE($A14,"AHUB{N}",E$10),SSC_Ontology_Ver0.5!$C$128:$C$773,$B14,SSC_Ontology_Ver0.5!$D$128:$D$773,SUBSTITUTE($C14,"AHUB{N}",E$10))</f>
        <v>1</v>
      </c>
      <c r="F14" s="19">
        <f>COUNTIFS(SSC_Ontology_Ver0.5!$A$128:$A$773,SUBSTITUTE($A14,"AHUB{N}",F$10),SSC_Ontology_Ver0.5!$C$128:$C$773,$B14,SSC_Ontology_Ver0.5!$D$128:$D$773,SUBSTITUTE($C14,"AHUB{N}",F$10))</f>
        <v>1</v>
      </c>
      <c r="G14" s="19">
        <f>COUNTIFS(SSC_Ontology_Ver0.5!$A$128:$A$773,SUBSTITUTE($A14,"AHUB{N}",G$10),SSC_Ontology_Ver0.5!$C$128:$C$773,$B14,SSC_Ontology_Ver0.5!$D$128:$D$773,SUBSTITUTE($C14,"AHUB{N}",G$10))</f>
        <v>0</v>
      </c>
      <c r="H14" s="19">
        <f>COUNTIFS(SSC_Ontology_Ver0.5!$A$128:$A$773,SUBSTITUTE($A14,"AHUB{N}",H$10),SSC_Ontology_Ver0.5!$C$128:$C$773,$B14,SSC_Ontology_Ver0.5!$D$128:$D$773,SUBSTITUTE($C14,"AHUB{N}",H$10))</f>
        <v>1</v>
      </c>
      <c r="I14" s="15" t="s">
        <v>4755</v>
      </c>
      <c r="J14" t="s">
        <v>4875</v>
      </c>
    </row>
    <row r="15" spans="1:10" x14ac:dyDescent="0.3">
      <c r="A15" s="13" t="s">
        <v>4749</v>
      </c>
      <c r="B15" s="14" t="s">
        <v>11</v>
      </c>
      <c r="C15" s="14" t="s">
        <v>12</v>
      </c>
      <c r="D15" s="19">
        <f>COUNTIFS(SSC_Ontology_Ver0.5!$A$128:$A$773,SUBSTITUTE($A15,"AHUB{N}",D$10),SSC_Ontology_Ver0.5!$C$128:$C$773,$B15,SSC_Ontology_Ver0.5!$D$128:$D$773,SUBSTITUTE($C15,"AHUB{N}",D$10))</f>
        <v>1</v>
      </c>
      <c r="E15" s="19">
        <f>COUNTIFS(SSC_Ontology_Ver0.5!$A$128:$A$773,SUBSTITUTE($A15,"AHUB{N}",E$10),SSC_Ontology_Ver0.5!$C$128:$C$773,$B15,SSC_Ontology_Ver0.5!$D$128:$D$773,SUBSTITUTE($C15,"AHUB{N}",E$10))</f>
        <v>2</v>
      </c>
      <c r="F15" s="19">
        <f>COUNTIFS(SSC_Ontology_Ver0.5!$A$128:$A$773,SUBSTITUTE($A15,"AHUB{N}",F$10),SSC_Ontology_Ver0.5!$C$128:$C$773,$B15,SSC_Ontology_Ver0.5!$D$128:$D$773,SUBSTITUTE($C15,"AHUB{N}",F$10))</f>
        <v>2</v>
      </c>
      <c r="G15" s="19">
        <f>COUNTIFS(SSC_Ontology_Ver0.5!$A$128:$A$773,SUBSTITUTE($A15,"AHUB{N}",G$10),SSC_Ontology_Ver0.5!$C$128:$C$773,$B15,SSC_Ontology_Ver0.5!$D$128:$D$773,SUBSTITUTE($C15,"AHUB{N}",G$10))</f>
        <v>2</v>
      </c>
      <c r="H15" s="19">
        <f>COUNTIFS(SSC_Ontology_Ver0.5!$A$128:$A$773,SUBSTITUTE($A15,"AHUB{N}",H$10),SSC_Ontology_Ver0.5!$C$128:$C$773,$B15,SSC_Ontology_Ver0.5!$D$128:$D$773,SUBSTITUTE($C15,"AHUB{N}",H$10))</f>
        <v>1</v>
      </c>
      <c r="I15" s="15" t="s">
        <v>4756</v>
      </c>
      <c r="J15" t="s">
        <v>4873</v>
      </c>
    </row>
    <row r="16" spans="1:10" x14ac:dyDescent="0.3">
      <c r="A16" s="13" t="s">
        <v>4745</v>
      </c>
      <c r="B16" s="14" t="s">
        <v>308</v>
      </c>
      <c r="C16" s="14" t="s">
        <v>4750</v>
      </c>
      <c r="D16" s="19">
        <f>COUNTIFS(SSC_Ontology_Ver0.5!$A$128:$A$773,SUBSTITUTE($A16,"AHUB{N}",D$10),SSC_Ontology_Ver0.5!$C$128:$C$773,$B16,SSC_Ontology_Ver0.5!$D$128:$D$773,SUBSTITUTE($C16,"AHUB{N}",D$10))</f>
        <v>0</v>
      </c>
      <c r="E16" s="19">
        <f>COUNTIFS(SSC_Ontology_Ver0.5!$A$128:$A$773,SUBSTITUTE($A16,"AHUB{N}",E$10),SSC_Ontology_Ver0.5!$C$128:$C$773,$B16,SSC_Ontology_Ver0.5!$D$128:$D$773,SUBSTITUTE($C16,"AHUB{N}",E$10))</f>
        <v>0</v>
      </c>
      <c r="F16" s="19">
        <f>COUNTIFS(SSC_Ontology_Ver0.5!$A$128:$A$773,SUBSTITUTE($A16,"AHUB{N}",F$10),SSC_Ontology_Ver0.5!$C$128:$C$773,$B16,SSC_Ontology_Ver0.5!$D$128:$D$773,SUBSTITUTE($C16,"AHUB{N}",F$10))</f>
        <v>0</v>
      </c>
      <c r="G16" s="19">
        <f>COUNTIFS(SSC_Ontology_Ver0.5!$A$128:$A$773,SUBSTITUTE($A16,"AHUB{N}",G$10),SSC_Ontology_Ver0.5!$C$128:$C$773,$B16,SSC_Ontology_Ver0.5!$D$128:$D$773,SUBSTITUTE($C16,"AHUB{N}",G$10))</f>
        <v>1</v>
      </c>
      <c r="H16" s="19">
        <f>COUNTIFS(SSC_Ontology_Ver0.5!$A$128:$A$773,SUBSTITUTE($A16,"AHUB{N}",H$10),SSC_Ontology_Ver0.5!$C$128:$C$773,$B16,SSC_Ontology_Ver0.5!$D$128:$D$773,SUBSTITUTE($C16,"AHUB{N}",H$10))</f>
        <v>0</v>
      </c>
      <c r="I16" s="15" t="s">
        <v>4757</v>
      </c>
      <c r="J16" t="s">
        <v>4874</v>
      </c>
    </row>
    <row r="17" spans="1:10" x14ac:dyDescent="0.3">
      <c r="A17" s="13" t="s">
        <v>4745</v>
      </c>
      <c r="B17" s="14" t="s">
        <v>308</v>
      </c>
      <c r="C17" s="14" t="s">
        <v>4751</v>
      </c>
      <c r="D17" s="19">
        <f>COUNTIFS(SSC_Ontology_Ver0.5!$A$128:$A$773,SUBSTITUTE($A17,"AHUB{N}",D$10),SSC_Ontology_Ver0.5!$C$128:$C$773,$B17,SSC_Ontology_Ver0.5!$D$128:$D$773,SUBSTITUTE($C17,"AHUB{N}",D$10))</f>
        <v>0</v>
      </c>
      <c r="E17" s="19">
        <f>COUNTIFS(SSC_Ontology_Ver0.5!$A$128:$A$773,SUBSTITUTE($A17,"AHUB{N}",E$10),SSC_Ontology_Ver0.5!$C$128:$C$773,$B17,SSC_Ontology_Ver0.5!$D$128:$D$773,SUBSTITUTE($C17,"AHUB{N}",E$10))</f>
        <v>0</v>
      </c>
      <c r="F17" s="19">
        <f>COUNTIFS(SSC_Ontology_Ver0.5!$A$128:$A$773,SUBSTITUTE($A17,"AHUB{N}",F$10),SSC_Ontology_Ver0.5!$C$128:$C$773,$B17,SSC_Ontology_Ver0.5!$D$128:$D$773,SUBSTITUTE($C17,"AHUB{N}",F$10))</f>
        <v>0</v>
      </c>
      <c r="G17" s="19">
        <f>COUNTIFS(SSC_Ontology_Ver0.5!$A$128:$A$773,SUBSTITUTE($A17,"AHUB{N}",G$10),SSC_Ontology_Ver0.5!$C$128:$C$773,$B17,SSC_Ontology_Ver0.5!$D$128:$D$773,SUBSTITUTE($C17,"AHUB{N}",G$10))</f>
        <v>1</v>
      </c>
      <c r="H17" s="19">
        <f>COUNTIFS(SSC_Ontology_Ver0.5!$A$128:$A$773,SUBSTITUTE($A17,"AHUB{N}",H$10),SSC_Ontology_Ver0.5!$C$128:$C$773,$B17,SSC_Ontology_Ver0.5!$D$128:$D$773,SUBSTITUTE($C17,"AHUB{N}",H$10))</f>
        <v>0</v>
      </c>
      <c r="I17" s="15" t="s">
        <v>4758</v>
      </c>
      <c r="J17" t="s">
        <v>4874</v>
      </c>
    </row>
    <row r="18" spans="1:10" x14ac:dyDescent="0.3">
      <c r="A18" s="13" t="s">
        <v>4750</v>
      </c>
      <c r="B18" s="14" t="s">
        <v>11</v>
      </c>
      <c r="C18" s="14" t="s">
        <v>12</v>
      </c>
      <c r="D18" s="19">
        <f>COUNTIFS(SSC_Ontology_Ver0.5!$A$128:$A$773,SUBSTITUTE($A18,"AHUB{N}",D$10),SSC_Ontology_Ver0.5!$C$128:$C$773,$B18,SSC_Ontology_Ver0.5!$D$128:$D$773,SUBSTITUTE($C18,"AHUB{N}",D$10))</f>
        <v>0</v>
      </c>
      <c r="E18" s="19">
        <f>COUNTIFS(SSC_Ontology_Ver0.5!$A$128:$A$773,SUBSTITUTE($A18,"AHUB{N}",E$10),SSC_Ontology_Ver0.5!$C$128:$C$773,$B18,SSC_Ontology_Ver0.5!$D$128:$D$773,SUBSTITUTE($C18,"AHUB{N}",E$10))</f>
        <v>0</v>
      </c>
      <c r="F18" s="19">
        <f>COUNTIFS(SSC_Ontology_Ver0.5!$A$128:$A$773,SUBSTITUTE($A18,"AHUB{N}",F$10),SSC_Ontology_Ver0.5!$C$128:$C$773,$B18,SSC_Ontology_Ver0.5!$D$128:$D$773,SUBSTITUTE($C18,"AHUB{N}",F$10))</f>
        <v>0</v>
      </c>
      <c r="G18" s="19">
        <f>COUNTIFS(SSC_Ontology_Ver0.5!$A$128:$A$773,SUBSTITUTE($A18,"AHUB{N}",G$10),SSC_Ontology_Ver0.5!$C$128:$C$773,$B18,SSC_Ontology_Ver0.5!$D$128:$D$773,SUBSTITUTE($C18,"AHUB{N}",G$10))</f>
        <v>1</v>
      </c>
      <c r="H18" s="19">
        <f>COUNTIFS(SSC_Ontology_Ver0.5!$A$128:$A$773,SUBSTITUTE($A18,"AHUB{N}",H$10),SSC_Ontology_Ver0.5!$C$128:$C$773,$B18,SSC_Ontology_Ver0.5!$D$128:$D$773,SUBSTITUTE($C18,"AHUB{N}",H$10))</f>
        <v>0</v>
      </c>
      <c r="I18" s="15" t="s">
        <v>4758</v>
      </c>
      <c r="J18" t="s">
        <v>4875</v>
      </c>
    </row>
    <row r="19" spans="1:10" x14ac:dyDescent="0.3">
      <c r="A19" s="13" t="s">
        <v>4751</v>
      </c>
      <c r="B19" s="14" t="s">
        <v>11</v>
      </c>
      <c r="C19" s="14" t="s">
        <v>12</v>
      </c>
      <c r="D19" s="19">
        <f>COUNTIFS(SSC_Ontology_Ver0.5!$A$128:$A$773,SUBSTITUTE($A19,"AHUB{N}",D$10),SSC_Ontology_Ver0.5!$C$128:$C$773,$B19,SSC_Ontology_Ver0.5!$D$128:$D$773,SUBSTITUTE($C19,"AHUB{N}",D$10))</f>
        <v>0</v>
      </c>
      <c r="E19" s="19">
        <f>COUNTIFS(SSC_Ontology_Ver0.5!$A$128:$A$773,SUBSTITUTE($A19,"AHUB{N}",E$10),SSC_Ontology_Ver0.5!$C$128:$C$773,$B19,SSC_Ontology_Ver0.5!$D$128:$D$773,SUBSTITUTE($C19,"AHUB{N}",E$10))</f>
        <v>0</v>
      </c>
      <c r="F19" s="19">
        <f>COUNTIFS(SSC_Ontology_Ver0.5!$A$128:$A$773,SUBSTITUTE($A19,"AHUB{N}",F$10),SSC_Ontology_Ver0.5!$C$128:$C$773,$B19,SSC_Ontology_Ver0.5!$D$128:$D$773,SUBSTITUTE($C19,"AHUB{N}",F$10))</f>
        <v>0</v>
      </c>
      <c r="G19" s="19">
        <f>COUNTIFS(SSC_Ontology_Ver0.5!$A$128:$A$773,SUBSTITUTE($A19,"AHUB{N}",G$10),SSC_Ontology_Ver0.5!$C$128:$C$773,$B19,SSC_Ontology_Ver0.5!$D$128:$D$773,SUBSTITUTE($C19,"AHUB{N}",G$10))</f>
        <v>1</v>
      </c>
      <c r="H19" s="19">
        <f>COUNTIFS(SSC_Ontology_Ver0.5!$A$128:$A$773,SUBSTITUTE($A19,"AHUB{N}",H$10),SSC_Ontology_Ver0.5!$C$128:$C$773,$B19,SSC_Ontology_Ver0.5!$D$128:$D$773,SUBSTITUTE($C19,"AHUB{N}",H$10))</f>
        <v>0</v>
      </c>
      <c r="I19" s="15" t="s">
        <v>4758</v>
      </c>
      <c r="J19" t="s">
        <v>4875</v>
      </c>
    </row>
    <row r="21" spans="1:10" x14ac:dyDescent="0.3">
      <c r="A21" s="6" t="s">
        <v>4759</v>
      </c>
    </row>
    <row r="22" spans="1:10" x14ac:dyDescent="0.3">
      <c r="A22" s="10" t="s">
        <v>4741</v>
      </c>
      <c r="B22" s="11" t="s">
        <v>4742</v>
      </c>
      <c r="C22" s="11" t="s">
        <v>4743</v>
      </c>
      <c r="D22" s="11" t="s">
        <v>4734</v>
      </c>
      <c r="E22" s="11" t="s">
        <v>4735</v>
      </c>
      <c r="F22" s="11" t="s">
        <v>4736</v>
      </c>
      <c r="G22" s="11" t="s">
        <v>4737</v>
      </c>
      <c r="H22" s="11" t="s">
        <v>4738</v>
      </c>
      <c r="I22" s="12" t="s">
        <v>4760</v>
      </c>
    </row>
    <row r="23" spans="1:10" x14ac:dyDescent="0.3">
      <c r="A23" s="13" t="s">
        <v>4745</v>
      </c>
      <c r="B23" s="14" t="s">
        <v>280</v>
      </c>
      <c r="C23" s="14" t="s">
        <v>4761</v>
      </c>
      <c r="D23" s="19">
        <f>COUNTIFS(SSC_Ontology_Ver0.5!$A$128:$A$773,SUBSTITUTE($A23,"AHUB{N}",D$22),SSC_Ontology_Ver0.5!$C$128:$C$773,$B23,SSC_Ontology_Ver0.5!$D$128:$D$773,SUBSTITUTE($C23,"AHUB{N}",D$22))</f>
        <v>1</v>
      </c>
      <c r="E23" s="19">
        <f>COUNTIFS(SSC_Ontology_Ver0.5!$A$128:$A$773,SUBSTITUTE($A23,"AHUB{N}",E$22),SSC_Ontology_Ver0.5!$C$128:$C$773,$B23,SSC_Ontology_Ver0.5!$D$128:$D$773,SUBSTITUTE($C23,"AHUB{N}",E$22))</f>
        <v>1</v>
      </c>
      <c r="F23" s="19">
        <f>COUNTIFS(SSC_Ontology_Ver0.5!$A$128:$A$773,SUBSTITUTE($A23,"AHUB{N}",F$22),SSC_Ontology_Ver0.5!$C$128:$C$773,$B23,SSC_Ontology_Ver0.5!$D$128:$D$773,SUBSTITUTE($C23,"AHUB{N}",F$22))</f>
        <v>1</v>
      </c>
      <c r="G23" s="19">
        <f>COUNTIFS(SSC_Ontology_Ver0.5!$A$128:$A$773,SUBSTITUTE($A23,"AHUB{N}",G$22),SSC_Ontology_Ver0.5!$C$128:$C$773,$B23,SSC_Ontology_Ver0.5!$D$128:$D$773,SUBSTITUTE($C23,"AHUB{N}",G$22))</f>
        <v>1</v>
      </c>
      <c r="H23" s="19">
        <f>COUNTIFS(SSC_Ontology_Ver0.5!$A$128:$A$773,SUBSTITUTE($A23,"AHUB{N}",H$22),SSC_Ontology_Ver0.5!$C$128:$C$773,$B23,SSC_Ontology_Ver0.5!$D$128:$D$773,SUBSTITUTE($C23,"AHUB{N}",H$22))</f>
        <v>1</v>
      </c>
      <c r="I23" s="15" t="str">
        <f>IF($B23="rec:locatedIn","Excluded - location varies by unit",IF(AND(MIN(D23:H23)=MAX(D23:H23),MAX(D23:H23)=1),"OK",IF(MIN(D23:H23)=0,"Not on all units","Duplicated")))</f>
        <v>OK</v>
      </c>
    </row>
    <row r="24" spans="1:10" x14ac:dyDescent="0.3">
      <c r="A24" s="13" t="s">
        <v>4745</v>
      </c>
      <c r="B24" s="14" t="s">
        <v>280</v>
      </c>
      <c r="C24" s="14" t="s">
        <v>4762</v>
      </c>
      <c r="D24" s="19">
        <f>COUNTIFS(SSC_Ontology_Ver0.5!$A$128:$A$773,SUBSTITUTE($A24,"AHUB{N}",D$22),SSC_Ontology_Ver0.5!$C$128:$C$773,$B24,SSC_Ontology_Ver0.5!$D$128:$D$773,SUBSTITUTE($C24,"AHUB{N}",D$22))</f>
        <v>1</v>
      </c>
      <c r="E24" s="19">
        <f>COUNTIFS(SSC_Ontology_Ver0.5!$A$128:$A$773,SUBSTITUTE($A24,"AHUB{N}",E$22),SSC_Ontology_Ver0.5!$C$128:$C$773,$B24,SSC_Ontology_Ver0.5!$D$128:$D$773,SUBSTITUTE($C24,"AHUB{N}",E$22))</f>
        <v>1</v>
      </c>
      <c r="F24" s="19">
        <f>COUNTIFS(SSC_Ontology_Ver0.5!$A$128:$A$773,SUBSTITUTE($A24,"AHUB{N}",F$22),SSC_Ontology_Ver0.5!$C$128:$C$773,$B24,SSC_Ontology_Ver0.5!$D$128:$D$773,SUBSTITUTE($C24,"AHUB{N}",F$22))</f>
        <v>1</v>
      </c>
      <c r="G24" s="19">
        <f>COUNTIFS(SSC_Ontology_Ver0.5!$A$128:$A$773,SUBSTITUTE($A24,"AHUB{N}",G$22),SSC_Ontology_Ver0.5!$C$128:$C$773,$B24,SSC_Ontology_Ver0.5!$D$128:$D$773,SUBSTITUTE($C24,"AHUB{N}",G$22))</f>
        <v>1</v>
      </c>
      <c r="H24" s="19">
        <f>COUNTIFS(SSC_Ontology_Ver0.5!$A$128:$A$773,SUBSTITUTE($A24,"AHUB{N}",H$22),SSC_Ontology_Ver0.5!$C$128:$C$773,$B24,SSC_Ontology_Ver0.5!$D$128:$D$773,SUBSTITUTE($C24,"AHUB{N}",H$22))</f>
        <v>1</v>
      </c>
      <c r="I24" s="15" t="str">
        <f>IF($B24="rec:locatedIn","Excluded - location varies by unit",IF(AND(MIN(D24:H24)=MAX(D24:H24),MAX(D24:H24)=1),"OK",IF(MIN(D24:H24)=0,"Not on all units","Duplicated")))</f>
        <v>OK</v>
      </c>
    </row>
    <row r="25" spans="1:10" x14ac:dyDescent="0.3">
      <c r="A25" s="13" t="s">
        <v>4745</v>
      </c>
      <c r="B25" s="14" t="s">
        <v>280</v>
      </c>
      <c r="C25" s="14" t="s">
        <v>4763</v>
      </c>
      <c r="D25" s="19">
        <f>COUNTIFS(SSC_Ontology_Ver0.5!$A$128:$A$773,SUBSTITUTE($A25,"AHUB{N}",D$22),SSC_Ontology_Ver0.5!$C$128:$C$773,$B25,SSC_Ontology_Ver0.5!$D$128:$D$773,SUBSTITUTE($C25,"AHUB{N}",D$22))</f>
        <v>1</v>
      </c>
      <c r="E25" s="19">
        <f>COUNTIFS(SSC_Ontology_Ver0.5!$A$128:$A$773,SUBSTITUTE($A25,"AHUB{N}",E$22),SSC_Ontology_Ver0.5!$C$128:$C$773,$B25,SSC_Ontology_Ver0.5!$D$128:$D$773,SUBSTITUTE($C25,"AHUB{N}",E$22))</f>
        <v>1</v>
      </c>
      <c r="F25" s="19">
        <f>COUNTIFS(SSC_Ontology_Ver0.5!$A$128:$A$773,SUBSTITUTE($A25,"AHUB{N}",F$22),SSC_Ontology_Ver0.5!$C$128:$C$773,$B25,SSC_Ontology_Ver0.5!$D$128:$D$773,SUBSTITUTE($C25,"AHUB{N}",F$22))</f>
        <v>1</v>
      </c>
      <c r="G25" s="19">
        <f>COUNTIFS(SSC_Ontology_Ver0.5!$A$128:$A$773,SUBSTITUTE($A25,"AHUB{N}",G$22),SSC_Ontology_Ver0.5!$C$128:$C$773,$B25,SSC_Ontology_Ver0.5!$D$128:$D$773,SUBSTITUTE($C25,"AHUB{N}",G$22))</f>
        <v>1</v>
      </c>
      <c r="H25" s="19">
        <f>COUNTIFS(SSC_Ontology_Ver0.5!$A$128:$A$773,SUBSTITUTE($A25,"AHUB{N}",H$22),SSC_Ontology_Ver0.5!$C$128:$C$773,$B25,SSC_Ontology_Ver0.5!$D$128:$D$773,SUBSTITUTE($C25,"AHUB{N}",H$22))</f>
        <v>1</v>
      </c>
      <c r="I25" s="15" t="str">
        <f>IF($B25="rec:locatedIn","Excluded - location varies by unit",IF(AND(MIN(D25:H25)=MAX(D25:H25),MAX(D25:H25)=1),"OK",IF(MIN(D25:H25)=0,"Not on all units","Duplicated")))</f>
        <v>OK</v>
      </c>
    </row>
    <row r="26" spans="1:10" x14ac:dyDescent="0.3">
      <c r="A26" s="13" t="s">
        <v>4745</v>
      </c>
      <c r="B26" s="14" t="s">
        <v>280</v>
      </c>
      <c r="C26" s="14" t="s">
        <v>4764</v>
      </c>
      <c r="D26" s="19">
        <f>COUNTIFS(SSC_Ontology_Ver0.5!$A$128:$A$773,SUBSTITUTE($A26,"AHUB{N}",D$22),SSC_Ontology_Ver0.5!$C$128:$C$773,$B26,SSC_Ontology_Ver0.5!$D$128:$D$773,SUBSTITUTE($C26,"AHUB{N}",D$22))</f>
        <v>1</v>
      </c>
      <c r="E26" s="19">
        <f>COUNTIFS(SSC_Ontology_Ver0.5!$A$128:$A$773,SUBSTITUTE($A26,"AHUB{N}",E$22),SSC_Ontology_Ver0.5!$C$128:$C$773,$B26,SSC_Ontology_Ver0.5!$D$128:$D$773,SUBSTITUTE($C26,"AHUB{N}",E$22))</f>
        <v>1</v>
      </c>
      <c r="F26" s="19">
        <f>COUNTIFS(SSC_Ontology_Ver0.5!$A$128:$A$773,SUBSTITUTE($A26,"AHUB{N}",F$22),SSC_Ontology_Ver0.5!$C$128:$C$773,$B26,SSC_Ontology_Ver0.5!$D$128:$D$773,SUBSTITUTE($C26,"AHUB{N}",F$22))</f>
        <v>1</v>
      </c>
      <c r="G26" s="19">
        <f>COUNTIFS(SSC_Ontology_Ver0.5!$A$128:$A$773,SUBSTITUTE($A26,"AHUB{N}",G$22),SSC_Ontology_Ver0.5!$C$128:$C$773,$B26,SSC_Ontology_Ver0.5!$D$128:$D$773,SUBSTITUTE($C26,"AHUB{N}",G$22))</f>
        <v>1</v>
      </c>
      <c r="H26" s="19">
        <f>COUNTIFS(SSC_Ontology_Ver0.5!$A$128:$A$773,SUBSTITUTE($A26,"AHUB{N}",H$22),SSC_Ontology_Ver0.5!$C$128:$C$773,$B26,SSC_Ontology_Ver0.5!$D$128:$D$773,SUBSTITUTE($C26,"AHUB{N}",H$22))</f>
        <v>1</v>
      </c>
      <c r="I26" s="15" t="str">
        <f>IF($B26="rec:locatedIn","Excluded - location varies by unit",IF(AND(MIN(D26:H26)=MAX(D26:H26),MAX(D26:H26)=1),"OK",IF(MIN(D26:H26)=0,"Not on all units","Duplicated")))</f>
        <v>OK</v>
      </c>
    </row>
    <row r="27" spans="1:10" x14ac:dyDescent="0.3">
      <c r="A27" s="13" t="s">
        <v>4745</v>
      </c>
      <c r="B27" s="14" t="s">
        <v>280</v>
      </c>
      <c r="C27" s="14" t="s">
        <v>4765</v>
      </c>
      <c r="D27" s="19">
        <f>COUNTIFS(SSC_Ontology_Ver0.5!$A$128:$A$773,SUBSTITUTE($A27,"AHUB{N}",D$22),SSC_Ontology_Ver0.5!$C$128:$C$773,$B27,SSC_Ontology_Ver0.5!$D$128:$D$773,SUBSTITUTE($C27,"AHUB{N}",D$22))</f>
        <v>1</v>
      </c>
      <c r="E27" s="19">
        <f>COUNTIFS(SSC_Ontology_Ver0.5!$A$128:$A$773,SUBSTITUTE($A27,"AHUB{N}",E$22),SSC_Ontology_Ver0.5!$C$128:$C$773,$B27,SSC_Ontology_Ver0.5!$D$128:$D$773,SUBSTITUTE($C27,"AHUB{N}",E$22))</f>
        <v>1</v>
      </c>
      <c r="F27" s="19">
        <f>COUNTIFS(SSC_Ontology_Ver0.5!$A$128:$A$773,SUBSTITUTE($A27,"AHUB{N}",F$22),SSC_Ontology_Ver0.5!$C$128:$C$773,$B27,SSC_Ontology_Ver0.5!$D$128:$D$773,SUBSTITUTE($C27,"AHUB{N}",F$22))</f>
        <v>1</v>
      </c>
      <c r="G27" s="19">
        <f>COUNTIFS(SSC_Ontology_Ver0.5!$A$128:$A$773,SUBSTITUTE($A27,"AHUB{N}",G$22),SSC_Ontology_Ver0.5!$C$128:$C$773,$B27,SSC_Ontology_Ver0.5!$D$128:$D$773,SUBSTITUTE($C27,"AHUB{N}",G$22))</f>
        <v>1</v>
      </c>
      <c r="H27" s="19">
        <f>COUNTIFS(SSC_Ontology_Ver0.5!$A$128:$A$773,SUBSTITUTE($A27,"AHUB{N}",H$22),SSC_Ontology_Ver0.5!$C$128:$C$773,$B27,SSC_Ontology_Ver0.5!$D$128:$D$773,SUBSTITUTE($C27,"AHUB{N}",H$22))</f>
        <v>1</v>
      </c>
      <c r="I27" s="15" t="str">
        <f>IF($B27="rec:locatedIn","Excluded - location varies by unit",IF(AND(MIN(D27:H27)=MAX(D27:H27),MAX(D27:H27)=1),"OK",IF(MIN(D27:H27)=0,"Not on all units","Duplicated")))</f>
        <v>OK</v>
      </c>
    </row>
    <row r="28" spans="1:10" x14ac:dyDescent="0.3">
      <c r="A28" s="13" t="s">
        <v>4745</v>
      </c>
      <c r="B28" s="14" t="s">
        <v>280</v>
      </c>
      <c r="C28" s="14" t="s">
        <v>4766</v>
      </c>
      <c r="D28" s="19">
        <f>COUNTIFS(SSC_Ontology_Ver0.5!$A$128:$A$773,SUBSTITUTE($A28,"AHUB{N}",D$22),SSC_Ontology_Ver0.5!$C$128:$C$773,$B28,SSC_Ontology_Ver0.5!$D$128:$D$773,SUBSTITUTE($C28,"AHUB{N}",D$22))</f>
        <v>1</v>
      </c>
      <c r="E28" s="19">
        <f>COUNTIFS(SSC_Ontology_Ver0.5!$A$128:$A$773,SUBSTITUTE($A28,"AHUB{N}",E$22),SSC_Ontology_Ver0.5!$C$128:$C$773,$B28,SSC_Ontology_Ver0.5!$D$128:$D$773,SUBSTITUTE($C28,"AHUB{N}",E$22))</f>
        <v>1</v>
      </c>
      <c r="F28" s="19">
        <f>COUNTIFS(SSC_Ontology_Ver0.5!$A$128:$A$773,SUBSTITUTE($A28,"AHUB{N}",F$22),SSC_Ontology_Ver0.5!$C$128:$C$773,$B28,SSC_Ontology_Ver0.5!$D$128:$D$773,SUBSTITUTE($C28,"AHUB{N}",F$22))</f>
        <v>1</v>
      </c>
      <c r="G28" s="19">
        <f>COUNTIFS(SSC_Ontology_Ver0.5!$A$128:$A$773,SUBSTITUTE($A28,"AHUB{N}",G$22),SSC_Ontology_Ver0.5!$C$128:$C$773,$B28,SSC_Ontology_Ver0.5!$D$128:$D$773,SUBSTITUTE($C28,"AHUB{N}",G$22))</f>
        <v>1</v>
      </c>
      <c r="H28" s="19">
        <f>COUNTIFS(SSC_Ontology_Ver0.5!$A$128:$A$773,SUBSTITUTE($A28,"AHUB{N}",H$22),SSC_Ontology_Ver0.5!$C$128:$C$773,$B28,SSC_Ontology_Ver0.5!$D$128:$D$773,SUBSTITUTE($C28,"AHUB{N}",H$22))</f>
        <v>1</v>
      </c>
      <c r="I28" s="15" t="str">
        <f>IF($B28="rec:locatedIn","Excluded - location varies by unit",IF(AND(MIN(D28:H28)=MAX(D28:H28),MAX(D28:H28)=1),"OK",IF(MIN(D28:H28)=0,"Not on all units","Duplicated")))</f>
        <v>OK</v>
      </c>
    </row>
    <row r="29" spans="1:10" x14ac:dyDescent="0.3">
      <c r="A29" s="13" t="s">
        <v>4745</v>
      </c>
      <c r="B29" s="14" t="s">
        <v>280</v>
      </c>
      <c r="C29" s="14" t="s">
        <v>4747</v>
      </c>
      <c r="D29" s="19">
        <f>COUNTIFS(SSC_Ontology_Ver0.5!$A$128:$A$773,SUBSTITUTE($A29,"AHUB{N}",D$22),SSC_Ontology_Ver0.5!$C$128:$C$773,$B29,SSC_Ontology_Ver0.5!$D$128:$D$773,SUBSTITUTE($C29,"AHUB{N}",D$22))</f>
        <v>1</v>
      </c>
      <c r="E29" s="19">
        <f>COUNTIFS(SSC_Ontology_Ver0.5!$A$128:$A$773,SUBSTITUTE($A29,"AHUB{N}",E$22),SSC_Ontology_Ver0.5!$C$128:$C$773,$B29,SSC_Ontology_Ver0.5!$D$128:$D$773,SUBSTITUTE($C29,"AHUB{N}",E$22))</f>
        <v>1</v>
      </c>
      <c r="F29" s="19">
        <f>COUNTIFS(SSC_Ontology_Ver0.5!$A$128:$A$773,SUBSTITUTE($A29,"AHUB{N}",F$22),SSC_Ontology_Ver0.5!$C$128:$C$773,$B29,SSC_Ontology_Ver0.5!$D$128:$D$773,SUBSTITUTE($C29,"AHUB{N}",F$22))</f>
        <v>1</v>
      </c>
      <c r="G29" s="19">
        <f>COUNTIFS(SSC_Ontology_Ver0.5!$A$128:$A$773,SUBSTITUTE($A29,"AHUB{N}",G$22),SSC_Ontology_Ver0.5!$C$128:$C$773,$B29,SSC_Ontology_Ver0.5!$D$128:$D$773,SUBSTITUTE($C29,"AHUB{N}",G$22))</f>
        <v>1</v>
      </c>
      <c r="H29" s="19">
        <f>COUNTIFS(SSC_Ontology_Ver0.5!$A$128:$A$773,SUBSTITUTE($A29,"AHUB{N}",H$22),SSC_Ontology_Ver0.5!$C$128:$C$773,$B29,SSC_Ontology_Ver0.5!$D$128:$D$773,SUBSTITUTE($C29,"AHUB{N}",H$22))</f>
        <v>1</v>
      </c>
      <c r="I29" s="15" t="str">
        <f>IF($B29="rec:locatedIn","Excluded - location varies by unit",IF(AND(MIN(D29:H29)=MAX(D29:H29),MAX(D29:H29)=1),"OK",IF(MIN(D29:H29)=0,"Not on all units","Duplicated")))</f>
        <v>OK</v>
      </c>
    </row>
    <row r="30" spans="1:10" x14ac:dyDescent="0.3">
      <c r="A30" s="13" t="s">
        <v>4745</v>
      </c>
      <c r="B30" s="14" t="s">
        <v>280</v>
      </c>
      <c r="C30" s="14" t="s">
        <v>4767</v>
      </c>
      <c r="D30" s="19">
        <f>COUNTIFS(SSC_Ontology_Ver0.5!$A$128:$A$773,SUBSTITUTE($A30,"AHUB{N}",D$22),SSC_Ontology_Ver0.5!$C$128:$C$773,$B30,SSC_Ontology_Ver0.5!$D$128:$D$773,SUBSTITUTE($C30,"AHUB{N}",D$22))</f>
        <v>1</v>
      </c>
      <c r="E30" s="19">
        <f>COUNTIFS(SSC_Ontology_Ver0.5!$A$128:$A$773,SUBSTITUTE($A30,"AHUB{N}",E$22),SSC_Ontology_Ver0.5!$C$128:$C$773,$B30,SSC_Ontology_Ver0.5!$D$128:$D$773,SUBSTITUTE($C30,"AHUB{N}",E$22))</f>
        <v>1</v>
      </c>
      <c r="F30" s="19">
        <f>COUNTIFS(SSC_Ontology_Ver0.5!$A$128:$A$773,SUBSTITUTE($A30,"AHUB{N}",F$22),SSC_Ontology_Ver0.5!$C$128:$C$773,$B30,SSC_Ontology_Ver0.5!$D$128:$D$773,SUBSTITUTE($C30,"AHUB{N}",F$22))</f>
        <v>1</v>
      </c>
      <c r="G30" s="19">
        <f>COUNTIFS(SSC_Ontology_Ver0.5!$A$128:$A$773,SUBSTITUTE($A30,"AHUB{N}",G$22),SSC_Ontology_Ver0.5!$C$128:$C$773,$B30,SSC_Ontology_Ver0.5!$D$128:$D$773,SUBSTITUTE($C30,"AHUB{N}",G$22))</f>
        <v>1</v>
      </c>
      <c r="H30" s="19">
        <f>COUNTIFS(SSC_Ontology_Ver0.5!$A$128:$A$773,SUBSTITUTE($A30,"AHUB{N}",H$22),SSC_Ontology_Ver0.5!$C$128:$C$773,$B30,SSC_Ontology_Ver0.5!$D$128:$D$773,SUBSTITUTE($C30,"AHUB{N}",H$22))</f>
        <v>1</v>
      </c>
      <c r="I30" s="15" t="str">
        <f>IF($B30="rec:locatedIn","Excluded - location varies by unit",IF(AND(MIN(D30:H30)=MAX(D30:H30),MAX(D30:H30)=1),"OK",IF(MIN(D30:H30)=0,"Not on all units","Duplicated")))</f>
        <v>OK</v>
      </c>
    </row>
    <row r="31" spans="1:10" x14ac:dyDescent="0.3">
      <c r="A31" s="13" t="s">
        <v>4745</v>
      </c>
      <c r="B31" s="14" t="s">
        <v>280</v>
      </c>
      <c r="C31" s="14" t="s">
        <v>4768</v>
      </c>
      <c r="D31" s="19">
        <f>COUNTIFS(SSC_Ontology_Ver0.5!$A$128:$A$773,SUBSTITUTE($A31,"AHUB{N}",D$22),SSC_Ontology_Ver0.5!$C$128:$C$773,$B31,SSC_Ontology_Ver0.5!$D$128:$D$773,SUBSTITUTE($C31,"AHUB{N}",D$22))</f>
        <v>1</v>
      </c>
      <c r="E31" s="19">
        <f>COUNTIFS(SSC_Ontology_Ver0.5!$A$128:$A$773,SUBSTITUTE($A31,"AHUB{N}",E$22),SSC_Ontology_Ver0.5!$C$128:$C$773,$B31,SSC_Ontology_Ver0.5!$D$128:$D$773,SUBSTITUTE($C31,"AHUB{N}",E$22))</f>
        <v>1</v>
      </c>
      <c r="F31" s="19">
        <f>COUNTIFS(SSC_Ontology_Ver0.5!$A$128:$A$773,SUBSTITUTE($A31,"AHUB{N}",F$22),SSC_Ontology_Ver0.5!$C$128:$C$773,$B31,SSC_Ontology_Ver0.5!$D$128:$D$773,SUBSTITUTE($C31,"AHUB{N}",F$22))</f>
        <v>1</v>
      </c>
      <c r="G31" s="19">
        <f>COUNTIFS(SSC_Ontology_Ver0.5!$A$128:$A$773,SUBSTITUTE($A31,"AHUB{N}",G$22),SSC_Ontology_Ver0.5!$C$128:$C$773,$B31,SSC_Ontology_Ver0.5!$D$128:$D$773,SUBSTITUTE($C31,"AHUB{N}",G$22))</f>
        <v>1</v>
      </c>
      <c r="H31" s="19">
        <f>COUNTIFS(SSC_Ontology_Ver0.5!$A$128:$A$773,SUBSTITUTE($A31,"AHUB{N}",H$22),SSC_Ontology_Ver0.5!$C$128:$C$773,$B31,SSC_Ontology_Ver0.5!$D$128:$D$773,SUBSTITUTE($C31,"AHUB{N}",H$22))</f>
        <v>1</v>
      </c>
      <c r="I31" s="15" t="str">
        <f>IF($B31="rec:locatedIn","Excluded - location varies by unit",IF(AND(MIN(D31:H31)=MAX(D31:H31),MAX(D31:H31)=1),"OK",IF(MIN(D31:H31)=0,"Not on all units","Duplicated")))</f>
        <v>OK</v>
      </c>
    </row>
    <row r="32" spans="1:10" x14ac:dyDescent="0.3">
      <c r="A32" s="13" t="s">
        <v>4745</v>
      </c>
      <c r="B32" s="14" t="s">
        <v>308</v>
      </c>
      <c r="C32" s="14" t="s">
        <v>4769</v>
      </c>
      <c r="D32" s="19">
        <f>COUNTIFS(SSC_Ontology_Ver0.5!$A$128:$A$773,SUBSTITUTE($A32,"AHUB{N}",D$22),SSC_Ontology_Ver0.5!$C$128:$C$773,$B32,SSC_Ontology_Ver0.5!$D$128:$D$773,SUBSTITUTE($C32,"AHUB{N}",D$22))</f>
        <v>1</v>
      </c>
      <c r="E32" s="19">
        <f>COUNTIFS(SSC_Ontology_Ver0.5!$A$128:$A$773,SUBSTITUTE($A32,"AHUB{N}",E$22),SSC_Ontology_Ver0.5!$C$128:$C$773,$B32,SSC_Ontology_Ver0.5!$D$128:$D$773,SUBSTITUTE($C32,"AHUB{N}",E$22))</f>
        <v>1</v>
      </c>
      <c r="F32" s="19">
        <f>COUNTIFS(SSC_Ontology_Ver0.5!$A$128:$A$773,SUBSTITUTE($A32,"AHUB{N}",F$22),SSC_Ontology_Ver0.5!$C$128:$C$773,$B32,SSC_Ontology_Ver0.5!$D$128:$D$773,SUBSTITUTE($C32,"AHUB{N}",F$22))</f>
        <v>1</v>
      </c>
      <c r="G32" s="19">
        <f>COUNTIFS(SSC_Ontology_Ver0.5!$A$128:$A$773,SUBSTITUTE($A32,"AHUB{N}",G$22),SSC_Ontology_Ver0.5!$C$128:$C$773,$B32,SSC_Ontology_Ver0.5!$D$128:$D$773,SUBSTITUTE($C32,"AHUB{N}",G$22))</f>
        <v>1</v>
      </c>
      <c r="H32" s="19">
        <f>COUNTIFS(SSC_Ontology_Ver0.5!$A$128:$A$773,SUBSTITUTE($A32,"AHUB{N}",H$22),SSC_Ontology_Ver0.5!$C$128:$C$773,$B32,SSC_Ontology_Ver0.5!$D$128:$D$773,SUBSTITUTE($C32,"AHUB{N}",H$22))</f>
        <v>1</v>
      </c>
      <c r="I32" s="15" t="str">
        <f>IF($B32="rec:locatedIn","Excluded - location varies by unit",IF(AND(MIN(D32:H32)=MAX(D32:H32),MAX(D32:H32)=1),"OK",IF(MIN(D32:H32)=0,"Not on all units","Duplicated")))</f>
        <v>OK</v>
      </c>
    </row>
    <row r="33" spans="1:9" x14ac:dyDescent="0.3">
      <c r="A33" s="13" t="s">
        <v>4745</v>
      </c>
      <c r="B33" s="14" t="s">
        <v>308</v>
      </c>
      <c r="C33" s="14" t="s">
        <v>4770</v>
      </c>
      <c r="D33" s="19">
        <f>COUNTIFS(SSC_Ontology_Ver0.5!$A$128:$A$773,SUBSTITUTE($A33,"AHUB{N}",D$22),SSC_Ontology_Ver0.5!$C$128:$C$773,$B33,SSC_Ontology_Ver0.5!$D$128:$D$773,SUBSTITUTE($C33,"AHUB{N}",D$22))</f>
        <v>1</v>
      </c>
      <c r="E33" s="19">
        <f>COUNTIFS(SSC_Ontology_Ver0.5!$A$128:$A$773,SUBSTITUTE($A33,"AHUB{N}",E$22),SSC_Ontology_Ver0.5!$C$128:$C$773,$B33,SSC_Ontology_Ver0.5!$D$128:$D$773,SUBSTITUTE($C33,"AHUB{N}",E$22))</f>
        <v>1</v>
      </c>
      <c r="F33" s="19">
        <f>COUNTIFS(SSC_Ontology_Ver0.5!$A$128:$A$773,SUBSTITUTE($A33,"AHUB{N}",F$22),SSC_Ontology_Ver0.5!$C$128:$C$773,$B33,SSC_Ontology_Ver0.5!$D$128:$D$773,SUBSTITUTE($C33,"AHUB{N}",F$22))</f>
        <v>1</v>
      </c>
      <c r="G33" s="19">
        <f>COUNTIFS(SSC_Ontology_Ver0.5!$A$128:$A$773,SUBSTITUTE($A33,"AHUB{N}",G$22),SSC_Ontology_Ver0.5!$C$128:$C$773,$B33,SSC_Ontology_Ver0.5!$D$128:$D$773,SUBSTITUTE($C33,"AHUB{N}",G$22))</f>
        <v>1</v>
      </c>
      <c r="H33" s="19">
        <f>COUNTIFS(SSC_Ontology_Ver0.5!$A$128:$A$773,SUBSTITUTE($A33,"AHUB{N}",H$22),SSC_Ontology_Ver0.5!$C$128:$C$773,$B33,SSC_Ontology_Ver0.5!$D$128:$D$773,SUBSTITUTE($C33,"AHUB{N}",H$22))</f>
        <v>1</v>
      </c>
      <c r="I33" s="15" t="str">
        <f>IF($B33="rec:locatedIn","Excluded - location varies by unit",IF(AND(MIN(D33:H33)=MAX(D33:H33),MAX(D33:H33)=1),"OK",IF(MIN(D33:H33)=0,"Not on all units","Duplicated")))</f>
        <v>OK</v>
      </c>
    </row>
    <row r="34" spans="1:9" x14ac:dyDescent="0.3">
      <c r="A34" s="13" t="s">
        <v>4745</v>
      </c>
      <c r="B34" s="14" t="s">
        <v>308</v>
      </c>
      <c r="C34" s="14" t="s">
        <v>4771</v>
      </c>
      <c r="D34" s="19">
        <f>COUNTIFS(SSC_Ontology_Ver0.5!$A$128:$A$773,SUBSTITUTE($A34,"AHUB{N}",D$22),SSC_Ontology_Ver0.5!$C$128:$C$773,$B34,SSC_Ontology_Ver0.5!$D$128:$D$773,SUBSTITUTE($C34,"AHUB{N}",D$22))</f>
        <v>1</v>
      </c>
      <c r="E34" s="19">
        <f>COUNTIFS(SSC_Ontology_Ver0.5!$A$128:$A$773,SUBSTITUTE($A34,"AHUB{N}",E$22),SSC_Ontology_Ver0.5!$C$128:$C$773,$B34,SSC_Ontology_Ver0.5!$D$128:$D$773,SUBSTITUTE($C34,"AHUB{N}",E$22))</f>
        <v>1</v>
      </c>
      <c r="F34" s="19">
        <f>COUNTIFS(SSC_Ontology_Ver0.5!$A$128:$A$773,SUBSTITUTE($A34,"AHUB{N}",F$22),SSC_Ontology_Ver0.5!$C$128:$C$773,$B34,SSC_Ontology_Ver0.5!$D$128:$D$773,SUBSTITUTE($C34,"AHUB{N}",F$22))</f>
        <v>1</v>
      </c>
      <c r="G34" s="19">
        <f>COUNTIFS(SSC_Ontology_Ver0.5!$A$128:$A$773,SUBSTITUTE($A34,"AHUB{N}",G$22),SSC_Ontology_Ver0.5!$C$128:$C$773,$B34,SSC_Ontology_Ver0.5!$D$128:$D$773,SUBSTITUTE($C34,"AHUB{N}",G$22))</f>
        <v>1</v>
      </c>
      <c r="H34" s="19">
        <f>COUNTIFS(SSC_Ontology_Ver0.5!$A$128:$A$773,SUBSTITUTE($A34,"AHUB{N}",H$22),SSC_Ontology_Ver0.5!$C$128:$C$773,$B34,SSC_Ontology_Ver0.5!$D$128:$D$773,SUBSTITUTE($C34,"AHUB{N}",H$22))</f>
        <v>1</v>
      </c>
      <c r="I34" s="15" t="str">
        <f>IF($B34="rec:locatedIn","Excluded - location varies by unit",IF(AND(MIN(D34:H34)=MAX(D34:H34),MAX(D34:H34)=1),"OK",IF(MIN(D34:H34)=0,"Not on all units","Duplicated")))</f>
        <v>OK</v>
      </c>
    </row>
    <row r="35" spans="1:9" x14ac:dyDescent="0.3">
      <c r="A35" s="13" t="s">
        <v>4745</v>
      </c>
      <c r="B35" s="14" t="s">
        <v>308</v>
      </c>
      <c r="C35" s="14" t="s">
        <v>4772</v>
      </c>
      <c r="D35" s="19">
        <f>COUNTIFS(SSC_Ontology_Ver0.5!$A$128:$A$773,SUBSTITUTE($A35,"AHUB{N}",D$22),SSC_Ontology_Ver0.5!$C$128:$C$773,$B35,SSC_Ontology_Ver0.5!$D$128:$D$773,SUBSTITUTE($C35,"AHUB{N}",D$22))</f>
        <v>1</v>
      </c>
      <c r="E35" s="19">
        <f>COUNTIFS(SSC_Ontology_Ver0.5!$A$128:$A$773,SUBSTITUTE($A35,"AHUB{N}",E$22),SSC_Ontology_Ver0.5!$C$128:$C$773,$B35,SSC_Ontology_Ver0.5!$D$128:$D$773,SUBSTITUTE($C35,"AHUB{N}",E$22))</f>
        <v>1</v>
      </c>
      <c r="F35" s="19">
        <f>COUNTIFS(SSC_Ontology_Ver0.5!$A$128:$A$773,SUBSTITUTE($A35,"AHUB{N}",F$22),SSC_Ontology_Ver0.5!$C$128:$C$773,$B35,SSC_Ontology_Ver0.5!$D$128:$D$773,SUBSTITUTE($C35,"AHUB{N}",F$22))</f>
        <v>1</v>
      </c>
      <c r="G35" s="19">
        <f>COUNTIFS(SSC_Ontology_Ver0.5!$A$128:$A$773,SUBSTITUTE($A35,"AHUB{N}",G$22),SSC_Ontology_Ver0.5!$C$128:$C$773,$B35,SSC_Ontology_Ver0.5!$D$128:$D$773,SUBSTITUTE($C35,"AHUB{N}",G$22))</f>
        <v>1</v>
      </c>
      <c r="H35" s="19">
        <f>COUNTIFS(SSC_Ontology_Ver0.5!$A$128:$A$773,SUBSTITUTE($A35,"AHUB{N}",H$22),SSC_Ontology_Ver0.5!$C$128:$C$773,$B35,SSC_Ontology_Ver0.5!$D$128:$D$773,SUBSTITUTE($C35,"AHUB{N}",H$22))</f>
        <v>1</v>
      </c>
      <c r="I35" s="15" t="str">
        <f>IF($B35="rec:locatedIn","Excluded - location varies by unit",IF(AND(MIN(D35:H35)=MAX(D35:H35),MAX(D35:H35)=1),"OK",IF(MIN(D35:H35)=0,"Not on all units","Duplicated")))</f>
        <v>OK</v>
      </c>
    </row>
    <row r="36" spans="1:9" x14ac:dyDescent="0.3">
      <c r="A36" s="13" t="s">
        <v>4745</v>
      </c>
      <c r="B36" s="14" t="s">
        <v>308</v>
      </c>
      <c r="C36" s="14" t="s">
        <v>4773</v>
      </c>
      <c r="D36" s="19">
        <f>COUNTIFS(SSC_Ontology_Ver0.5!$A$128:$A$773,SUBSTITUTE($A36,"AHUB{N}",D$22),SSC_Ontology_Ver0.5!$C$128:$C$773,$B36,SSC_Ontology_Ver0.5!$D$128:$D$773,SUBSTITUTE($C36,"AHUB{N}",D$22))</f>
        <v>1</v>
      </c>
      <c r="E36" s="19">
        <f>COUNTIFS(SSC_Ontology_Ver0.5!$A$128:$A$773,SUBSTITUTE($A36,"AHUB{N}",E$22),SSC_Ontology_Ver0.5!$C$128:$C$773,$B36,SSC_Ontology_Ver0.5!$D$128:$D$773,SUBSTITUTE($C36,"AHUB{N}",E$22))</f>
        <v>1</v>
      </c>
      <c r="F36" s="19">
        <f>COUNTIFS(SSC_Ontology_Ver0.5!$A$128:$A$773,SUBSTITUTE($A36,"AHUB{N}",F$22),SSC_Ontology_Ver0.5!$C$128:$C$773,$B36,SSC_Ontology_Ver0.5!$D$128:$D$773,SUBSTITUTE($C36,"AHUB{N}",F$22))</f>
        <v>1</v>
      </c>
      <c r="G36" s="19">
        <f>COUNTIFS(SSC_Ontology_Ver0.5!$A$128:$A$773,SUBSTITUTE($A36,"AHUB{N}",G$22),SSC_Ontology_Ver0.5!$C$128:$C$773,$B36,SSC_Ontology_Ver0.5!$D$128:$D$773,SUBSTITUTE($C36,"AHUB{N}",G$22))</f>
        <v>1</v>
      </c>
      <c r="H36" s="19">
        <f>COUNTIFS(SSC_Ontology_Ver0.5!$A$128:$A$773,SUBSTITUTE($A36,"AHUB{N}",H$22),SSC_Ontology_Ver0.5!$C$128:$C$773,$B36,SSC_Ontology_Ver0.5!$D$128:$D$773,SUBSTITUTE($C36,"AHUB{N}",H$22))</f>
        <v>1</v>
      </c>
      <c r="I36" s="15" t="str">
        <f>IF($B36="rec:locatedIn","Excluded - location varies by unit",IF(AND(MIN(D36:H36)=MAX(D36:H36),MAX(D36:H36)=1),"OK",IF(MIN(D36:H36)=0,"Not on all units","Duplicated")))</f>
        <v>OK</v>
      </c>
    </row>
    <row r="37" spans="1:9" x14ac:dyDescent="0.3">
      <c r="A37" s="13" t="s">
        <v>4745</v>
      </c>
      <c r="B37" s="14" t="s">
        <v>308</v>
      </c>
      <c r="C37" s="14" t="s">
        <v>4774</v>
      </c>
      <c r="D37" s="19">
        <f>COUNTIFS(SSC_Ontology_Ver0.5!$A$128:$A$773,SUBSTITUTE($A37,"AHUB{N}",D$22),SSC_Ontology_Ver0.5!$C$128:$C$773,$B37,SSC_Ontology_Ver0.5!$D$128:$D$773,SUBSTITUTE($C37,"AHUB{N}",D$22))</f>
        <v>1</v>
      </c>
      <c r="E37" s="19">
        <f>COUNTIFS(SSC_Ontology_Ver0.5!$A$128:$A$773,SUBSTITUTE($A37,"AHUB{N}",E$22),SSC_Ontology_Ver0.5!$C$128:$C$773,$B37,SSC_Ontology_Ver0.5!$D$128:$D$773,SUBSTITUTE($C37,"AHUB{N}",E$22))</f>
        <v>1</v>
      </c>
      <c r="F37" s="19">
        <f>COUNTIFS(SSC_Ontology_Ver0.5!$A$128:$A$773,SUBSTITUTE($A37,"AHUB{N}",F$22),SSC_Ontology_Ver0.5!$C$128:$C$773,$B37,SSC_Ontology_Ver0.5!$D$128:$D$773,SUBSTITUTE($C37,"AHUB{N}",F$22))</f>
        <v>1</v>
      </c>
      <c r="G37" s="19">
        <f>COUNTIFS(SSC_Ontology_Ver0.5!$A$128:$A$773,SUBSTITUTE($A37,"AHUB{N}",G$22),SSC_Ontology_Ver0.5!$C$128:$C$773,$B37,SSC_Ontology_Ver0.5!$D$128:$D$773,SUBSTITUTE($C37,"AHUB{N}",G$22))</f>
        <v>1</v>
      </c>
      <c r="H37" s="19">
        <f>COUNTIFS(SSC_Ontology_Ver0.5!$A$128:$A$773,SUBSTITUTE($A37,"AHUB{N}",H$22),SSC_Ontology_Ver0.5!$C$128:$C$773,$B37,SSC_Ontology_Ver0.5!$D$128:$D$773,SUBSTITUTE($C37,"AHUB{N}",H$22))</f>
        <v>1</v>
      </c>
      <c r="I37" s="15" t="str">
        <f>IF($B37="rec:locatedIn","Excluded - location varies by unit",IF(AND(MIN(D37:H37)=MAX(D37:H37),MAX(D37:H37)=1),"OK",IF(MIN(D37:H37)=0,"Not on all units","Duplicated")))</f>
        <v>OK</v>
      </c>
    </row>
    <row r="38" spans="1:9" x14ac:dyDescent="0.3">
      <c r="A38" s="13" t="s">
        <v>4745</v>
      </c>
      <c r="B38" s="14" t="s">
        <v>308</v>
      </c>
      <c r="C38" s="14" t="s">
        <v>4775</v>
      </c>
      <c r="D38" s="19">
        <f>COUNTIFS(SSC_Ontology_Ver0.5!$A$128:$A$773,SUBSTITUTE($A38,"AHUB{N}",D$22),SSC_Ontology_Ver0.5!$C$128:$C$773,$B38,SSC_Ontology_Ver0.5!$D$128:$D$773,SUBSTITUTE($C38,"AHUB{N}",D$22))</f>
        <v>1</v>
      </c>
      <c r="E38" s="19">
        <f>COUNTIFS(SSC_Ontology_Ver0.5!$A$128:$A$773,SUBSTITUTE($A38,"AHUB{N}",E$22),SSC_Ontology_Ver0.5!$C$128:$C$773,$B38,SSC_Ontology_Ver0.5!$D$128:$D$773,SUBSTITUTE($C38,"AHUB{N}",E$22))</f>
        <v>1</v>
      </c>
      <c r="F38" s="19">
        <f>COUNTIFS(SSC_Ontology_Ver0.5!$A$128:$A$773,SUBSTITUTE($A38,"AHUB{N}",F$22),SSC_Ontology_Ver0.5!$C$128:$C$773,$B38,SSC_Ontology_Ver0.5!$D$128:$D$773,SUBSTITUTE($C38,"AHUB{N}",F$22))</f>
        <v>1</v>
      </c>
      <c r="G38" s="19">
        <f>COUNTIFS(SSC_Ontology_Ver0.5!$A$128:$A$773,SUBSTITUTE($A38,"AHUB{N}",G$22),SSC_Ontology_Ver0.5!$C$128:$C$773,$B38,SSC_Ontology_Ver0.5!$D$128:$D$773,SUBSTITUTE($C38,"AHUB{N}",G$22))</f>
        <v>1</v>
      </c>
      <c r="H38" s="19">
        <f>COUNTIFS(SSC_Ontology_Ver0.5!$A$128:$A$773,SUBSTITUTE($A38,"AHUB{N}",H$22),SSC_Ontology_Ver0.5!$C$128:$C$773,$B38,SSC_Ontology_Ver0.5!$D$128:$D$773,SUBSTITUTE($C38,"AHUB{N}",H$22))</f>
        <v>1</v>
      </c>
      <c r="I38" s="15" t="str">
        <f>IF($B38="rec:locatedIn","Excluded - location varies by unit",IF(AND(MIN(D38:H38)=MAX(D38:H38),MAX(D38:H38)=1),"OK",IF(MIN(D38:H38)=0,"Not on all units","Duplicated")))</f>
        <v>OK</v>
      </c>
    </row>
    <row r="39" spans="1:9" x14ac:dyDescent="0.3">
      <c r="A39" s="13" t="s">
        <v>4745</v>
      </c>
      <c r="B39" s="14" t="s">
        <v>308</v>
      </c>
      <c r="C39" s="14" t="s">
        <v>4776</v>
      </c>
      <c r="D39" s="19">
        <f>COUNTIFS(SSC_Ontology_Ver0.5!$A$128:$A$773,SUBSTITUTE($A39,"AHUB{N}",D$22),SSC_Ontology_Ver0.5!$C$128:$C$773,$B39,SSC_Ontology_Ver0.5!$D$128:$D$773,SUBSTITUTE($C39,"AHUB{N}",D$22))</f>
        <v>1</v>
      </c>
      <c r="E39" s="19">
        <f>COUNTIFS(SSC_Ontology_Ver0.5!$A$128:$A$773,SUBSTITUTE($A39,"AHUB{N}",E$22),SSC_Ontology_Ver0.5!$C$128:$C$773,$B39,SSC_Ontology_Ver0.5!$D$128:$D$773,SUBSTITUTE($C39,"AHUB{N}",E$22))</f>
        <v>1</v>
      </c>
      <c r="F39" s="19">
        <f>COUNTIFS(SSC_Ontology_Ver0.5!$A$128:$A$773,SUBSTITUTE($A39,"AHUB{N}",F$22),SSC_Ontology_Ver0.5!$C$128:$C$773,$B39,SSC_Ontology_Ver0.5!$D$128:$D$773,SUBSTITUTE($C39,"AHUB{N}",F$22))</f>
        <v>1</v>
      </c>
      <c r="G39" s="19">
        <f>COUNTIFS(SSC_Ontology_Ver0.5!$A$128:$A$773,SUBSTITUTE($A39,"AHUB{N}",G$22),SSC_Ontology_Ver0.5!$C$128:$C$773,$B39,SSC_Ontology_Ver0.5!$D$128:$D$773,SUBSTITUTE($C39,"AHUB{N}",G$22))</f>
        <v>1</v>
      </c>
      <c r="H39" s="19">
        <f>COUNTIFS(SSC_Ontology_Ver0.5!$A$128:$A$773,SUBSTITUTE($A39,"AHUB{N}",H$22),SSC_Ontology_Ver0.5!$C$128:$C$773,$B39,SSC_Ontology_Ver0.5!$D$128:$D$773,SUBSTITUTE($C39,"AHUB{N}",H$22))</f>
        <v>1</v>
      </c>
      <c r="I39" s="15" t="str">
        <f>IF($B39="rec:locatedIn","Excluded - location varies by unit",IF(AND(MIN(D39:H39)=MAX(D39:H39),MAX(D39:H39)=1),"OK",IF(MIN(D39:H39)=0,"Not on all units","Duplicated")))</f>
        <v>OK</v>
      </c>
    </row>
    <row r="40" spans="1:9" x14ac:dyDescent="0.3">
      <c r="A40" s="13" t="s">
        <v>4745</v>
      </c>
      <c r="B40" s="14" t="s">
        <v>308</v>
      </c>
      <c r="C40" s="14" t="s">
        <v>4777</v>
      </c>
      <c r="D40" s="19">
        <f>COUNTIFS(SSC_Ontology_Ver0.5!$A$128:$A$773,SUBSTITUTE($A40,"AHUB{N}",D$22),SSC_Ontology_Ver0.5!$C$128:$C$773,$B40,SSC_Ontology_Ver0.5!$D$128:$D$773,SUBSTITUTE($C40,"AHUB{N}",D$22))</f>
        <v>1</v>
      </c>
      <c r="E40" s="19">
        <f>COUNTIFS(SSC_Ontology_Ver0.5!$A$128:$A$773,SUBSTITUTE($A40,"AHUB{N}",E$22),SSC_Ontology_Ver0.5!$C$128:$C$773,$B40,SSC_Ontology_Ver0.5!$D$128:$D$773,SUBSTITUTE($C40,"AHUB{N}",E$22))</f>
        <v>1</v>
      </c>
      <c r="F40" s="19">
        <f>COUNTIFS(SSC_Ontology_Ver0.5!$A$128:$A$773,SUBSTITUTE($A40,"AHUB{N}",F$22),SSC_Ontology_Ver0.5!$C$128:$C$773,$B40,SSC_Ontology_Ver0.5!$D$128:$D$773,SUBSTITUTE($C40,"AHUB{N}",F$22))</f>
        <v>1</v>
      </c>
      <c r="G40" s="19">
        <f>COUNTIFS(SSC_Ontology_Ver0.5!$A$128:$A$773,SUBSTITUTE($A40,"AHUB{N}",G$22),SSC_Ontology_Ver0.5!$C$128:$C$773,$B40,SSC_Ontology_Ver0.5!$D$128:$D$773,SUBSTITUTE($C40,"AHUB{N}",G$22))</f>
        <v>1</v>
      </c>
      <c r="H40" s="19">
        <f>COUNTIFS(SSC_Ontology_Ver0.5!$A$128:$A$773,SUBSTITUTE($A40,"AHUB{N}",H$22),SSC_Ontology_Ver0.5!$C$128:$C$773,$B40,SSC_Ontology_Ver0.5!$D$128:$D$773,SUBSTITUTE($C40,"AHUB{N}",H$22))</f>
        <v>1</v>
      </c>
      <c r="I40" s="15" t="str">
        <f>IF($B40="rec:locatedIn","Excluded - location varies by unit",IF(AND(MIN(D40:H40)=MAX(D40:H40),MAX(D40:H40)=1),"OK",IF(MIN(D40:H40)=0,"Not on all units","Duplicated")))</f>
        <v>OK</v>
      </c>
    </row>
    <row r="41" spans="1:9" x14ac:dyDescent="0.3">
      <c r="A41" s="13" t="s">
        <v>4745</v>
      </c>
      <c r="B41" s="14" t="s">
        <v>308</v>
      </c>
      <c r="C41" s="14" t="s">
        <v>4778</v>
      </c>
      <c r="D41" s="19">
        <f>COUNTIFS(SSC_Ontology_Ver0.5!$A$128:$A$773,SUBSTITUTE($A41,"AHUB{N}",D$22),SSC_Ontology_Ver0.5!$C$128:$C$773,$B41,SSC_Ontology_Ver0.5!$D$128:$D$773,SUBSTITUTE($C41,"AHUB{N}",D$22))</f>
        <v>1</v>
      </c>
      <c r="E41" s="19">
        <f>COUNTIFS(SSC_Ontology_Ver0.5!$A$128:$A$773,SUBSTITUTE($A41,"AHUB{N}",E$22),SSC_Ontology_Ver0.5!$C$128:$C$773,$B41,SSC_Ontology_Ver0.5!$D$128:$D$773,SUBSTITUTE($C41,"AHUB{N}",E$22))</f>
        <v>1</v>
      </c>
      <c r="F41" s="19">
        <f>COUNTIFS(SSC_Ontology_Ver0.5!$A$128:$A$773,SUBSTITUTE($A41,"AHUB{N}",F$22),SSC_Ontology_Ver0.5!$C$128:$C$773,$B41,SSC_Ontology_Ver0.5!$D$128:$D$773,SUBSTITUTE($C41,"AHUB{N}",F$22))</f>
        <v>1</v>
      </c>
      <c r="G41" s="19">
        <f>COUNTIFS(SSC_Ontology_Ver0.5!$A$128:$A$773,SUBSTITUTE($A41,"AHUB{N}",G$22),SSC_Ontology_Ver0.5!$C$128:$C$773,$B41,SSC_Ontology_Ver0.5!$D$128:$D$773,SUBSTITUTE($C41,"AHUB{N}",G$22))</f>
        <v>1</v>
      </c>
      <c r="H41" s="19">
        <f>COUNTIFS(SSC_Ontology_Ver0.5!$A$128:$A$773,SUBSTITUTE($A41,"AHUB{N}",H$22),SSC_Ontology_Ver0.5!$C$128:$C$773,$B41,SSC_Ontology_Ver0.5!$D$128:$D$773,SUBSTITUTE($C41,"AHUB{N}",H$22))</f>
        <v>1</v>
      </c>
      <c r="I41" s="15" t="str">
        <f>IF($B41="rec:locatedIn","Excluded - location varies by unit",IF(AND(MIN(D41:H41)=MAX(D41:H41),MAX(D41:H41)=1),"OK",IF(MIN(D41:H41)=0,"Not on all units","Duplicated")))</f>
        <v>OK</v>
      </c>
    </row>
    <row r="42" spans="1:9" x14ac:dyDescent="0.3">
      <c r="A42" s="13" t="s">
        <v>4745</v>
      </c>
      <c r="B42" s="14" t="s">
        <v>308</v>
      </c>
      <c r="C42" s="14" t="s">
        <v>4779</v>
      </c>
      <c r="D42" s="19">
        <f>COUNTIFS(SSC_Ontology_Ver0.5!$A$128:$A$773,SUBSTITUTE($A42,"AHUB{N}",D$22),SSC_Ontology_Ver0.5!$C$128:$C$773,$B42,SSC_Ontology_Ver0.5!$D$128:$D$773,SUBSTITUTE($C42,"AHUB{N}",D$22))</f>
        <v>1</v>
      </c>
      <c r="E42" s="19">
        <f>COUNTIFS(SSC_Ontology_Ver0.5!$A$128:$A$773,SUBSTITUTE($A42,"AHUB{N}",E$22),SSC_Ontology_Ver0.5!$C$128:$C$773,$B42,SSC_Ontology_Ver0.5!$D$128:$D$773,SUBSTITUTE($C42,"AHUB{N}",E$22))</f>
        <v>1</v>
      </c>
      <c r="F42" s="19">
        <f>COUNTIFS(SSC_Ontology_Ver0.5!$A$128:$A$773,SUBSTITUTE($A42,"AHUB{N}",F$22),SSC_Ontology_Ver0.5!$C$128:$C$773,$B42,SSC_Ontology_Ver0.5!$D$128:$D$773,SUBSTITUTE($C42,"AHUB{N}",F$22))</f>
        <v>1</v>
      </c>
      <c r="G42" s="19">
        <f>COUNTIFS(SSC_Ontology_Ver0.5!$A$128:$A$773,SUBSTITUTE($A42,"AHUB{N}",G$22),SSC_Ontology_Ver0.5!$C$128:$C$773,$B42,SSC_Ontology_Ver0.5!$D$128:$D$773,SUBSTITUTE($C42,"AHUB{N}",G$22))</f>
        <v>1</v>
      </c>
      <c r="H42" s="19">
        <f>COUNTIFS(SSC_Ontology_Ver0.5!$A$128:$A$773,SUBSTITUTE($A42,"AHUB{N}",H$22),SSC_Ontology_Ver0.5!$C$128:$C$773,$B42,SSC_Ontology_Ver0.5!$D$128:$D$773,SUBSTITUTE($C42,"AHUB{N}",H$22))</f>
        <v>1</v>
      </c>
      <c r="I42" s="15" t="str">
        <f>IF($B42="rec:locatedIn","Excluded - location varies by unit",IF(AND(MIN(D42:H42)=MAX(D42:H42),MAX(D42:H42)=1),"OK",IF(MIN(D42:H42)=0,"Not on all units","Duplicated")))</f>
        <v>OK</v>
      </c>
    </row>
    <row r="43" spans="1:9" x14ac:dyDescent="0.3">
      <c r="A43" s="13" t="s">
        <v>4745</v>
      </c>
      <c r="B43" s="14" t="s">
        <v>308</v>
      </c>
      <c r="C43" s="14" t="s">
        <v>4780</v>
      </c>
      <c r="D43" s="19">
        <f>COUNTIFS(SSC_Ontology_Ver0.5!$A$128:$A$773,SUBSTITUTE($A43,"AHUB{N}",D$22),SSC_Ontology_Ver0.5!$C$128:$C$773,$B43,SSC_Ontology_Ver0.5!$D$128:$D$773,SUBSTITUTE($C43,"AHUB{N}",D$22))</f>
        <v>1</v>
      </c>
      <c r="E43" s="19">
        <f>COUNTIFS(SSC_Ontology_Ver0.5!$A$128:$A$773,SUBSTITUTE($A43,"AHUB{N}",E$22),SSC_Ontology_Ver0.5!$C$128:$C$773,$B43,SSC_Ontology_Ver0.5!$D$128:$D$773,SUBSTITUTE($C43,"AHUB{N}",E$22))</f>
        <v>1</v>
      </c>
      <c r="F43" s="19">
        <f>COUNTIFS(SSC_Ontology_Ver0.5!$A$128:$A$773,SUBSTITUTE($A43,"AHUB{N}",F$22),SSC_Ontology_Ver0.5!$C$128:$C$773,$B43,SSC_Ontology_Ver0.5!$D$128:$D$773,SUBSTITUTE($C43,"AHUB{N}",F$22))</f>
        <v>1</v>
      </c>
      <c r="G43" s="19">
        <f>COUNTIFS(SSC_Ontology_Ver0.5!$A$128:$A$773,SUBSTITUTE($A43,"AHUB{N}",G$22),SSC_Ontology_Ver0.5!$C$128:$C$773,$B43,SSC_Ontology_Ver0.5!$D$128:$D$773,SUBSTITUTE($C43,"AHUB{N}",G$22))</f>
        <v>1</v>
      </c>
      <c r="H43" s="19">
        <f>COUNTIFS(SSC_Ontology_Ver0.5!$A$128:$A$773,SUBSTITUTE($A43,"AHUB{N}",H$22),SSC_Ontology_Ver0.5!$C$128:$C$773,$B43,SSC_Ontology_Ver0.5!$D$128:$D$773,SUBSTITUTE($C43,"AHUB{N}",H$22))</f>
        <v>1</v>
      </c>
      <c r="I43" s="15" t="str">
        <f>IF($B43="rec:locatedIn","Excluded - location varies by unit",IF(AND(MIN(D43:H43)=MAX(D43:H43),MAX(D43:H43)=1),"OK",IF(MIN(D43:H43)=0,"Not on all units","Duplicated")))</f>
        <v>OK</v>
      </c>
    </row>
    <row r="44" spans="1:9" x14ac:dyDescent="0.3">
      <c r="A44" s="13" t="s">
        <v>4745</v>
      </c>
      <c r="B44" s="14" t="s">
        <v>308</v>
      </c>
      <c r="C44" s="14" t="s">
        <v>4746</v>
      </c>
      <c r="D44" s="19">
        <f>COUNTIFS(SSC_Ontology_Ver0.5!$A$128:$A$773,SUBSTITUTE($A44,"AHUB{N}",D$22),SSC_Ontology_Ver0.5!$C$128:$C$773,$B44,SSC_Ontology_Ver0.5!$D$128:$D$773,SUBSTITUTE($C44,"AHUB{N}",D$22))</f>
        <v>1</v>
      </c>
      <c r="E44" s="19">
        <f>COUNTIFS(SSC_Ontology_Ver0.5!$A$128:$A$773,SUBSTITUTE($A44,"AHUB{N}",E$22),SSC_Ontology_Ver0.5!$C$128:$C$773,$B44,SSC_Ontology_Ver0.5!$D$128:$D$773,SUBSTITUTE($C44,"AHUB{N}",E$22))</f>
        <v>1</v>
      </c>
      <c r="F44" s="19">
        <f>COUNTIFS(SSC_Ontology_Ver0.5!$A$128:$A$773,SUBSTITUTE($A44,"AHUB{N}",F$22),SSC_Ontology_Ver0.5!$C$128:$C$773,$B44,SSC_Ontology_Ver0.5!$D$128:$D$773,SUBSTITUTE($C44,"AHUB{N}",F$22))</f>
        <v>0</v>
      </c>
      <c r="G44" s="19">
        <f>COUNTIFS(SSC_Ontology_Ver0.5!$A$128:$A$773,SUBSTITUTE($A44,"AHUB{N}",G$22),SSC_Ontology_Ver0.5!$C$128:$C$773,$B44,SSC_Ontology_Ver0.5!$D$128:$D$773,SUBSTITUTE($C44,"AHUB{N}",G$22))</f>
        <v>1</v>
      </c>
      <c r="H44" s="19">
        <f>COUNTIFS(SSC_Ontology_Ver0.5!$A$128:$A$773,SUBSTITUTE($A44,"AHUB{N}",H$22),SSC_Ontology_Ver0.5!$C$128:$C$773,$B44,SSC_Ontology_Ver0.5!$D$128:$D$773,SUBSTITUTE($C44,"AHUB{N}",H$22))</f>
        <v>0</v>
      </c>
      <c r="I44" s="15" t="str">
        <f>IF($B44="rec:locatedIn","Excluded - location varies by unit",IF(AND(MIN(D44:H44)=MAX(D44:H44),MAX(D44:H44)=1),"OK",IF(MIN(D44:H44)=0,"Not on all units","Duplicated")))</f>
        <v>Not on all units</v>
      </c>
    </row>
    <row r="45" spans="1:9" x14ac:dyDescent="0.3">
      <c r="A45" s="13" t="s">
        <v>4745</v>
      </c>
      <c r="B45" s="14" t="s">
        <v>308</v>
      </c>
      <c r="C45" s="14" t="s">
        <v>4781</v>
      </c>
      <c r="D45" s="19">
        <f>COUNTIFS(SSC_Ontology_Ver0.5!$A$128:$A$773,SUBSTITUTE($A45,"AHUB{N}",D$22),SSC_Ontology_Ver0.5!$C$128:$C$773,$B45,SSC_Ontology_Ver0.5!$D$128:$D$773,SUBSTITUTE($C45,"AHUB{N}",D$22))</f>
        <v>1</v>
      </c>
      <c r="E45" s="19">
        <f>COUNTIFS(SSC_Ontology_Ver0.5!$A$128:$A$773,SUBSTITUTE($A45,"AHUB{N}",E$22),SSC_Ontology_Ver0.5!$C$128:$C$773,$B45,SSC_Ontology_Ver0.5!$D$128:$D$773,SUBSTITUTE($C45,"AHUB{N}",E$22))</f>
        <v>1</v>
      </c>
      <c r="F45" s="19">
        <f>COUNTIFS(SSC_Ontology_Ver0.5!$A$128:$A$773,SUBSTITUTE($A45,"AHUB{N}",F$22),SSC_Ontology_Ver0.5!$C$128:$C$773,$B45,SSC_Ontology_Ver0.5!$D$128:$D$773,SUBSTITUTE($C45,"AHUB{N}",F$22))</f>
        <v>1</v>
      </c>
      <c r="G45" s="19">
        <f>COUNTIFS(SSC_Ontology_Ver0.5!$A$128:$A$773,SUBSTITUTE($A45,"AHUB{N}",G$22),SSC_Ontology_Ver0.5!$C$128:$C$773,$B45,SSC_Ontology_Ver0.5!$D$128:$D$773,SUBSTITUTE($C45,"AHUB{N}",G$22))</f>
        <v>1</v>
      </c>
      <c r="H45" s="19">
        <f>COUNTIFS(SSC_Ontology_Ver0.5!$A$128:$A$773,SUBSTITUTE($A45,"AHUB{N}",H$22),SSC_Ontology_Ver0.5!$C$128:$C$773,$B45,SSC_Ontology_Ver0.5!$D$128:$D$773,SUBSTITUTE($C45,"AHUB{N}",H$22))</f>
        <v>1</v>
      </c>
      <c r="I45" s="15" t="str">
        <f>IF($B45="rec:locatedIn","Excluded - location varies by unit",IF(AND(MIN(D45:H45)=MAX(D45:H45),MAX(D45:H45)=1),"OK",IF(MIN(D45:H45)=0,"Not on all units","Duplicated")))</f>
        <v>OK</v>
      </c>
    </row>
    <row r="46" spans="1:9" x14ac:dyDescent="0.3">
      <c r="A46" s="13" t="s">
        <v>4745</v>
      </c>
      <c r="B46" s="14" t="s">
        <v>308</v>
      </c>
      <c r="C46" s="14" t="s">
        <v>4782</v>
      </c>
      <c r="D46" s="19">
        <f>COUNTIFS(SSC_Ontology_Ver0.5!$A$128:$A$773,SUBSTITUTE($A46,"AHUB{N}",D$22),SSC_Ontology_Ver0.5!$C$128:$C$773,$B46,SSC_Ontology_Ver0.5!$D$128:$D$773,SUBSTITUTE($C46,"AHUB{N}",D$22))</f>
        <v>1</v>
      </c>
      <c r="E46" s="19">
        <f>COUNTIFS(SSC_Ontology_Ver0.5!$A$128:$A$773,SUBSTITUTE($A46,"AHUB{N}",E$22),SSC_Ontology_Ver0.5!$C$128:$C$773,$B46,SSC_Ontology_Ver0.5!$D$128:$D$773,SUBSTITUTE($C46,"AHUB{N}",E$22))</f>
        <v>1</v>
      </c>
      <c r="F46" s="19">
        <f>COUNTIFS(SSC_Ontology_Ver0.5!$A$128:$A$773,SUBSTITUTE($A46,"AHUB{N}",F$22),SSC_Ontology_Ver0.5!$C$128:$C$773,$B46,SSC_Ontology_Ver0.5!$D$128:$D$773,SUBSTITUTE($C46,"AHUB{N}",F$22))</f>
        <v>1</v>
      </c>
      <c r="G46" s="19">
        <f>COUNTIFS(SSC_Ontology_Ver0.5!$A$128:$A$773,SUBSTITUTE($A46,"AHUB{N}",G$22),SSC_Ontology_Ver0.5!$C$128:$C$773,$B46,SSC_Ontology_Ver0.5!$D$128:$D$773,SUBSTITUTE($C46,"AHUB{N}",G$22))</f>
        <v>1</v>
      </c>
      <c r="H46" s="19">
        <f>COUNTIFS(SSC_Ontology_Ver0.5!$A$128:$A$773,SUBSTITUTE($A46,"AHUB{N}",H$22),SSC_Ontology_Ver0.5!$C$128:$C$773,$B46,SSC_Ontology_Ver0.5!$D$128:$D$773,SUBSTITUTE($C46,"AHUB{N}",H$22))</f>
        <v>1</v>
      </c>
      <c r="I46" s="15" t="str">
        <f>IF($B46="rec:locatedIn","Excluded - location varies by unit",IF(AND(MIN(D46:H46)=MAX(D46:H46),MAX(D46:H46)=1),"OK",IF(MIN(D46:H46)=0,"Not on all units","Duplicated")))</f>
        <v>OK</v>
      </c>
    </row>
    <row r="47" spans="1:9" x14ac:dyDescent="0.3">
      <c r="A47" s="13" t="s">
        <v>4745</v>
      </c>
      <c r="B47" s="14" t="s">
        <v>308</v>
      </c>
      <c r="C47" s="14" t="s">
        <v>4783</v>
      </c>
      <c r="D47" s="19">
        <f>COUNTIFS(SSC_Ontology_Ver0.5!$A$128:$A$773,SUBSTITUTE($A47,"AHUB{N}",D$22),SSC_Ontology_Ver0.5!$C$128:$C$773,$B47,SSC_Ontology_Ver0.5!$D$128:$D$773,SUBSTITUTE($C47,"AHUB{N}",D$22))</f>
        <v>1</v>
      </c>
      <c r="E47" s="19">
        <f>COUNTIFS(SSC_Ontology_Ver0.5!$A$128:$A$773,SUBSTITUTE($A47,"AHUB{N}",E$22),SSC_Ontology_Ver0.5!$C$128:$C$773,$B47,SSC_Ontology_Ver0.5!$D$128:$D$773,SUBSTITUTE($C47,"AHUB{N}",E$22))</f>
        <v>1</v>
      </c>
      <c r="F47" s="19">
        <f>COUNTIFS(SSC_Ontology_Ver0.5!$A$128:$A$773,SUBSTITUTE($A47,"AHUB{N}",F$22),SSC_Ontology_Ver0.5!$C$128:$C$773,$B47,SSC_Ontology_Ver0.5!$D$128:$D$773,SUBSTITUTE($C47,"AHUB{N}",F$22))</f>
        <v>1</v>
      </c>
      <c r="G47" s="19">
        <f>COUNTIFS(SSC_Ontology_Ver0.5!$A$128:$A$773,SUBSTITUTE($A47,"AHUB{N}",G$22),SSC_Ontology_Ver0.5!$C$128:$C$773,$B47,SSC_Ontology_Ver0.5!$D$128:$D$773,SUBSTITUTE($C47,"AHUB{N}",G$22))</f>
        <v>1</v>
      </c>
      <c r="H47" s="19">
        <f>COUNTIFS(SSC_Ontology_Ver0.5!$A$128:$A$773,SUBSTITUTE($A47,"AHUB{N}",H$22),SSC_Ontology_Ver0.5!$C$128:$C$773,$B47,SSC_Ontology_Ver0.5!$D$128:$D$773,SUBSTITUTE($C47,"AHUB{N}",H$22))</f>
        <v>1</v>
      </c>
      <c r="I47" s="15" t="str">
        <f>IF($B47="rec:locatedIn","Excluded - location varies by unit",IF(AND(MIN(D47:H47)=MAX(D47:H47),MAX(D47:H47)=1),"OK",IF(MIN(D47:H47)=0,"Not on all units","Duplicated")))</f>
        <v>OK</v>
      </c>
    </row>
    <row r="48" spans="1:9" x14ac:dyDescent="0.3">
      <c r="A48" s="13" t="s">
        <v>4745</v>
      </c>
      <c r="B48" s="14" t="s">
        <v>308</v>
      </c>
      <c r="C48" s="14" t="s">
        <v>4784</v>
      </c>
      <c r="D48" s="19">
        <f>COUNTIFS(SSC_Ontology_Ver0.5!$A$128:$A$773,SUBSTITUTE($A48,"AHUB{N}",D$22),SSC_Ontology_Ver0.5!$C$128:$C$773,$B48,SSC_Ontology_Ver0.5!$D$128:$D$773,SUBSTITUTE($C48,"AHUB{N}",D$22))</f>
        <v>1</v>
      </c>
      <c r="E48" s="19">
        <f>COUNTIFS(SSC_Ontology_Ver0.5!$A$128:$A$773,SUBSTITUTE($A48,"AHUB{N}",E$22),SSC_Ontology_Ver0.5!$C$128:$C$773,$B48,SSC_Ontology_Ver0.5!$D$128:$D$773,SUBSTITUTE($C48,"AHUB{N}",E$22))</f>
        <v>1</v>
      </c>
      <c r="F48" s="19">
        <f>COUNTIFS(SSC_Ontology_Ver0.5!$A$128:$A$773,SUBSTITUTE($A48,"AHUB{N}",F$22),SSC_Ontology_Ver0.5!$C$128:$C$773,$B48,SSC_Ontology_Ver0.5!$D$128:$D$773,SUBSTITUTE($C48,"AHUB{N}",F$22))</f>
        <v>1</v>
      </c>
      <c r="G48" s="19">
        <f>COUNTIFS(SSC_Ontology_Ver0.5!$A$128:$A$773,SUBSTITUTE($A48,"AHUB{N}",G$22),SSC_Ontology_Ver0.5!$C$128:$C$773,$B48,SSC_Ontology_Ver0.5!$D$128:$D$773,SUBSTITUTE($C48,"AHUB{N}",G$22))</f>
        <v>1</v>
      </c>
      <c r="H48" s="19">
        <f>COUNTIFS(SSC_Ontology_Ver0.5!$A$128:$A$773,SUBSTITUTE($A48,"AHUB{N}",H$22),SSC_Ontology_Ver0.5!$C$128:$C$773,$B48,SSC_Ontology_Ver0.5!$D$128:$D$773,SUBSTITUTE($C48,"AHUB{N}",H$22))</f>
        <v>1</v>
      </c>
      <c r="I48" s="15" t="str">
        <f>IF($B48="rec:locatedIn","Excluded - location varies by unit",IF(AND(MIN(D48:H48)=MAX(D48:H48),MAX(D48:H48)=1),"OK",IF(MIN(D48:H48)=0,"Not on all units","Duplicated")))</f>
        <v>OK</v>
      </c>
    </row>
    <row r="49" spans="1:9" x14ac:dyDescent="0.3">
      <c r="A49" s="13" t="s">
        <v>4745</v>
      </c>
      <c r="B49" s="14" t="s">
        <v>308</v>
      </c>
      <c r="C49" s="14" t="s">
        <v>4749</v>
      </c>
      <c r="D49" s="19">
        <f>COUNTIFS(SSC_Ontology_Ver0.5!$A$128:$A$773,SUBSTITUTE($A49,"AHUB{N}",D$22),SSC_Ontology_Ver0.5!$C$128:$C$773,$B49,SSC_Ontology_Ver0.5!$D$128:$D$773,SUBSTITUTE($C49,"AHUB{N}",D$22))</f>
        <v>1</v>
      </c>
      <c r="E49" s="19">
        <f>COUNTIFS(SSC_Ontology_Ver0.5!$A$128:$A$773,SUBSTITUTE($A49,"AHUB{N}",E$22),SSC_Ontology_Ver0.5!$C$128:$C$773,$B49,SSC_Ontology_Ver0.5!$D$128:$D$773,SUBSTITUTE($C49,"AHUB{N}",E$22))</f>
        <v>1</v>
      </c>
      <c r="F49" s="19">
        <f>COUNTIFS(SSC_Ontology_Ver0.5!$A$128:$A$773,SUBSTITUTE($A49,"AHUB{N}",F$22),SSC_Ontology_Ver0.5!$C$128:$C$773,$B49,SSC_Ontology_Ver0.5!$D$128:$D$773,SUBSTITUTE($C49,"AHUB{N}",F$22))</f>
        <v>1</v>
      </c>
      <c r="G49" s="19">
        <f>COUNTIFS(SSC_Ontology_Ver0.5!$A$128:$A$773,SUBSTITUTE($A49,"AHUB{N}",G$22),SSC_Ontology_Ver0.5!$C$128:$C$773,$B49,SSC_Ontology_Ver0.5!$D$128:$D$773,SUBSTITUTE($C49,"AHUB{N}",G$22))</f>
        <v>1</v>
      </c>
      <c r="H49" s="19">
        <f>COUNTIFS(SSC_Ontology_Ver0.5!$A$128:$A$773,SUBSTITUTE($A49,"AHUB{N}",H$22),SSC_Ontology_Ver0.5!$C$128:$C$773,$B49,SSC_Ontology_Ver0.5!$D$128:$D$773,SUBSTITUTE($C49,"AHUB{N}",H$22))</f>
        <v>1</v>
      </c>
      <c r="I49" s="15" t="str">
        <f>IF($B49="rec:locatedIn","Excluded - location varies by unit",IF(AND(MIN(D49:H49)=MAX(D49:H49),MAX(D49:H49)=1),"OK",IF(MIN(D49:H49)=0,"Not on all units","Duplicated")))</f>
        <v>OK</v>
      </c>
    </row>
    <row r="50" spans="1:9" x14ac:dyDescent="0.3">
      <c r="A50" s="13" t="s">
        <v>4745</v>
      </c>
      <c r="B50" s="14" t="s">
        <v>308</v>
      </c>
      <c r="C50" s="14" t="s">
        <v>4785</v>
      </c>
      <c r="D50" s="19">
        <f>COUNTIFS(SSC_Ontology_Ver0.5!$A$128:$A$773,SUBSTITUTE($A50,"AHUB{N}",D$22),SSC_Ontology_Ver0.5!$C$128:$C$773,$B50,SSC_Ontology_Ver0.5!$D$128:$D$773,SUBSTITUTE($C50,"AHUB{N}",D$22))</f>
        <v>1</v>
      </c>
      <c r="E50" s="19">
        <f>COUNTIFS(SSC_Ontology_Ver0.5!$A$128:$A$773,SUBSTITUTE($A50,"AHUB{N}",E$22),SSC_Ontology_Ver0.5!$C$128:$C$773,$B50,SSC_Ontology_Ver0.5!$D$128:$D$773,SUBSTITUTE($C50,"AHUB{N}",E$22))</f>
        <v>1</v>
      </c>
      <c r="F50" s="19">
        <f>COUNTIFS(SSC_Ontology_Ver0.5!$A$128:$A$773,SUBSTITUTE($A50,"AHUB{N}",F$22),SSC_Ontology_Ver0.5!$C$128:$C$773,$B50,SSC_Ontology_Ver0.5!$D$128:$D$773,SUBSTITUTE($C50,"AHUB{N}",F$22))</f>
        <v>1</v>
      </c>
      <c r="G50" s="19">
        <f>COUNTIFS(SSC_Ontology_Ver0.5!$A$128:$A$773,SUBSTITUTE($A50,"AHUB{N}",G$22),SSC_Ontology_Ver0.5!$C$128:$C$773,$B50,SSC_Ontology_Ver0.5!$D$128:$D$773,SUBSTITUTE($C50,"AHUB{N}",G$22))</f>
        <v>1</v>
      </c>
      <c r="H50" s="19">
        <f>COUNTIFS(SSC_Ontology_Ver0.5!$A$128:$A$773,SUBSTITUTE($A50,"AHUB{N}",H$22),SSC_Ontology_Ver0.5!$C$128:$C$773,$B50,SSC_Ontology_Ver0.5!$D$128:$D$773,SUBSTITUTE($C50,"AHUB{N}",H$22))</f>
        <v>1</v>
      </c>
      <c r="I50" s="15" t="str">
        <f>IF($B50="rec:locatedIn","Excluded - location varies by unit",IF(AND(MIN(D50:H50)=MAX(D50:H50),MAX(D50:H50)=1),"OK",IF(MIN(D50:H50)=0,"Not on all units","Duplicated")))</f>
        <v>OK</v>
      </c>
    </row>
    <row r="51" spans="1:9" x14ac:dyDescent="0.3">
      <c r="A51" s="13" t="s">
        <v>4745</v>
      </c>
      <c r="B51" s="14" t="s">
        <v>22</v>
      </c>
      <c r="C51" s="14" t="s">
        <v>23</v>
      </c>
      <c r="D51" s="19">
        <f>COUNTIFS(SSC_Ontology_Ver0.5!$A$128:$A$773,SUBSTITUTE($A51,"AHUB{N}",D$22),SSC_Ontology_Ver0.5!$C$128:$C$773,$B51,SSC_Ontology_Ver0.5!$D$128:$D$773,SUBSTITUTE($C51,"AHUB{N}",D$22))</f>
        <v>1</v>
      </c>
      <c r="E51" s="19">
        <f>COUNTIFS(SSC_Ontology_Ver0.5!$A$128:$A$773,SUBSTITUTE($A51,"AHUB{N}",E$22),SSC_Ontology_Ver0.5!$C$128:$C$773,$B51,SSC_Ontology_Ver0.5!$D$128:$D$773,SUBSTITUTE($C51,"AHUB{N}",E$22))</f>
        <v>1</v>
      </c>
      <c r="F51" s="19">
        <f>COUNTIFS(SSC_Ontology_Ver0.5!$A$128:$A$773,SUBSTITUTE($A51,"AHUB{N}",F$22),SSC_Ontology_Ver0.5!$C$128:$C$773,$B51,SSC_Ontology_Ver0.5!$D$128:$D$773,SUBSTITUTE($C51,"AHUB{N}",F$22))</f>
        <v>1</v>
      </c>
      <c r="G51" s="19">
        <f>COUNTIFS(SSC_Ontology_Ver0.5!$A$128:$A$773,SUBSTITUTE($A51,"AHUB{N}",G$22),SSC_Ontology_Ver0.5!$C$128:$C$773,$B51,SSC_Ontology_Ver0.5!$D$128:$D$773,SUBSTITUTE($C51,"AHUB{N}",G$22))</f>
        <v>1</v>
      </c>
      <c r="H51" s="19">
        <f>COUNTIFS(SSC_Ontology_Ver0.5!$A$128:$A$773,SUBSTITUTE($A51,"AHUB{N}",H$22),SSC_Ontology_Ver0.5!$C$128:$C$773,$B51,SSC_Ontology_Ver0.5!$D$128:$D$773,SUBSTITUTE($C51,"AHUB{N}",H$22))</f>
        <v>1</v>
      </c>
      <c r="I51" s="15" t="str">
        <f>IF($B51="rec:locatedIn","Excluded - location varies by unit",IF(AND(MIN(D51:H51)=MAX(D51:H51),MAX(D51:H51)=1),"OK",IF(MIN(D51:H51)=0,"Not on all units","Duplicated")))</f>
        <v>OK</v>
      </c>
    </row>
    <row r="52" spans="1:9" x14ac:dyDescent="0.3">
      <c r="A52" s="13" t="s">
        <v>4745</v>
      </c>
      <c r="B52" s="14" t="s">
        <v>375</v>
      </c>
      <c r="C52" s="14" t="s">
        <v>12</v>
      </c>
      <c r="D52" s="19">
        <f>COUNTIFS(SSC_Ontology_Ver0.5!$A$128:$A$773,SUBSTITUTE($A52,"AHUB{N}",D$22),SSC_Ontology_Ver0.5!$C$128:$C$773,$B52,SSC_Ontology_Ver0.5!$D$128:$D$773,SUBSTITUTE($C52,"AHUB{N}",D$22))</f>
        <v>1</v>
      </c>
      <c r="E52" s="19">
        <f>COUNTIFS(SSC_Ontology_Ver0.5!$A$128:$A$773,SUBSTITUTE($A52,"AHUB{N}",E$22),SSC_Ontology_Ver0.5!$C$128:$C$773,$B52,SSC_Ontology_Ver0.5!$D$128:$D$773,SUBSTITUTE($C52,"AHUB{N}",E$22))</f>
        <v>1</v>
      </c>
      <c r="F52" s="19">
        <f>COUNTIFS(SSC_Ontology_Ver0.5!$A$128:$A$773,SUBSTITUTE($A52,"AHUB{N}",F$22),SSC_Ontology_Ver0.5!$C$128:$C$773,$B52,SSC_Ontology_Ver0.5!$D$128:$D$773,SUBSTITUTE($C52,"AHUB{N}",F$22))</f>
        <v>1</v>
      </c>
      <c r="G52" s="19">
        <f>COUNTIFS(SSC_Ontology_Ver0.5!$A$128:$A$773,SUBSTITUTE($A52,"AHUB{N}",G$22),SSC_Ontology_Ver0.5!$C$128:$C$773,$B52,SSC_Ontology_Ver0.5!$D$128:$D$773,SUBSTITUTE($C52,"AHUB{N}",G$22))</f>
        <v>1</v>
      </c>
      <c r="H52" s="19">
        <f>COUNTIFS(SSC_Ontology_Ver0.5!$A$128:$A$773,SUBSTITUTE($A52,"AHUB{N}",H$22),SSC_Ontology_Ver0.5!$C$128:$C$773,$B52,SSC_Ontology_Ver0.5!$D$128:$D$773,SUBSTITUTE($C52,"AHUB{N}",H$22))</f>
        <v>1</v>
      </c>
      <c r="I52" s="15" t="str">
        <f>IF($B52="rec:locatedIn","Excluded - location varies by unit",IF(AND(MIN(D52:H52)=MAX(D52:H52),MAX(D52:H52)=1),"OK",IF(MIN(D52:H52)=0,"Not on all units","Duplicated")))</f>
        <v>OK</v>
      </c>
    </row>
    <row r="53" spans="1:9" x14ac:dyDescent="0.3">
      <c r="A53" s="13" t="s">
        <v>4745</v>
      </c>
      <c r="B53" s="14" t="s">
        <v>378</v>
      </c>
      <c r="C53" s="14" t="s">
        <v>12</v>
      </c>
      <c r="D53" s="19">
        <f>COUNTIFS(SSC_Ontology_Ver0.5!$A$128:$A$773,SUBSTITUTE($A53,"AHUB{N}",D$22),SSC_Ontology_Ver0.5!$C$128:$C$773,$B53,SSC_Ontology_Ver0.5!$D$128:$D$773,SUBSTITUTE($C53,"AHUB{N}",D$22))</f>
        <v>1</v>
      </c>
      <c r="E53" s="19">
        <f>COUNTIFS(SSC_Ontology_Ver0.5!$A$128:$A$773,SUBSTITUTE($A53,"AHUB{N}",E$22),SSC_Ontology_Ver0.5!$C$128:$C$773,$B53,SSC_Ontology_Ver0.5!$D$128:$D$773,SUBSTITUTE($C53,"AHUB{N}",E$22))</f>
        <v>1</v>
      </c>
      <c r="F53" s="19">
        <f>COUNTIFS(SSC_Ontology_Ver0.5!$A$128:$A$773,SUBSTITUTE($A53,"AHUB{N}",F$22),SSC_Ontology_Ver0.5!$C$128:$C$773,$B53,SSC_Ontology_Ver0.5!$D$128:$D$773,SUBSTITUTE($C53,"AHUB{N}",F$22))</f>
        <v>1</v>
      </c>
      <c r="G53" s="19">
        <f>COUNTIFS(SSC_Ontology_Ver0.5!$A$128:$A$773,SUBSTITUTE($A53,"AHUB{N}",G$22),SSC_Ontology_Ver0.5!$C$128:$C$773,$B53,SSC_Ontology_Ver0.5!$D$128:$D$773,SUBSTITUTE($C53,"AHUB{N}",G$22))</f>
        <v>1</v>
      </c>
      <c r="H53" s="19">
        <f>COUNTIFS(SSC_Ontology_Ver0.5!$A$128:$A$773,SUBSTITUTE($A53,"AHUB{N}",H$22),SSC_Ontology_Ver0.5!$C$128:$C$773,$B53,SSC_Ontology_Ver0.5!$D$128:$D$773,SUBSTITUTE($C53,"AHUB{N}",H$22))</f>
        <v>1</v>
      </c>
      <c r="I53" s="15" t="str">
        <f>IF($B53="rec:locatedIn","Excluded - location varies by unit",IF(AND(MIN(D53:H53)=MAX(D53:H53),MAX(D53:H53)=1),"OK",IF(MIN(D53:H53)=0,"Not on all units","Duplicated")))</f>
        <v>OK</v>
      </c>
    </row>
    <row r="54" spans="1:9" x14ac:dyDescent="0.3">
      <c r="A54" s="13" t="s">
        <v>4745</v>
      </c>
      <c r="B54" s="14" t="s">
        <v>380</v>
      </c>
      <c r="C54" s="14" t="s">
        <v>9</v>
      </c>
      <c r="D54" s="19">
        <f>COUNTIFS(SSC_Ontology_Ver0.5!$A$128:$A$773,SUBSTITUTE($A54,"AHUB{N}",D$22),SSC_Ontology_Ver0.5!$C$128:$C$773,$B54,SSC_Ontology_Ver0.5!$D$128:$D$773,SUBSTITUTE($C54,"AHUB{N}",D$22))</f>
        <v>1</v>
      </c>
      <c r="E54" s="19">
        <f>COUNTIFS(SSC_Ontology_Ver0.5!$A$128:$A$773,SUBSTITUTE($A54,"AHUB{N}",E$22),SSC_Ontology_Ver0.5!$C$128:$C$773,$B54,SSC_Ontology_Ver0.5!$D$128:$D$773,SUBSTITUTE($C54,"AHUB{N}",E$22))</f>
        <v>1</v>
      </c>
      <c r="F54" s="19">
        <f>COUNTIFS(SSC_Ontology_Ver0.5!$A$128:$A$773,SUBSTITUTE($A54,"AHUB{N}",F$22),SSC_Ontology_Ver0.5!$C$128:$C$773,$B54,SSC_Ontology_Ver0.5!$D$128:$D$773,SUBSTITUTE($C54,"AHUB{N}",F$22))</f>
        <v>1</v>
      </c>
      <c r="G54" s="19">
        <f>COUNTIFS(SSC_Ontology_Ver0.5!$A$128:$A$773,SUBSTITUTE($A54,"AHUB{N}",G$22),SSC_Ontology_Ver0.5!$C$128:$C$773,$B54,SSC_Ontology_Ver0.5!$D$128:$D$773,SUBSTITUTE($C54,"AHUB{N}",G$22))</f>
        <v>1</v>
      </c>
      <c r="H54" s="19">
        <f>COUNTIFS(SSC_Ontology_Ver0.5!$A$128:$A$773,SUBSTITUTE($A54,"AHUB{N}",H$22),SSC_Ontology_Ver0.5!$C$128:$C$773,$B54,SSC_Ontology_Ver0.5!$D$128:$D$773,SUBSTITUTE($C54,"AHUB{N}",H$22))</f>
        <v>1</v>
      </c>
      <c r="I54" s="15" t="str">
        <f>IF($B54="rec:locatedIn","Excluded - location varies by unit",IF(AND(MIN(D54:H54)=MAX(D54:H54),MAX(D54:H54)=1),"OK",IF(MIN(D54:H54)=0,"Not on all units","Duplicated")))</f>
        <v>OK</v>
      </c>
    </row>
    <row r="55" spans="1:9" x14ac:dyDescent="0.3">
      <c r="A55" s="13" t="s">
        <v>4745</v>
      </c>
      <c r="B55" s="14" t="s">
        <v>16</v>
      </c>
      <c r="C55" s="14" t="s">
        <v>381</v>
      </c>
      <c r="D55" s="19">
        <f>COUNTIFS(SSC_Ontology_Ver0.5!$A$128:$A$773,SUBSTITUTE($A55,"AHUB{N}",D$22),SSC_Ontology_Ver0.5!$C$128:$C$773,$B55,SSC_Ontology_Ver0.5!$D$128:$D$773,SUBSTITUTE($C55,"AHUB{N}",D$22))</f>
        <v>1</v>
      </c>
      <c r="E55" s="19">
        <f>COUNTIFS(SSC_Ontology_Ver0.5!$A$128:$A$773,SUBSTITUTE($A55,"AHUB{N}",E$22),SSC_Ontology_Ver0.5!$C$128:$C$773,$B55,SSC_Ontology_Ver0.5!$D$128:$D$773,SUBSTITUTE($C55,"AHUB{N}",E$22))</f>
        <v>0</v>
      </c>
      <c r="F55" s="19">
        <f>COUNTIFS(SSC_Ontology_Ver0.5!$A$128:$A$773,SUBSTITUTE($A55,"AHUB{N}",F$22),SSC_Ontology_Ver0.5!$C$128:$C$773,$B55,SSC_Ontology_Ver0.5!$D$128:$D$773,SUBSTITUTE($C55,"AHUB{N}",F$22))</f>
        <v>0</v>
      </c>
      <c r="G55" s="19">
        <f>COUNTIFS(SSC_Ontology_Ver0.5!$A$128:$A$773,SUBSTITUTE($A55,"AHUB{N}",G$22),SSC_Ontology_Ver0.5!$C$128:$C$773,$B55,SSC_Ontology_Ver0.5!$D$128:$D$773,SUBSTITUTE($C55,"AHUB{N}",G$22))</f>
        <v>0</v>
      </c>
      <c r="H55" s="19">
        <f>COUNTIFS(SSC_Ontology_Ver0.5!$A$128:$A$773,SUBSTITUTE($A55,"AHUB{N}",H$22),SSC_Ontology_Ver0.5!$C$128:$C$773,$B55,SSC_Ontology_Ver0.5!$D$128:$D$773,SUBSTITUTE($C55,"AHUB{N}",H$22))</f>
        <v>1</v>
      </c>
      <c r="I55" s="15" t="str">
        <f>IF($B55="rec:locatedIn","Excluded - location varies by unit",IF(AND(MIN(D55:H55)=MAX(D55:H55),MAX(D55:H55)=1),"OK",IF(MIN(D55:H55)=0,"Not on all units","Duplicated")))</f>
        <v>Excluded - location varies by unit</v>
      </c>
    </row>
    <row r="56" spans="1:9" x14ac:dyDescent="0.3">
      <c r="A56" s="13" t="s">
        <v>4745</v>
      </c>
      <c r="B56" s="14" t="s">
        <v>11</v>
      </c>
      <c r="C56" s="14" t="s">
        <v>12</v>
      </c>
      <c r="D56" s="19">
        <f>COUNTIFS(SSC_Ontology_Ver0.5!$A$128:$A$773,SUBSTITUTE($A56,"AHUB{N}",D$22),SSC_Ontology_Ver0.5!$C$128:$C$773,$B56,SSC_Ontology_Ver0.5!$D$128:$D$773,SUBSTITUTE($C56,"AHUB{N}",D$22))</f>
        <v>1</v>
      </c>
      <c r="E56" s="19">
        <f>COUNTIFS(SSC_Ontology_Ver0.5!$A$128:$A$773,SUBSTITUTE($A56,"AHUB{N}",E$22),SSC_Ontology_Ver0.5!$C$128:$C$773,$B56,SSC_Ontology_Ver0.5!$D$128:$D$773,SUBSTITUTE($C56,"AHUB{N}",E$22))</f>
        <v>1</v>
      </c>
      <c r="F56" s="19">
        <f>COUNTIFS(SSC_Ontology_Ver0.5!$A$128:$A$773,SUBSTITUTE($A56,"AHUB{N}",F$22),SSC_Ontology_Ver0.5!$C$128:$C$773,$B56,SSC_Ontology_Ver0.5!$D$128:$D$773,SUBSTITUTE($C56,"AHUB{N}",F$22))</f>
        <v>1</v>
      </c>
      <c r="G56" s="19">
        <f>COUNTIFS(SSC_Ontology_Ver0.5!$A$128:$A$773,SUBSTITUTE($A56,"AHUB{N}",G$22),SSC_Ontology_Ver0.5!$C$128:$C$773,$B56,SSC_Ontology_Ver0.5!$D$128:$D$773,SUBSTITUTE($C56,"AHUB{N}",G$22))</f>
        <v>1</v>
      </c>
      <c r="H56" s="19">
        <f>COUNTIFS(SSC_Ontology_Ver0.5!$A$128:$A$773,SUBSTITUTE($A56,"AHUB{N}",H$22),SSC_Ontology_Ver0.5!$C$128:$C$773,$B56,SSC_Ontology_Ver0.5!$D$128:$D$773,SUBSTITUTE($C56,"AHUB{N}",H$22))</f>
        <v>1</v>
      </c>
      <c r="I56" s="15" t="str">
        <f>IF($B56="rec:locatedIn","Excluded - location varies by unit",IF(AND(MIN(D56:H56)=MAX(D56:H56),MAX(D56:H56)=1),"OK",IF(MIN(D56:H56)=0,"Not on all units","Duplicated")))</f>
        <v>OK</v>
      </c>
    </row>
    <row r="57" spans="1:9" x14ac:dyDescent="0.3">
      <c r="A57" s="13" t="s">
        <v>4761</v>
      </c>
      <c r="B57" s="14" t="s">
        <v>384</v>
      </c>
      <c r="C57" s="14" t="s">
        <v>12</v>
      </c>
      <c r="D57" s="19">
        <f>COUNTIFS(SSC_Ontology_Ver0.5!$A$128:$A$773,SUBSTITUTE($A57,"AHUB{N}",D$22),SSC_Ontology_Ver0.5!$C$128:$C$773,$B57,SSC_Ontology_Ver0.5!$D$128:$D$773,SUBSTITUTE($C57,"AHUB{N}",D$22))</f>
        <v>1</v>
      </c>
      <c r="E57" s="19">
        <f>COUNTIFS(SSC_Ontology_Ver0.5!$A$128:$A$773,SUBSTITUTE($A57,"AHUB{N}",E$22),SSC_Ontology_Ver0.5!$C$128:$C$773,$B57,SSC_Ontology_Ver0.5!$D$128:$D$773,SUBSTITUTE($C57,"AHUB{N}",E$22))</f>
        <v>1</v>
      </c>
      <c r="F57" s="19">
        <f>COUNTIFS(SSC_Ontology_Ver0.5!$A$128:$A$773,SUBSTITUTE($A57,"AHUB{N}",F$22),SSC_Ontology_Ver0.5!$C$128:$C$773,$B57,SSC_Ontology_Ver0.5!$D$128:$D$773,SUBSTITUTE($C57,"AHUB{N}",F$22))</f>
        <v>1</v>
      </c>
      <c r="G57" s="19">
        <f>COUNTIFS(SSC_Ontology_Ver0.5!$A$128:$A$773,SUBSTITUTE($A57,"AHUB{N}",G$22),SSC_Ontology_Ver0.5!$C$128:$C$773,$B57,SSC_Ontology_Ver0.5!$D$128:$D$773,SUBSTITUTE($C57,"AHUB{N}",G$22))</f>
        <v>1</v>
      </c>
      <c r="H57" s="19">
        <f>COUNTIFS(SSC_Ontology_Ver0.5!$A$128:$A$773,SUBSTITUTE($A57,"AHUB{N}",H$22),SSC_Ontology_Ver0.5!$C$128:$C$773,$B57,SSC_Ontology_Ver0.5!$D$128:$D$773,SUBSTITUTE($C57,"AHUB{N}",H$22))</f>
        <v>1</v>
      </c>
      <c r="I57" s="15" t="str">
        <f>IF($B57="rec:locatedIn","Excluded - location varies by unit",IF(AND(MIN(D57:H57)=MAX(D57:H57),MAX(D57:H57)=1),"OK",IF(MIN(D57:H57)=0,"Not on all units","Duplicated")))</f>
        <v>OK</v>
      </c>
    </row>
    <row r="58" spans="1:9" x14ac:dyDescent="0.3">
      <c r="A58" s="13" t="s">
        <v>4761</v>
      </c>
      <c r="B58" s="14" t="s">
        <v>280</v>
      </c>
      <c r="C58" s="14" t="s">
        <v>4786</v>
      </c>
      <c r="D58" s="19">
        <f>COUNTIFS(SSC_Ontology_Ver0.5!$A$128:$A$773,SUBSTITUTE($A58,"AHUB{N}",D$22),SSC_Ontology_Ver0.5!$C$128:$C$773,$B58,SSC_Ontology_Ver0.5!$D$128:$D$773,SUBSTITUTE($C58,"AHUB{N}",D$22))</f>
        <v>1</v>
      </c>
      <c r="E58" s="19">
        <f>COUNTIFS(SSC_Ontology_Ver0.5!$A$128:$A$773,SUBSTITUTE($A58,"AHUB{N}",E$22),SSC_Ontology_Ver0.5!$C$128:$C$773,$B58,SSC_Ontology_Ver0.5!$D$128:$D$773,SUBSTITUTE($C58,"AHUB{N}",E$22))</f>
        <v>1</v>
      </c>
      <c r="F58" s="19">
        <f>COUNTIFS(SSC_Ontology_Ver0.5!$A$128:$A$773,SUBSTITUTE($A58,"AHUB{N}",F$22),SSC_Ontology_Ver0.5!$C$128:$C$773,$B58,SSC_Ontology_Ver0.5!$D$128:$D$773,SUBSTITUTE($C58,"AHUB{N}",F$22))</f>
        <v>1</v>
      </c>
      <c r="G58" s="19">
        <f>COUNTIFS(SSC_Ontology_Ver0.5!$A$128:$A$773,SUBSTITUTE($A58,"AHUB{N}",G$22),SSC_Ontology_Ver0.5!$C$128:$C$773,$B58,SSC_Ontology_Ver0.5!$D$128:$D$773,SUBSTITUTE($C58,"AHUB{N}",G$22))</f>
        <v>1</v>
      </c>
      <c r="H58" s="19">
        <f>COUNTIFS(SSC_Ontology_Ver0.5!$A$128:$A$773,SUBSTITUTE($A58,"AHUB{N}",H$22),SSC_Ontology_Ver0.5!$C$128:$C$773,$B58,SSC_Ontology_Ver0.5!$D$128:$D$773,SUBSTITUTE($C58,"AHUB{N}",H$22))</f>
        <v>1</v>
      </c>
      <c r="I58" s="15" t="str">
        <f>IF($B58="rec:locatedIn","Excluded - location varies by unit",IF(AND(MIN(D58:H58)=MAX(D58:H58),MAX(D58:H58)=1),"OK",IF(MIN(D58:H58)=0,"Not on all units","Duplicated")))</f>
        <v>OK</v>
      </c>
    </row>
    <row r="59" spans="1:9" x14ac:dyDescent="0.3">
      <c r="A59" s="13" t="s">
        <v>4787</v>
      </c>
      <c r="B59" s="14" t="s">
        <v>11</v>
      </c>
      <c r="C59" s="14" t="s">
        <v>12</v>
      </c>
      <c r="D59" s="19">
        <f>COUNTIFS(SSC_Ontology_Ver0.5!$A$128:$A$773,SUBSTITUTE($A59,"AHUB{N}",D$22),SSC_Ontology_Ver0.5!$C$128:$C$773,$B59,SSC_Ontology_Ver0.5!$D$128:$D$773,SUBSTITUTE($C59,"AHUB{N}",D$22))</f>
        <v>1</v>
      </c>
      <c r="E59" s="19">
        <f>COUNTIFS(SSC_Ontology_Ver0.5!$A$128:$A$773,SUBSTITUTE($A59,"AHUB{N}",E$22),SSC_Ontology_Ver0.5!$C$128:$C$773,$B59,SSC_Ontology_Ver0.5!$D$128:$D$773,SUBSTITUTE($C59,"AHUB{N}",E$22))</f>
        <v>1</v>
      </c>
      <c r="F59" s="19">
        <f>COUNTIFS(SSC_Ontology_Ver0.5!$A$128:$A$773,SUBSTITUTE($A59,"AHUB{N}",F$22),SSC_Ontology_Ver0.5!$C$128:$C$773,$B59,SSC_Ontology_Ver0.5!$D$128:$D$773,SUBSTITUTE($C59,"AHUB{N}",F$22))</f>
        <v>1</v>
      </c>
      <c r="G59" s="19">
        <f>COUNTIFS(SSC_Ontology_Ver0.5!$A$128:$A$773,SUBSTITUTE($A59,"AHUB{N}",G$22),SSC_Ontology_Ver0.5!$C$128:$C$773,$B59,SSC_Ontology_Ver0.5!$D$128:$D$773,SUBSTITUTE($C59,"AHUB{N}",G$22))</f>
        <v>1</v>
      </c>
      <c r="H59" s="19">
        <f>COUNTIFS(SSC_Ontology_Ver0.5!$A$128:$A$773,SUBSTITUTE($A59,"AHUB{N}",H$22),SSC_Ontology_Ver0.5!$C$128:$C$773,$B59,SSC_Ontology_Ver0.5!$D$128:$D$773,SUBSTITUTE($C59,"AHUB{N}",H$22))</f>
        <v>1</v>
      </c>
      <c r="I59" s="15" t="str">
        <f>IF($B59="rec:locatedIn","Excluded - location varies by unit",IF(AND(MIN(D59:H59)=MAX(D59:H59),MAX(D59:H59)=1),"OK",IF(MIN(D59:H59)=0,"Not on all units","Duplicated")))</f>
        <v>OK</v>
      </c>
    </row>
    <row r="60" spans="1:9" x14ac:dyDescent="0.3">
      <c r="A60" s="13" t="s">
        <v>4788</v>
      </c>
      <c r="B60" s="14" t="s">
        <v>11</v>
      </c>
      <c r="C60" s="14" t="s">
        <v>12</v>
      </c>
      <c r="D60" s="19">
        <f>COUNTIFS(SSC_Ontology_Ver0.5!$A$128:$A$773,SUBSTITUTE($A60,"AHUB{N}",D$22),SSC_Ontology_Ver0.5!$C$128:$C$773,$B60,SSC_Ontology_Ver0.5!$D$128:$D$773,SUBSTITUTE($C60,"AHUB{N}",D$22))</f>
        <v>1</v>
      </c>
      <c r="E60" s="19">
        <f>COUNTIFS(SSC_Ontology_Ver0.5!$A$128:$A$773,SUBSTITUTE($A60,"AHUB{N}",E$22),SSC_Ontology_Ver0.5!$C$128:$C$773,$B60,SSC_Ontology_Ver0.5!$D$128:$D$773,SUBSTITUTE($C60,"AHUB{N}",E$22))</f>
        <v>1</v>
      </c>
      <c r="F60" s="19">
        <f>COUNTIFS(SSC_Ontology_Ver0.5!$A$128:$A$773,SUBSTITUTE($A60,"AHUB{N}",F$22),SSC_Ontology_Ver0.5!$C$128:$C$773,$B60,SSC_Ontology_Ver0.5!$D$128:$D$773,SUBSTITUTE($C60,"AHUB{N}",F$22))</f>
        <v>1</v>
      </c>
      <c r="G60" s="19">
        <f>COUNTIFS(SSC_Ontology_Ver0.5!$A$128:$A$773,SUBSTITUTE($A60,"AHUB{N}",G$22),SSC_Ontology_Ver0.5!$C$128:$C$773,$B60,SSC_Ontology_Ver0.5!$D$128:$D$773,SUBSTITUTE($C60,"AHUB{N}",G$22))</f>
        <v>1</v>
      </c>
      <c r="H60" s="19">
        <f>COUNTIFS(SSC_Ontology_Ver0.5!$A$128:$A$773,SUBSTITUTE($A60,"AHUB{N}",H$22),SSC_Ontology_Ver0.5!$C$128:$C$773,$B60,SSC_Ontology_Ver0.5!$D$128:$D$773,SUBSTITUTE($C60,"AHUB{N}",H$22))</f>
        <v>1</v>
      </c>
      <c r="I60" s="15" t="str">
        <f>IF($B60="rec:locatedIn","Excluded - location varies by unit",IF(AND(MIN(D60:H60)=MAX(D60:H60),MAX(D60:H60)=1),"OK",IF(MIN(D60:H60)=0,"Not on all units","Duplicated")))</f>
        <v>OK</v>
      </c>
    </row>
    <row r="61" spans="1:9" x14ac:dyDescent="0.3">
      <c r="A61" s="13" t="s">
        <v>4786</v>
      </c>
      <c r="B61" s="14" t="s">
        <v>280</v>
      </c>
      <c r="C61" s="14" t="s">
        <v>4789</v>
      </c>
      <c r="D61" s="19">
        <f>COUNTIFS(SSC_Ontology_Ver0.5!$A$128:$A$773,SUBSTITUTE($A61,"AHUB{N}",D$22),SSC_Ontology_Ver0.5!$C$128:$C$773,$B61,SSC_Ontology_Ver0.5!$D$128:$D$773,SUBSTITUTE($C61,"AHUB{N}",D$22))</f>
        <v>1</v>
      </c>
      <c r="E61" s="19">
        <f>COUNTIFS(SSC_Ontology_Ver0.5!$A$128:$A$773,SUBSTITUTE($A61,"AHUB{N}",E$22),SSC_Ontology_Ver0.5!$C$128:$C$773,$B61,SSC_Ontology_Ver0.5!$D$128:$D$773,SUBSTITUTE($C61,"AHUB{N}",E$22))</f>
        <v>1</v>
      </c>
      <c r="F61" s="19">
        <f>COUNTIFS(SSC_Ontology_Ver0.5!$A$128:$A$773,SUBSTITUTE($A61,"AHUB{N}",F$22),SSC_Ontology_Ver0.5!$C$128:$C$773,$B61,SSC_Ontology_Ver0.5!$D$128:$D$773,SUBSTITUTE($C61,"AHUB{N}",F$22))</f>
        <v>1</v>
      </c>
      <c r="G61" s="19">
        <f>COUNTIFS(SSC_Ontology_Ver0.5!$A$128:$A$773,SUBSTITUTE($A61,"AHUB{N}",G$22),SSC_Ontology_Ver0.5!$C$128:$C$773,$B61,SSC_Ontology_Ver0.5!$D$128:$D$773,SUBSTITUTE($C61,"AHUB{N}",G$22))</f>
        <v>1</v>
      </c>
      <c r="H61" s="19">
        <f>COUNTIFS(SSC_Ontology_Ver0.5!$A$128:$A$773,SUBSTITUTE($A61,"AHUB{N}",H$22),SSC_Ontology_Ver0.5!$C$128:$C$773,$B61,SSC_Ontology_Ver0.5!$D$128:$D$773,SUBSTITUTE($C61,"AHUB{N}",H$22))</f>
        <v>1</v>
      </c>
      <c r="I61" s="15" t="str">
        <f>IF($B61="rec:locatedIn","Excluded - location varies by unit",IF(AND(MIN(D61:H61)=MAX(D61:H61),MAX(D61:H61)=1),"OK",IF(MIN(D61:H61)=0,"Not on all units","Duplicated")))</f>
        <v>OK</v>
      </c>
    </row>
    <row r="62" spans="1:9" x14ac:dyDescent="0.3">
      <c r="A62" s="13" t="s">
        <v>4786</v>
      </c>
      <c r="B62" s="14" t="s">
        <v>308</v>
      </c>
      <c r="C62" s="14" t="s">
        <v>4790</v>
      </c>
      <c r="D62" s="19">
        <f>COUNTIFS(SSC_Ontology_Ver0.5!$A$128:$A$773,SUBSTITUTE($A62,"AHUB{N}",D$22),SSC_Ontology_Ver0.5!$C$128:$C$773,$B62,SSC_Ontology_Ver0.5!$D$128:$D$773,SUBSTITUTE($C62,"AHUB{N}",D$22))</f>
        <v>1</v>
      </c>
      <c r="E62" s="19">
        <f>COUNTIFS(SSC_Ontology_Ver0.5!$A$128:$A$773,SUBSTITUTE($A62,"AHUB{N}",E$22),SSC_Ontology_Ver0.5!$C$128:$C$773,$B62,SSC_Ontology_Ver0.5!$D$128:$D$773,SUBSTITUTE($C62,"AHUB{N}",E$22))</f>
        <v>1</v>
      </c>
      <c r="F62" s="19">
        <f>COUNTIFS(SSC_Ontology_Ver0.5!$A$128:$A$773,SUBSTITUTE($A62,"AHUB{N}",F$22),SSC_Ontology_Ver0.5!$C$128:$C$773,$B62,SSC_Ontology_Ver0.5!$D$128:$D$773,SUBSTITUTE($C62,"AHUB{N}",F$22))</f>
        <v>1</v>
      </c>
      <c r="G62" s="19">
        <f>COUNTIFS(SSC_Ontology_Ver0.5!$A$128:$A$773,SUBSTITUTE($A62,"AHUB{N}",G$22),SSC_Ontology_Ver0.5!$C$128:$C$773,$B62,SSC_Ontology_Ver0.5!$D$128:$D$773,SUBSTITUTE($C62,"AHUB{N}",G$22))</f>
        <v>1</v>
      </c>
      <c r="H62" s="19">
        <f>COUNTIFS(SSC_Ontology_Ver0.5!$A$128:$A$773,SUBSTITUTE($A62,"AHUB{N}",H$22),SSC_Ontology_Ver0.5!$C$128:$C$773,$B62,SSC_Ontology_Ver0.5!$D$128:$D$773,SUBSTITUTE($C62,"AHUB{N}",H$22))</f>
        <v>1</v>
      </c>
      <c r="I62" s="15" t="str">
        <f>IF($B62="rec:locatedIn","Excluded - location varies by unit",IF(AND(MIN(D62:H62)=MAX(D62:H62),MAX(D62:H62)=1),"OK",IF(MIN(D62:H62)=0,"Not on all units","Duplicated")))</f>
        <v>OK</v>
      </c>
    </row>
    <row r="63" spans="1:9" x14ac:dyDescent="0.3">
      <c r="A63" s="13" t="s">
        <v>4786</v>
      </c>
      <c r="B63" s="14" t="s">
        <v>308</v>
      </c>
      <c r="C63" s="14" t="s">
        <v>4791</v>
      </c>
      <c r="D63" s="19">
        <f>COUNTIFS(SSC_Ontology_Ver0.5!$A$128:$A$773,SUBSTITUTE($A63,"AHUB{N}",D$22),SSC_Ontology_Ver0.5!$C$128:$C$773,$B63,SSC_Ontology_Ver0.5!$D$128:$D$773,SUBSTITUTE($C63,"AHUB{N}",D$22))</f>
        <v>1</v>
      </c>
      <c r="E63" s="19">
        <f>COUNTIFS(SSC_Ontology_Ver0.5!$A$128:$A$773,SUBSTITUTE($A63,"AHUB{N}",E$22),SSC_Ontology_Ver0.5!$C$128:$C$773,$B63,SSC_Ontology_Ver0.5!$D$128:$D$773,SUBSTITUTE($C63,"AHUB{N}",E$22))</f>
        <v>1</v>
      </c>
      <c r="F63" s="19">
        <f>COUNTIFS(SSC_Ontology_Ver0.5!$A$128:$A$773,SUBSTITUTE($A63,"AHUB{N}",F$22),SSC_Ontology_Ver0.5!$C$128:$C$773,$B63,SSC_Ontology_Ver0.5!$D$128:$D$773,SUBSTITUTE($C63,"AHUB{N}",F$22))</f>
        <v>1</v>
      </c>
      <c r="G63" s="19">
        <f>COUNTIFS(SSC_Ontology_Ver0.5!$A$128:$A$773,SUBSTITUTE($A63,"AHUB{N}",G$22),SSC_Ontology_Ver0.5!$C$128:$C$773,$B63,SSC_Ontology_Ver0.5!$D$128:$D$773,SUBSTITUTE($C63,"AHUB{N}",G$22))</f>
        <v>1</v>
      </c>
      <c r="H63" s="19">
        <f>COUNTIFS(SSC_Ontology_Ver0.5!$A$128:$A$773,SUBSTITUTE($A63,"AHUB{N}",H$22),SSC_Ontology_Ver0.5!$C$128:$C$773,$B63,SSC_Ontology_Ver0.5!$D$128:$D$773,SUBSTITUTE($C63,"AHUB{N}",H$22))</f>
        <v>1</v>
      </c>
      <c r="I63" s="15" t="str">
        <f>IF($B63="rec:locatedIn","Excluded - location varies by unit",IF(AND(MIN(D63:H63)=MAX(D63:H63),MAX(D63:H63)=1),"OK",IF(MIN(D63:H63)=0,"Not on all units","Duplicated")))</f>
        <v>OK</v>
      </c>
    </row>
    <row r="64" spans="1:9" x14ac:dyDescent="0.3">
      <c r="A64" s="13" t="s">
        <v>4790</v>
      </c>
      <c r="B64" s="14" t="s">
        <v>11</v>
      </c>
      <c r="C64" s="14" t="s">
        <v>12</v>
      </c>
      <c r="D64" s="19">
        <f>COUNTIFS(SSC_Ontology_Ver0.5!$A$128:$A$773,SUBSTITUTE($A64,"AHUB{N}",D$22),SSC_Ontology_Ver0.5!$C$128:$C$773,$B64,SSC_Ontology_Ver0.5!$D$128:$D$773,SUBSTITUTE($C64,"AHUB{N}",D$22))</f>
        <v>1</v>
      </c>
      <c r="E64" s="19">
        <f>COUNTIFS(SSC_Ontology_Ver0.5!$A$128:$A$773,SUBSTITUTE($A64,"AHUB{N}",E$22),SSC_Ontology_Ver0.5!$C$128:$C$773,$B64,SSC_Ontology_Ver0.5!$D$128:$D$773,SUBSTITUTE($C64,"AHUB{N}",E$22))</f>
        <v>1</v>
      </c>
      <c r="F64" s="19">
        <f>COUNTIFS(SSC_Ontology_Ver0.5!$A$128:$A$773,SUBSTITUTE($A64,"AHUB{N}",F$22),SSC_Ontology_Ver0.5!$C$128:$C$773,$B64,SSC_Ontology_Ver0.5!$D$128:$D$773,SUBSTITUTE($C64,"AHUB{N}",F$22))</f>
        <v>1</v>
      </c>
      <c r="G64" s="19">
        <f>COUNTIFS(SSC_Ontology_Ver0.5!$A$128:$A$773,SUBSTITUTE($A64,"AHUB{N}",G$22),SSC_Ontology_Ver0.5!$C$128:$C$773,$B64,SSC_Ontology_Ver0.5!$D$128:$D$773,SUBSTITUTE($C64,"AHUB{N}",G$22))</f>
        <v>1</v>
      </c>
      <c r="H64" s="19">
        <f>COUNTIFS(SSC_Ontology_Ver0.5!$A$128:$A$773,SUBSTITUTE($A64,"AHUB{N}",H$22),SSC_Ontology_Ver0.5!$C$128:$C$773,$B64,SSC_Ontology_Ver0.5!$D$128:$D$773,SUBSTITUTE($C64,"AHUB{N}",H$22))</f>
        <v>1</v>
      </c>
      <c r="I64" s="15" t="str">
        <f>IF($B64="rec:locatedIn","Excluded - location varies by unit",IF(AND(MIN(D64:H64)=MAX(D64:H64),MAX(D64:H64)=1),"OK",IF(MIN(D64:H64)=0,"Not on all units","Duplicated")))</f>
        <v>OK</v>
      </c>
    </row>
    <row r="65" spans="1:9" x14ac:dyDescent="0.3">
      <c r="A65" s="13" t="s">
        <v>4791</v>
      </c>
      <c r="B65" s="14" t="s">
        <v>11</v>
      </c>
      <c r="C65" s="14" t="s">
        <v>12</v>
      </c>
      <c r="D65" s="19">
        <f>COUNTIFS(SSC_Ontology_Ver0.5!$A$128:$A$773,SUBSTITUTE($A65,"AHUB{N}",D$22),SSC_Ontology_Ver0.5!$C$128:$C$773,$B65,SSC_Ontology_Ver0.5!$D$128:$D$773,SUBSTITUTE($C65,"AHUB{N}",D$22))</f>
        <v>1</v>
      </c>
      <c r="E65" s="19">
        <f>COUNTIFS(SSC_Ontology_Ver0.5!$A$128:$A$773,SUBSTITUTE($A65,"AHUB{N}",E$22),SSC_Ontology_Ver0.5!$C$128:$C$773,$B65,SSC_Ontology_Ver0.5!$D$128:$D$773,SUBSTITUTE($C65,"AHUB{N}",E$22))</f>
        <v>1</v>
      </c>
      <c r="F65" s="19">
        <f>COUNTIFS(SSC_Ontology_Ver0.5!$A$128:$A$773,SUBSTITUTE($A65,"AHUB{N}",F$22),SSC_Ontology_Ver0.5!$C$128:$C$773,$B65,SSC_Ontology_Ver0.5!$D$128:$D$773,SUBSTITUTE($C65,"AHUB{N}",F$22))</f>
        <v>1</v>
      </c>
      <c r="G65" s="19">
        <f>COUNTIFS(SSC_Ontology_Ver0.5!$A$128:$A$773,SUBSTITUTE($A65,"AHUB{N}",G$22),SSC_Ontology_Ver0.5!$C$128:$C$773,$B65,SSC_Ontology_Ver0.5!$D$128:$D$773,SUBSTITUTE($C65,"AHUB{N}",G$22))</f>
        <v>1</v>
      </c>
      <c r="H65" s="19">
        <f>COUNTIFS(SSC_Ontology_Ver0.5!$A$128:$A$773,SUBSTITUTE($A65,"AHUB{N}",H$22),SSC_Ontology_Ver0.5!$C$128:$C$773,$B65,SSC_Ontology_Ver0.5!$D$128:$D$773,SUBSTITUTE($C65,"AHUB{N}",H$22))</f>
        <v>1</v>
      </c>
      <c r="I65" s="15" t="str">
        <f>IF($B65="rec:locatedIn","Excluded - location varies by unit",IF(AND(MIN(D65:H65)=MAX(D65:H65),MAX(D65:H65)=1),"OK",IF(MIN(D65:H65)=0,"Not on all units","Duplicated")))</f>
        <v>OK</v>
      </c>
    </row>
    <row r="66" spans="1:9" x14ac:dyDescent="0.3">
      <c r="A66" s="13" t="s">
        <v>4789</v>
      </c>
      <c r="B66" s="14" t="s">
        <v>308</v>
      </c>
      <c r="C66" s="14" t="s">
        <v>4787</v>
      </c>
      <c r="D66" s="19">
        <f>COUNTIFS(SSC_Ontology_Ver0.5!$A$128:$A$773,SUBSTITUTE($A66,"AHUB{N}",D$22),SSC_Ontology_Ver0.5!$C$128:$C$773,$B66,SSC_Ontology_Ver0.5!$D$128:$D$773,SUBSTITUTE($C66,"AHUB{N}",D$22))</f>
        <v>1</v>
      </c>
      <c r="E66" s="19">
        <f>COUNTIFS(SSC_Ontology_Ver0.5!$A$128:$A$773,SUBSTITUTE($A66,"AHUB{N}",E$22),SSC_Ontology_Ver0.5!$C$128:$C$773,$B66,SSC_Ontology_Ver0.5!$D$128:$D$773,SUBSTITUTE($C66,"AHUB{N}",E$22))</f>
        <v>1</v>
      </c>
      <c r="F66" s="19">
        <f>COUNTIFS(SSC_Ontology_Ver0.5!$A$128:$A$773,SUBSTITUTE($A66,"AHUB{N}",F$22),SSC_Ontology_Ver0.5!$C$128:$C$773,$B66,SSC_Ontology_Ver0.5!$D$128:$D$773,SUBSTITUTE($C66,"AHUB{N}",F$22))</f>
        <v>1</v>
      </c>
      <c r="G66" s="19">
        <f>COUNTIFS(SSC_Ontology_Ver0.5!$A$128:$A$773,SUBSTITUTE($A66,"AHUB{N}",G$22),SSC_Ontology_Ver0.5!$C$128:$C$773,$B66,SSC_Ontology_Ver0.5!$D$128:$D$773,SUBSTITUTE($C66,"AHUB{N}",G$22))</f>
        <v>1</v>
      </c>
      <c r="H66" s="19">
        <f>COUNTIFS(SSC_Ontology_Ver0.5!$A$128:$A$773,SUBSTITUTE($A66,"AHUB{N}",H$22),SSC_Ontology_Ver0.5!$C$128:$C$773,$B66,SSC_Ontology_Ver0.5!$D$128:$D$773,SUBSTITUTE($C66,"AHUB{N}",H$22))</f>
        <v>1</v>
      </c>
      <c r="I66" s="15" t="str">
        <f>IF($B66="rec:locatedIn","Excluded - location varies by unit",IF(AND(MIN(D66:H66)=MAX(D66:H66),MAX(D66:H66)=1),"OK",IF(MIN(D66:H66)=0,"Not on all units","Duplicated")))</f>
        <v>OK</v>
      </c>
    </row>
    <row r="67" spans="1:9" x14ac:dyDescent="0.3">
      <c r="A67" s="13" t="s">
        <v>4789</v>
      </c>
      <c r="B67" s="14" t="s">
        <v>308</v>
      </c>
      <c r="C67" s="14" t="s">
        <v>4788</v>
      </c>
      <c r="D67" s="19">
        <f>COUNTIFS(SSC_Ontology_Ver0.5!$A$128:$A$773,SUBSTITUTE($A67,"AHUB{N}",D$22),SSC_Ontology_Ver0.5!$C$128:$C$773,$B67,SSC_Ontology_Ver0.5!$D$128:$D$773,SUBSTITUTE($C67,"AHUB{N}",D$22))</f>
        <v>1</v>
      </c>
      <c r="E67" s="19">
        <f>COUNTIFS(SSC_Ontology_Ver0.5!$A$128:$A$773,SUBSTITUTE($A67,"AHUB{N}",E$22),SSC_Ontology_Ver0.5!$C$128:$C$773,$B67,SSC_Ontology_Ver0.5!$D$128:$D$773,SUBSTITUTE($C67,"AHUB{N}",E$22))</f>
        <v>1</v>
      </c>
      <c r="F67" s="19">
        <f>COUNTIFS(SSC_Ontology_Ver0.5!$A$128:$A$773,SUBSTITUTE($A67,"AHUB{N}",F$22),SSC_Ontology_Ver0.5!$C$128:$C$773,$B67,SSC_Ontology_Ver0.5!$D$128:$D$773,SUBSTITUTE($C67,"AHUB{N}",F$22))</f>
        <v>1</v>
      </c>
      <c r="G67" s="19">
        <f>COUNTIFS(SSC_Ontology_Ver0.5!$A$128:$A$773,SUBSTITUTE($A67,"AHUB{N}",G$22),SSC_Ontology_Ver0.5!$C$128:$C$773,$B67,SSC_Ontology_Ver0.5!$D$128:$D$773,SUBSTITUTE($C67,"AHUB{N}",G$22))</f>
        <v>1</v>
      </c>
      <c r="H67" s="19">
        <f>COUNTIFS(SSC_Ontology_Ver0.5!$A$128:$A$773,SUBSTITUTE($A67,"AHUB{N}",H$22),SSC_Ontology_Ver0.5!$C$128:$C$773,$B67,SSC_Ontology_Ver0.5!$D$128:$D$773,SUBSTITUTE($C67,"AHUB{N}",H$22))</f>
        <v>1</v>
      </c>
      <c r="I67" s="15" t="str">
        <f>IF($B67="rec:locatedIn","Excluded - location varies by unit",IF(AND(MIN(D67:H67)=MAX(D67:H67),MAX(D67:H67)=1),"OK",IF(MIN(D67:H67)=0,"Not on all units","Duplicated")))</f>
        <v>OK</v>
      </c>
    </row>
    <row r="68" spans="1:9" x14ac:dyDescent="0.3">
      <c r="A68" s="13" t="s">
        <v>4779</v>
      </c>
      <c r="B68" s="14" t="s">
        <v>11</v>
      </c>
      <c r="C68" s="14" t="s">
        <v>12</v>
      </c>
      <c r="D68" s="19">
        <f>COUNTIFS(SSC_Ontology_Ver0.5!$A$128:$A$773,SUBSTITUTE($A68,"AHUB{N}",D$22),SSC_Ontology_Ver0.5!$C$128:$C$773,$B68,SSC_Ontology_Ver0.5!$D$128:$D$773,SUBSTITUTE($C68,"AHUB{N}",D$22))</f>
        <v>1</v>
      </c>
      <c r="E68" s="19">
        <f>COUNTIFS(SSC_Ontology_Ver0.5!$A$128:$A$773,SUBSTITUTE($A68,"AHUB{N}",E$22),SSC_Ontology_Ver0.5!$C$128:$C$773,$B68,SSC_Ontology_Ver0.5!$D$128:$D$773,SUBSTITUTE($C68,"AHUB{N}",E$22))</f>
        <v>1</v>
      </c>
      <c r="F68" s="19">
        <f>COUNTIFS(SSC_Ontology_Ver0.5!$A$128:$A$773,SUBSTITUTE($A68,"AHUB{N}",F$22),SSC_Ontology_Ver0.5!$C$128:$C$773,$B68,SSC_Ontology_Ver0.5!$D$128:$D$773,SUBSTITUTE($C68,"AHUB{N}",F$22))</f>
        <v>1</v>
      </c>
      <c r="G68" s="19">
        <f>COUNTIFS(SSC_Ontology_Ver0.5!$A$128:$A$773,SUBSTITUTE($A68,"AHUB{N}",G$22),SSC_Ontology_Ver0.5!$C$128:$C$773,$B68,SSC_Ontology_Ver0.5!$D$128:$D$773,SUBSTITUTE($C68,"AHUB{N}",G$22))</f>
        <v>1</v>
      </c>
      <c r="H68" s="19">
        <f>COUNTIFS(SSC_Ontology_Ver0.5!$A$128:$A$773,SUBSTITUTE($A68,"AHUB{N}",H$22),SSC_Ontology_Ver0.5!$C$128:$C$773,$B68,SSC_Ontology_Ver0.5!$D$128:$D$773,SUBSTITUTE($C68,"AHUB{N}",H$22))</f>
        <v>1</v>
      </c>
      <c r="I68" s="15" t="str">
        <f>IF($B68="rec:locatedIn","Excluded - location varies by unit",IF(AND(MIN(D68:H68)=MAX(D68:H68),MAX(D68:H68)=1),"OK",IF(MIN(D68:H68)=0,"Not on all units","Duplicated")))</f>
        <v>OK</v>
      </c>
    </row>
    <row r="69" spans="1:9" x14ac:dyDescent="0.3">
      <c r="A69" s="13" t="s">
        <v>4766</v>
      </c>
      <c r="B69" s="14" t="s">
        <v>308</v>
      </c>
      <c r="C69" s="14" t="s">
        <v>4792</v>
      </c>
      <c r="D69" s="19">
        <f>COUNTIFS(SSC_Ontology_Ver0.5!$A$128:$A$773,SUBSTITUTE($A69,"AHUB{N}",D$22),SSC_Ontology_Ver0.5!$C$128:$C$773,$B69,SSC_Ontology_Ver0.5!$D$128:$D$773,SUBSTITUTE($C69,"AHUB{N}",D$22))</f>
        <v>1</v>
      </c>
      <c r="E69" s="19">
        <f>COUNTIFS(SSC_Ontology_Ver0.5!$A$128:$A$773,SUBSTITUTE($A69,"AHUB{N}",E$22),SSC_Ontology_Ver0.5!$C$128:$C$773,$B69,SSC_Ontology_Ver0.5!$D$128:$D$773,SUBSTITUTE($C69,"AHUB{N}",E$22))</f>
        <v>1</v>
      </c>
      <c r="F69" s="19">
        <f>COUNTIFS(SSC_Ontology_Ver0.5!$A$128:$A$773,SUBSTITUTE($A69,"AHUB{N}",F$22),SSC_Ontology_Ver0.5!$C$128:$C$773,$B69,SSC_Ontology_Ver0.5!$D$128:$D$773,SUBSTITUTE($C69,"AHUB{N}",F$22))</f>
        <v>1</v>
      </c>
      <c r="G69" s="19">
        <f>COUNTIFS(SSC_Ontology_Ver0.5!$A$128:$A$773,SUBSTITUTE($A69,"AHUB{N}",G$22),SSC_Ontology_Ver0.5!$C$128:$C$773,$B69,SSC_Ontology_Ver0.5!$D$128:$D$773,SUBSTITUTE($C69,"AHUB{N}",G$22))</f>
        <v>1</v>
      </c>
      <c r="H69" s="19">
        <f>COUNTIFS(SSC_Ontology_Ver0.5!$A$128:$A$773,SUBSTITUTE($A69,"AHUB{N}",H$22),SSC_Ontology_Ver0.5!$C$128:$C$773,$B69,SSC_Ontology_Ver0.5!$D$128:$D$773,SUBSTITUTE($C69,"AHUB{N}",H$22))</f>
        <v>1</v>
      </c>
      <c r="I69" s="15" t="str">
        <f>IF($B69="rec:locatedIn","Excluded - location varies by unit",IF(AND(MIN(D69:H69)=MAX(D69:H69),MAX(D69:H69)=1),"OK",IF(MIN(D69:H69)=0,"Not on all units","Duplicated")))</f>
        <v>OK</v>
      </c>
    </row>
    <row r="70" spans="1:9" x14ac:dyDescent="0.3">
      <c r="A70" s="13" t="s">
        <v>4766</v>
      </c>
      <c r="B70" s="14" t="s">
        <v>308</v>
      </c>
      <c r="C70" s="14" t="s">
        <v>4793</v>
      </c>
      <c r="D70" s="19">
        <f>COUNTIFS(SSC_Ontology_Ver0.5!$A$128:$A$773,SUBSTITUTE($A70,"AHUB{N}",D$22),SSC_Ontology_Ver0.5!$C$128:$C$773,$B70,SSC_Ontology_Ver0.5!$D$128:$D$773,SUBSTITUTE($C70,"AHUB{N}",D$22))</f>
        <v>1</v>
      </c>
      <c r="E70" s="19">
        <f>COUNTIFS(SSC_Ontology_Ver0.5!$A$128:$A$773,SUBSTITUTE($A70,"AHUB{N}",E$22),SSC_Ontology_Ver0.5!$C$128:$C$773,$B70,SSC_Ontology_Ver0.5!$D$128:$D$773,SUBSTITUTE($C70,"AHUB{N}",E$22))</f>
        <v>1</v>
      </c>
      <c r="F70" s="19">
        <f>COUNTIFS(SSC_Ontology_Ver0.5!$A$128:$A$773,SUBSTITUTE($A70,"AHUB{N}",F$22),SSC_Ontology_Ver0.5!$C$128:$C$773,$B70,SSC_Ontology_Ver0.5!$D$128:$D$773,SUBSTITUTE($C70,"AHUB{N}",F$22))</f>
        <v>1</v>
      </c>
      <c r="G70" s="19">
        <f>COUNTIFS(SSC_Ontology_Ver0.5!$A$128:$A$773,SUBSTITUTE($A70,"AHUB{N}",G$22),SSC_Ontology_Ver0.5!$C$128:$C$773,$B70,SSC_Ontology_Ver0.5!$D$128:$D$773,SUBSTITUTE($C70,"AHUB{N}",G$22))</f>
        <v>1</v>
      </c>
      <c r="H70" s="19">
        <f>COUNTIFS(SSC_Ontology_Ver0.5!$A$128:$A$773,SUBSTITUTE($A70,"AHUB{N}",H$22),SSC_Ontology_Ver0.5!$C$128:$C$773,$B70,SSC_Ontology_Ver0.5!$D$128:$D$773,SUBSTITUTE($C70,"AHUB{N}",H$22))</f>
        <v>1</v>
      </c>
      <c r="I70" s="15" t="str">
        <f>IF($B70="rec:locatedIn","Excluded - location varies by unit",IF(AND(MIN(D70:H70)=MAX(D70:H70),MAX(D70:H70)=1),"OK",IF(MIN(D70:H70)=0,"Not on all units","Duplicated")))</f>
        <v>OK</v>
      </c>
    </row>
    <row r="71" spans="1:9" x14ac:dyDescent="0.3">
      <c r="A71" s="13" t="s">
        <v>4766</v>
      </c>
      <c r="B71" s="14" t="s">
        <v>308</v>
      </c>
      <c r="C71" s="14" t="s">
        <v>4794</v>
      </c>
      <c r="D71" s="19">
        <f>COUNTIFS(SSC_Ontology_Ver0.5!$A$128:$A$773,SUBSTITUTE($A71,"AHUB{N}",D$22),SSC_Ontology_Ver0.5!$C$128:$C$773,$B71,SSC_Ontology_Ver0.5!$D$128:$D$773,SUBSTITUTE($C71,"AHUB{N}",D$22))</f>
        <v>1</v>
      </c>
      <c r="E71" s="19">
        <f>COUNTIFS(SSC_Ontology_Ver0.5!$A$128:$A$773,SUBSTITUTE($A71,"AHUB{N}",E$22),SSC_Ontology_Ver0.5!$C$128:$C$773,$B71,SSC_Ontology_Ver0.5!$D$128:$D$773,SUBSTITUTE($C71,"AHUB{N}",E$22))</f>
        <v>1</v>
      </c>
      <c r="F71" s="19">
        <f>COUNTIFS(SSC_Ontology_Ver0.5!$A$128:$A$773,SUBSTITUTE($A71,"AHUB{N}",F$22),SSC_Ontology_Ver0.5!$C$128:$C$773,$B71,SSC_Ontology_Ver0.5!$D$128:$D$773,SUBSTITUTE($C71,"AHUB{N}",F$22))</f>
        <v>1</v>
      </c>
      <c r="G71" s="19">
        <f>COUNTIFS(SSC_Ontology_Ver0.5!$A$128:$A$773,SUBSTITUTE($A71,"AHUB{N}",G$22),SSC_Ontology_Ver0.5!$C$128:$C$773,$B71,SSC_Ontology_Ver0.5!$D$128:$D$773,SUBSTITUTE($C71,"AHUB{N}",G$22))</f>
        <v>1</v>
      </c>
      <c r="H71" s="19">
        <f>COUNTIFS(SSC_Ontology_Ver0.5!$A$128:$A$773,SUBSTITUTE($A71,"AHUB{N}",H$22),SSC_Ontology_Ver0.5!$C$128:$C$773,$B71,SSC_Ontology_Ver0.5!$D$128:$D$773,SUBSTITUTE($C71,"AHUB{N}",H$22))</f>
        <v>1</v>
      </c>
      <c r="I71" s="15" t="str">
        <f>IF($B71="rec:locatedIn","Excluded - location varies by unit",IF(AND(MIN(D71:H71)=MAX(D71:H71),MAX(D71:H71)=1),"OK",IF(MIN(D71:H71)=0,"Not on all units","Duplicated")))</f>
        <v>OK</v>
      </c>
    </row>
    <row r="72" spans="1:9" x14ac:dyDescent="0.3">
      <c r="A72" s="13" t="s">
        <v>4792</v>
      </c>
      <c r="B72" s="14" t="s">
        <v>11</v>
      </c>
      <c r="C72" s="14" t="s">
        <v>12</v>
      </c>
      <c r="D72" s="19">
        <f>COUNTIFS(SSC_Ontology_Ver0.5!$A$128:$A$773,SUBSTITUTE($A72,"AHUB{N}",D$22),SSC_Ontology_Ver0.5!$C$128:$C$773,$B72,SSC_Ontology_Ver0.5!$D$128:$D$773,SUBSTITUTE($C72,"AHUB{N}",D$22))</f>
        <v>1</v>
      </c>
      <c r="E72" s="19">
        <f>COUNTIFS(SSC_Ontology_Ver0.5!$A$128:$A$773,SUBSTITUTE($A72,"AHUB{N}",E$22),SSC_Ontology_Ver0.5!$C$128:$C$773,$B72,SSC_Ontology_Ver0.5!$D$128:$D$773,SUBSTITUTE($C72,"AHUB{N}",E$22))</f>
        <v>1</v>
      </c>
      <c r="F72" s="19">
        <f>COUNTIFS(SSC_Ontology_Ver0.5!$A$128:$A$773,SUBSTITUTE($A72,"AHUB{N}",F$22),SSC_Ontology_Ver0.5!$C$128:$C$773,$B72,SSC_Ontology_Ver0.5!$D$128:$D$773,SUBSTITUTE($C72,"AHUB{N}",F$22))</f>
        <v>1</v>
      </c>
      <c r="G72" s="19">
        <f>COUNTIFS(SSC_Ontology_Ver0.5!$A$128:$A$773,SUBSTITUTE($A72,"AHUB{N}",G$22),SSC_Ontology_Ver0.5!$C$128:$C$773,$B72,SSC_Ontology_Ver0.5!$D$128:$D$773,SUBSTITUTE($C72,"AHUB{N}",G$22))</f>
        <v>1</v>
      </c>
      <c r="H72" s="19">
        <f>COUNTIFS(SSC_Ontology_Ver0.5!$A$128:$A$773,SUBSTITUTE($A72,"AHUB{N}",H$22),SSC_Ontology_Ver0.5!$C$128:$C$773,$B72,SSC_Ontology_Ver0.5!$D$128:$D$773,SUBSTITUTE($C72,"AHUB{N}",H$22))</f>
        <v>1</v>
      </c>
      <c r="I72" s="15" t="str">
        <f>IF($B72="rec:locatedIn","Excluded - location varies by unit",IF(AND(MIN(D72:H72)=MAX(D72:H72),MAX(D72:H72)=1),"OK",IF(MIN(D72:H72)=0,"Not on all units","Duplicated")))</f>
        <v>OK</v>
      </c>
    </row>
    <row r="73" spans="1:9" x14ac:dyDescent="0.3">
      <c r="A73" s="13" t="s">
        <v>4793</v>
      </c>
      <c r="B73" s="14" t="s">
        <v>11</v>
      </c>
      <c r="C73" s="14" t="s">
        <v>12</v>
      </c>
      <c r="D73" s="19">
        <f>COUNTIFS(SSC_Ontology_Ver0.5!$A$128:$A$773,SUBSTITUTE($A73,"AHUB{N}",D$22),SSC_Ontology_Ver0.5!$C$128:$C$773,$B73,SSC_Ontology_Ver0.5!$D$128:$D$773,SUBSTITUTE($C73,"AHUB{N}",D$22))</f>
        <v>1</v>
      </c>
      <c r="E73" s="19">
        <f>COUNTIFS(SSC_Ontology_Ver0.5!$A$128:$A$773,SUBSTITUTE($A73,"AHUB{N}",E$22),SSC_Ontology_Ver0.5!$C$128:$C$773,$B73,SSC_Ontology_Ver0.5!$D$128:$D$773,SUBSTITUTE($C73,"AHUB{N}",E$22))</f>
        <v>1</v>
      </c>
      <c r="F73" s="19">
        <f>COUNTIFS(SSC_Ontology_Ver0.5!$A$128:$A$773,SUBSTITUTE($A73,"AHUB{N}",F$22),SSC_Ontology_Ver0.5!$C$128:$C$773,$B73,SSC_Ontology_Ver0.5!$D$128:$D$773,SUBSTITUTE($C73,"AHUB{N}",F$22))</f>
        <v>1</v>
      </c>
      <c r="G73" s="19">
        <f>COUNTIFS(SSC_Ontology_Ver0.5!$A$128:$A$773,SUBSTITUTE($A73,"AHUB{N}",G$22),SSC_Ontology_Ver0.5!$C$128:$C$773,$B73,SSC_Ontology_Ver0.5!$D$128:$D$773,SUBSTITUTE($C73,"AHUB{N}",G$22))</f>
        <v>1</v>
      </c>
      <c r="H73" s="19">
        <f>COUNTIFS(SSC_Ontology_Ver0.5!$A$128:$A$773,SUBSTITUTE($A73,"AHUB{N}",H$22),SSC_Ontology_Ver0.5!$C$128:$C$773,$B73,SSC_Ontology_Ver0.5!$D$128:$D$773,SUBSTITUTE($C73,"AHUB{N}",H$22))</f>
        <v>1</v>
      </c>
      <c r="I73" s="15" t="str">
        <f>IF($B73="rec:locatedIn","Excluded - location varies by unit",IF(AND(MIN(D73:H73)=MAX(D73:H73),MAX(D73:H73)=1),"OK",IF(MIN(D73:H73)=0,"Not on all units","Duplicated")))</f>
        <v>OK</v>
      </c>
    </row>
    <row r="74" spans="1:9" x14ac:dyDescent="0.3">
      <c r="A74" s="13" t="s">
        <v>4794</v>
      </c>
      <c r="B74" s="14" t="s">
        <v>11</v>
      </c>
      <c r="C74" s="14" t="s">
        <v>12</v>
      </c>
      <c r="D74" s="19">
        <f>COUNTIFS(SSC_Ontology_Ver0.5!$A$128:$A$773,SUBSTITUTE($A74,"AHUB{N}",D$22),SSC_Ontology_Ver0.5!$C$128:$C$773,$B74,SSC_Ontology_Ver0.5!$D$128:$D$773,SUBSTITUTE($C74,"AHUB{N}",D$22))</f>
        <v>1</v>
      </c>
      <c r="E74" s="19">
        <f>COUNTIFS(SSC_Ontology_Ver0.5!$A$128:$A$773,SUBSTITUTE($A74,"AHUB{N}",E$22),SSC_Ontology_Ver0.5!$C$128:$C$773,$B74,SSC_Ontology_Ver0.5!$D$128:$D$773,SUBSTITUTE($C74,"AHUB{N}",E$22))</f>
        <v>1</v>
      </c>
      <c r="F74" s="19">
        <f>COUNTIFS(SSC_Ontology_Ver0.5!$A$128:$A$773,SUBSTITUTE($A74,"AHUB{N}",F$22),SSC_Ontology_Ver0.5!$C$128:$C$773,$B74,SSC_Ontology_Ver0.5!$D$128:$D$773,SUBSTITUTE($C74,"AHUB{N}",F$22))</f>
        <v>1</v>
      </c>
      <c r="G74" s="19">
        <f>COUNTIFS(SSC_Ontology_Ver0.5!$A$128:$A$773,SUBSTITUTE($A74,"AHUB{N}",G$22),SSC_Ontology_Ver0.5!$C$128:$C$773,$B74,SSC_Ontology_Ver0.5!$D$128:$D$773,SUBSTITUTE($C74,"AHUB{N}",G$22))</f>
        <v>1</v>
      </c>
      <c r="H74" s="19">
        <f>COUNTIFS(SSC_Ontology_Ver0.5!$A$128:$A$773,SUBSTITUTE($A74,"AHUB{N}",H$22),SSC_Ontology_Ver0.5!$C$128:$C$773,$B74,SSC_Ontology_Ver0.5!$D$128:$D$773,SUBSTITUTE($C74,"AHUB{N}",H$22))</f>
        <v>1</v>
      </c>
      <c r="I74" s="15" t="str">
        <f>IF($B74="rec:locatedIn","Excluded - location varies by unit",IF(AND(MIN(D74:H74)=MAX(D74:H74),MAX(D74:H74)=1),"OK",IF(MIN(D74:H74)=0,"Not on all units","Duplicated")))</f>
        <v>OK</v>
      </c>
    </row>
    <row r="75" spans="1:9" x14ac:dyDescent="0.3">
      <c r="A75" s="13" t="s">
        <v>4782</v>
      </c>
      <c r="B75" s="14" t="s">
        <v>11</v>
      </c>
      <c r="C75" s="14" t="s">
        <v>12</v>
      </c>
      <c r="D75" s="19">
        <f>COUNTIFS(SSC_Ontology_Ver0.5!$A$128:$A$773,SUBSTITUTE($A75,"AHUB{N}",D$22),SSC_Ontology_Ver0.5!$C$128:$C$773,$B75,SSC_Ontology_Ver0.5!$D$128:$D$773,SUBSTITUTE($C75,"AHUB{N}",D$22))</f>
        <v>1</v>
      </c>
      <c r="E75" s="19">
        <f>COUNTIFS(SSC_Ontology_Ver0.5!$A$128:$A$773,SUBSTITUTE($A75,"AHUB{N}",E$22),SSC_Ontology_Ver0.5!$C$128:$C$773,$B75,SSC_Ontology_Ver0.5!$D$128:$D$773,SUBSTITUTE($C75,"AHUB{N}",E$22))</f>
        <v>1</v>
      </c>
      <c r="F75" s="19">
        <f>COUNTIFS(SSC_Ontology_Ver0.5!$A$128:$A$773,SUBSTITUTE($A75,"AHUB{N}",F$22),SSC_Ontology_Ver0.5!$C$128:$C$773,$B75,SSC_Ontology_Ver0.5!$D$128:$D$773,SUBSTITUTE($C75,"AHUB{N}",F$22))</f>
        <v>1</v>
      </c>
      <c r="G75" s="19">
        <f>COUNTIFS(SSC_Ontology_Ver0.5!$A$128:$A$773,SUBSTITUTE($A75,"AHUB{N}",G$22),SSC_Ontology_Ver0.5!$C$128:$C$773,$B75,SSC_Ontology_Ver0.5!$D$128:$D$773,SUBSTITUTE($C75,"AHUB{N}",G$22))</f>
        <v>1</v>
      </c>
      <c r="H75" s="19">
        <f>COUNTIFS(SSC_Ontology_Ver0.5!$A$128:$A$773,SUBSTITUTE($A75,"AHUB{N}",H$22),SSC_Ontology_Ver0.5!$C$128:$C$773,$B75,SSC_Ontology_Ver0.5!$D$128:$D$773,SUBSTITUTE($C75,"AHUB{N}",H$22))</f>
        <v>1</v>
      </c>
      <c r="I75" s="15" t="str">
        <f>IF($B75="rec:locatedIn","Excluded - location varies by unit",IF(AND(MIN(D75:H75)=MAX(D75:H75),MAX(D75:H75)=1),"OK",IF(MIN(D75:H75)=0,"Not on all units","Duplicated")))</f>
        <v>OK</v>
      </c>
    </row>
    <row r="76" spans="1:9" x14ac:dyDescent="0.3">
      <c r="A76" s="13" t="s">
        <v>4768</v>
      </c>
      <c r="B76" s="14" t="s">
        <v>308</v>
      </c>
      <c r="C76" s="14" t="s">
        <v>4795</v>
      </c>
      <c r="D76" s="19">
        <f>COUNTIFS(SSC_Ontology_Ver0.5!$A$128:$A$773,SUBSTITUTE($A76,"AHUB{N}",D$22),SSC_Ontology_Ver0.5!$C$128:$C$773,$B76,SSC_Ontology_Ver0.5!$D$128:$D$773,SUBSTITUTE($C76,"AHUB{N}",D$22))</f>
        <v>1</v>
      </c>
      <c r="E76" s="19">
        <f>COUNTIFS(SSC_Ontology_Ver0.5!$A$128:$A$773,SUBSTITUTE($A76,"AHUB{N}",E$22),SSC_Ontology_Ver0.5!$C$128:$C$773,$B76,SSC_Ontology_Ver0.5!$D$128:$D$773,SUBSTITUTE($C76,"AHUB{N}",E$22))</f>
        <v>1</v>
      </c>
      <c r="F76" s="19">
        <f>COUNTIFS(SSC_Ontology_Ver0.5!$A$128:$A$773,SUBSTITUTE($A76,"AHUB{N}",F$22),SSC_Ontology_Ver0.5!$C$128:$C$773,$B76,SSC_Ontology_Ver0.5!$D$128:$D$773,SUBSTITUTE($C76,"AHUB{N}",F$22))</f>
        <v>1</v>
      </c>
      <c r="G76" s="19">
        <f>COUNTIFS(SSC_Ontology_Ver0.5!$A$128:$A$773,SUBSTITUTE($A76,"AHUB{N}",G$22),SSC_Ontology_Ver0.5!$C$128:$C$773,$B76,SSC_Ontology_Ver0.5!$D$128:$D$773,SUBSTITUTE($C76,"AHUB{N}",G$22))</f>
        <v>1</v>
      </c>
      <c r="H76" s="19">
        <f>COUNTIFS(SSC_Ontology_Ver0.5!$A$128:$A$773,SUBSTITUTE($A76,"AHUB{N}",H$22),SSC_Ontology_Ver0.5!$C$128:$C$773,$B76,SSC_Ontology_Ver0.5!$D$128:$D$773,SUBSTITUTE($C76,"AHUB{N}",H$22))</f>
        <v>1</v>
      </c>
      <c r="I76" s="15" t="str">
        <f>IF($B76="rec:locatedIn","Excluded - location varies by unit",IF(AND(MIN(D76:H76)=MAX(D76:H76),MAX(D76:H76)=1),"OK",IF(MIN(D76:H76)=0,"Not on all units","Duplicated")))</f>
        <v>OK</v>
      </c>
    </row>
    <row r="77" spans="1:9" x14ac:dyDescent="0.3">
      <c r="A77" s="13" t="s">
        <v>4795</v>
      </c>
      <c r="B77" s="14" t="s">
        <v>11</v>
      </c>
      <c r="C77" s="14" t="s">
        <v>12</v>
      </c>
      <c r="D77" s="19">
        <f>COUNTIFS(SSC_Ontology_Ver0.5!$A$128:$A$773,SUBSTITUTE($A77,"AHUB{N}",D$22),SSC_Ontology_Ver0.5!$C$128:$C$773,$B77,SSC_Ontology_Ver0.5!$D$128:$D$773,SUBSTITUTE($C77,"AHUB{N}",D$22))</f>
        <v>1</v>
      </c>
      <c r="E77" s="19">
        <f>COUNTIFS(SSC_Ontology_Ver0.5!$A$128:$A$773,SUBSTITUTE($A77,"AHUB{N}",E$22),SSC_Ontology_Ver0.5!$C$128:$C$773,$B77,SSC_Ontology_Ver0.5!$D$128:$D$773,SUBSTITUTE($C77,"AHUB{N}",E$22))</f>
        <v>1</v>
      </c>
      <c r="F77" s="19">
        <f>COUNTIFS(SSC_Ontology_Ver0.5!$A$128:$A$773,SUBSTITUTE($A77,"AHUB{N}",F$22),SSC_Ontology_Ver0.5!$C$128:$C$773,$B77,SSC_Ontology_Ver0.5!$D$128:$D$773,SUBSTITUTE($C77,"AHUB{N}",F$22))</f>
        <v>1</v>
      </c>
      <c r="G77" s="19">
        <f>COUNTIFS(SSC_Ontology_Ver0.5!$A$128:$A$773,SUBSTITUTE($A77,"AHUB{N}",G$22),SSC_Ontology_Ver0.5!$C$128:$C$773,$B77,SSC_Ontology_Ver0.5!$D$128:$D$773,SUBSTITUTE($C77,"AHUB{N}",G$22))</f>
        <v>1</v>
      </c>
      <c r="H77" s="19">
        <f>COUNTIFS(SSC_Ontology_Ver0.5!$A$128:$A$773,SUBSTITUTE($A77,"AHUB{N}",H$22),SSC_Ontology_Ver0.5!$C$128:$C$773,$B77,SSC_Ontology_Ver0.5!$D$128:$D$773,SUBSTITUTE($C77,"AHUB{N}",H$22))</f>
        <v>1</v>
      </c>
      <c r="I77" s="15" t="str">
        <f>IF($B77="rec:locatedIn","Excluded - location varies by unit",IF(AND(MIN(D77:H77)=MAX(D77:H77),MAX(D77:H77)=1),"OK",IF(MIN(D77:H77)=0,"Not on all units","Duplicated")))</f>
        <v>OK</v>
      </c>
    </row>
    <row r="78" spans="1:9" x14ac:dyDescent="0.3">
      <c r="A78" s="13" t="s">
        <v>4784</v>
      </c>
      <c r="B78" s="14" t="s">
        <v>11</v>
      </c>
      <c r="C78" s="14" t="s">
        <v>12</v>
      </c>
      <c r="D78" s="19">
        <f>COUNTIFS(SSC_Ontology_Ver0.5!$A$128:$A$773,SUBSTITUTE($A78,"AHUB{N}",D$22),SSC_Ontology_Ver0.5!$C$128:$C$773,$B78,SSC_Ontology_Ver0.5!$D$128:$D$773,SUBSTITUTE($C78,"AHUB{N}",D$22))</f>
        <v>1</v>
      </c>
      <c r="E78" s="19">
        <f>COUNTIFS(SSC_Ontology_Ver0.5!$A$128:$A$773,SUBSTITUTE($A78,"AHUB{N}",E$22),SSC_Ontology_Ver0.5!$C$128:$C$773,$B78,SSC_Ontology_Ver0.5!$D$128:$D$773,SUBSTITUTE($C78,"AHUB{N}",E$22))</f>
        <v>1</v>
      </c>
      <c r="F78" s="19">
        <f>COUNTIFS(SSC_Ontology_Ver0.5!$A$128:$A$773,SUBSTITUTE($A78,"AHUB{N}",F$22),SSC_Ontology_Ver0.5!$C$128:$C$773,$B78,SSC_Ontology_Ver0.5!$D$128:$D$773,SUBSTITUTE($C78,"AHUB{N}",F$22))</f>
        <v>1</v>
      </c>
      <c r="G78" s="19">
        <f>COUNTIFS(SSC_Ontology_Ver0.5!$A$128:$A$773,SUBSTITUTE($A78,"AHUB{N}",G$22),SSC_Ontology_Ver0.5!$C$128:$C$773,$B78,SSC_Ontology_Ver0.5!$D$128:$D$773,SUBSTITUTE($C78,"AHUB{N}",G$22))</f>
        <v>1</v>
      </c>
      <c r="H78" s="19">
        <f>COUNTIFS(SSC_Ontology_Ver0.5!$A$128:$A$773,SUBSTITUTE($A78,"AHUB{N}",H$22),SSC_Ontology_Ver0.5!$C$128:$C$773,$B78,SSC_Ontology_Ver0.5!$D$128:$D$773,SUBSTITUTE($C78,"AHUB{N}",H$22))</f>
        <v>1</v>
      </c>
      <c r="I78" s="15" t="str">
        <f>IF($B78="rec:locatedIn","Excluded - location varies by unit",IF(AND(MIN(D78:H78)=MAX(D78:H78),MAX(D78:H78)=1),"OK",IF(MIN(D78:H78)=0,"Not on all units","Duplicated")))</f>
        <v>OK</v>
      </c>
    </row>
    <row r="79" spans="1:9" x14ac:dyDescent="0.3">
      <c r="A79" s="13" t="s">
        <v>4774</v>
      </c>
      <c r="B79" s="14" t="s">
        <v>11</v>
      </c>
      <c r="C79" s="14" t="s">
        <v>12</v>
      </c>
      <c r="D79" s="19">
        <f>COUNTIFS(SSC_Ontology_Ver0.5!$A$128:$A$773,SUBSTITUTE($A79,"AHUB{N}",D$22),SSC_Ontology_Ver0.5!$C$128:$C$773,$B79,SSC_Ontology_Ver0.5!$D$128:$D$773,SUBSTITUTE($C79,"AHUB{N}",D$22))</f>
        <v>1</v>
      </c>
      <c r="E79" s="19">
        <f>COUNTIFS(SSC_Ontology_Ver0.5!$A$128:$A$773,SUBSTITUTE($A79,"AHUB{N}",E$22),SSC_Ontology_Ver0.5!$C$128:$C$773,$B79,SSC_Ontology_Ver0.5!$D$128:$D$773,SUBSTITUTE($C79,"AHUB{N}",E$22))</f>
        <v>1</v>
      </c>
      <c r="F79" s="19">
        <f>COUNTIFS(SSC_Ontology_Ver0.5!$A$128:$A$773,SUBSTITUTE($A79,"AHUB{N}",F$22),SSC_Ontology_Ver0.5!$C$128:$C$773,$B79,SSC_Ontology_Ver0.5!$D$128:$D$773,SUBSTITUTE($C79,"AHUB{N}",F$22))</f>
        <v>1</v>
      </c>
      <c r="G79" s="19">
        <f>COUNTIFS(SSC_Ontology_Ver0.5!$A$128:$A$773,SUBSTITUTE($A79,"AHUB{N}",G$22),SSC_Ontology_Ver0.5!$C$128:$C$773,$B79,SSC_Ontology_Ver0.5!$D$128:$D$773,SUBSTITUTE($C79,"AHUB{N}",G$22))</f>
        <v>1</v>
      </c>
      <c r="H79" s="19">
        <f>COUNTIFS(SSC_Ontology_Ver0.5!$A$128:$A$773,SUBSTITUTE($A79,"AHUB{N}",H$22),SSC_Ontology_Ver0.5!$C$128:$C$773,$B79,SSC_Ontology_Ver0.5!$D$128:$D$773,SUBSTITUTE($C79,"AHUB{N}",H$22))</f>
        <v>1</v>
      </c>
      <c r="I79" s="15" t="str">
        <f>IF($B79="rec:locatedIn","Excluded - location varies by unit",IF(AND(MIN(D79:H79)=MAX(D79:H79),MAX(D79:H79)=1),"OK",IF(MIN(D79:H79)=0,"Not on all units","Duplicated")))</f>
        <v>OK</v>
      </c>
    </row>
    <row r="80" spans="1:9" x14ac:dyDescent="0.3">
      <c r="A80" s="13" t="s">
        <v>4765</v>
      </c>
      <c r="B80" s="14" t="s">
        <v>308</v>
      </c>
      <c r="C80" s="14" t="s">
        <v>4796</v>
      </c>
      <c r="D80" s="19">
        <f>COUNTIFS(SSC_Ontology_Ver0.5!$A$128:$A$773,SUBSTITUTE($A80,"AHUB{N}",D$22),SSC_Ontology_Ver0.5!$C$128:$C$773,$B80,SSC_Ontology_Ver0.5!$D$128:$D$773,SUBSTITUTE($C80,"AHUB{N}",D$22))</f>
        <v>1</v>
      </c>
      <c r="E80" s="19">
        <f>COUNTIFS(SSC_Ontology_Ver0.5!$A$128:$A$773,SUBSTITUTE($A80,"AHUB{N}",E$22),SSC_Ontology_Ver0.5!$C$128:$C$773,$B80,SSC_Ontology_Ver0.5!$D$128:$D$773,SUBSTITUTE($C80,"AHUB{N}",E$22))</f>
        <v>1</v>
      </c>
      <c r="F80" s="19">
        <f>COUNTIFS(SSC_Ontology_Ver0.5!$A$128:$A$773,SUBSTITUTE($A80,"AHUB{N}",F$22),SSC_Ontology_Ver0.5!$C$128:$C$773,$B80,SSC_Ontology_Ver0.5!$D$128:$D$773,SUBSTITUTE($C80,"AHUB{N}",F$22))</f>
        <v>1</v>
      </c>
      <c r="G80" s="19">
        <f>COUNTIFS(SSC_Ontology_Ver0.5!$A$128:$A$773,SUBSTITUTE($A80,"AHUB{N}",G$22),SSC_Ontology_Ver0.5!$C$128:$C$773,$B80,SSC_Ontology_Ver0.5!$D$128:$D$773,SUBSTITUTE($C80,"AHUB{N}",G$22))</f>
        <v>1</v>
      </c>
      <c r="H80" s="19">
        <f>COUNTIFS(SSC_Ontology_Ver0.5!$A$128:$A$773,SUBSTITUTE($A80,"AHUB{N}",H$22),SSC_Ontology_Ver0.5!$C$128:$C$773,$B80,SSC_Ontology_Ver0.5!$D$128:$D$773,SUBSTITUTE($C80,"AHUB{N}",H$22))</f>
        <v>1</v>
      </c>
      <c r="I80" s="15" t="str">
        <f>IF($B80="rec:locatedIn","Excluded - location varies by unit",IF(AND(MIN(D80:H80)=MAX(D80:H80),MAX(D80:H80)=1),"OK",IF(MIN(D80:H80)=0,"Not on all units","Duplicated")))</f>
        <v>OK</v>
      </c>
    </row>
    <row r="81" spans="1:9" x14ac:dyDescent="0.3">
      <c r="A81" s="13" t="s">
        <v>4765</v>
      </c>
      <c r="B81" s="14" t="s">
        <v>308</v>
      </c>
      <c r="C81" s="14" t="s">
        <v>4797</v>
      </c>
      <c r="D81" s="19">
        <f>COUNTIFS(SSC_Ontology_Ver0.5!$A$128:$A$773,SUBSTITUTE($A81,"AHUB{N}",D$22),SSC_Ontology_Ver0.5!$C$128:$C$773,$B81,SSC_Ontology_Ver0.5!$D$128:$D$773,SUBSTITUTE($C81,"AHUB{N}",D$22))</f>
        <v>1</v>
      </c>
      <c r="E81" s="19">
        <f>COUNTIFS(SSC_Ontology_Ver0.5!$A$128:$A$773,SUBSTITUTE($A81,"AHUB{N}",E$22),SSC_Ontology_Ver0.5!$C$128:$C$773,$B81,SSC_Ontology_Ver0.5!$D$128:$D$773,SUBSTITUTE($C81,"AHUB{N}",E$22))</f>
        <v>1</v>
      </c>
      <c r="F81" s="19">
        <f>COUNTIFS(SSC_Ontology_Ver0.5!$A$128:$A$773,SUBSTITUTE($A81,"AHUB{N}",F$22),SSC_Ontology_Ver0.5!$C$128:$C$773,$B81,SSC_Ontology_Ver0.5!$D$128:$D$773,SUBSTITUTE($C81,"AHUB{N}",F$22))</f>
        <v>1</v>
      </c>
      <c r="G81" s="19">
        <f>COUNTIFS(SSC_Ontology_Ver0.5!$A$128:$A$773,SUBSTITUTE($A81,"AHUB{N}",G$22),SSC_Ontology_Ver0.5!$C$128:$C$773,$B81,SSC_Ontology_Ver0.5!$D$128:$D$773,SUBSTITUTE($C81,"AHUB{N}",G$22))</f>
        <v>1</v>
      </c>
      <c r="H81" s="19">
        <f>COUNTIFS(SSC_Ontology_Ver0.5!$A$128:$A$773,SUBSTITUTE($A81,"AHUB{N}",H$22),SSC_Ontology_Ver0.5!$C$128:$C$773,$B81,SSC_Ontology_Ver0.5!$D$128:$D$773,SUBSTITUTE($C81,"AHUB{N}",H$22))</f>
        <v>1</v>
      </c>
      <c r="I81" s="15" t="str">
        <f>IF($B81="rec:locatedIn","Excluded - location varies by unit",IF(AND(MIN(D81:H81)=MAX(D81:H81),MAX(D81:H81)=1),"OK",IF(MIN(D81:H81)=0,"Not on all units","Duplicated")))</f>
        <v>OK</v>
      </c>
    </row>
    <row r="82" spans="1:9" x14ac:dyDescent="0.3">
      <c r="A82" s="13" t="s">
        <v>4796</v>
      </c>
      <c r="B82" s="14" t="s">
        <v>11</v>
      </c>
      <c r="C82" s="14" t="s">
        <v>12</v>
      </c>
      <c r="D82" s="19">
        <f>COUNTIFS(SSC_Ontology_Ver0.5!$A$128:$A$773,SUBSTITUTE($A82,"AHUB{N}",D$22),SSC_Ontology_Ver0.5!$C$128:$C$773,$B82,SSC_Ontology_Ver0.5!$D$128:$D$773,SUBSTITUTE($C82,"AHUB{N}",D$22))</f>
        <v>1</v>
      </c>
      <c r="E82" s="19">
        <f>COUNTIFS(SSC_Ontology_Ver0.5!$A$128:$A$773,SUBSTITUTE($A82,"AHUB{N}",E$22),SSC_Ontology_Ver0.5!$C$128:$C$773,$B82,SSC_Ontology_Ver0.5!$D$128:$D$773,SUBSTITUTE($C82,"AHUB{N}",E$22))</f>
        <v>1</v>
      </c>
      <c r="F82" s="19">
        <f>COUNTIFS(SSC_Ontology_Ver0.5!$A$128:$A$773,SUBSTITUTE($A82,"AHUB{N}",F$22),SSC_Ontology_Ver0.5!$C$128:$C$773,$B82,SSC_Ontology_Ver0.5!$D$128:$D$773,SUBSTITUTE($C82,"AHUB{N}",F$22))</f>
        <v>1</v>
      </c>
      <c r="G82" s="19">
        <f>COUNTIFS(SSC_Ontology_Ver0.5!$A$128:$A$773,SUBSTITUTE($A82,"AHUB{N}",G$22),SSC_Ontology_Ver0.5!$C$128:$C$773,$B82,SSC_Ontology_Ver0.5!$D$128:$D$773,SUBSTITUTE($C82,"AHUB{N}",G$22))</f>
        <v>1</v>
      </c>
      <c r="H82" s="19">
        <f>COUNTIFS(SSC_Ontology_Ver0.5!$A$128:$A$773,SUBSTITUTE($A82,"AHUB{N}",H$22),SSC_Ontology_Ver0.5!$C$128:$C$773,$B82,SSC_Ontology_Ver0.5!$D$128:$D$773,SUBSTITUTE($C82,"AHUB{N}",H$22))</f>
        <v>1</v>
      </c>
      <c r="I82" s="15" t="str">
        <f>IF($B82="rec:locatedIn","Excluded - location varies by unit",IF(AND(MIN(D82:H82)=MAX(D82:H82),MAX(D82:H82)=1),"OK",IF(MIN(D82:H82)=0,"Not on all units","Duplicated")))</f>
        <v>OK</v>
      </c>
    </row>
    <row r="83" spans="1:9" x14ac:dyDescent="0.3">
      <c r="A83" s="13" t="s">
        <v>4797</v>
      </c>
      <c r="B83" s="14" t="s">
        <v>11</v>
      </c>
      <c r="C83" s="14" t="s">
        <v>12</v>
      </c>
      <c r="D83" s="19">
        <f>COUNTIFS(SSC_Ontology_Ver0.5!$A$128:$A$773,SUBSTITUTE($A83,"AHUB{N}",D$22),SSC_Ontology_Ver0.5!$C$128:$C$773,$B83,SSC_Ontology_Ver0.5!$D$128:$D$773,SUBSTITUTE($C83,"AHUB{N}",D$22))</f>
        <v>1</v>
      </c>
      <c r="E83" s="19">
        <f>COUNTIFS(SSC_Ontology_Ver0.5!$A$128:$A$773,SUBSTITUTE($A83,"AHUB{N}",E$22),SSC_Ontology_Ver0.5!$C$128:$C$773,$B83,SSC_Ontology_Ver0.5!$D$128:$D$773,SUBSTITUTE($C83,"AHUB{N}",E$22))</f>
        <v>1</v>
      </c>
      <c r="F83" s="19">
        <f>COUNTIFS(SSC_Ontology_Ver0.5!$A$128:$A$773,SUBSTITUTE($A83,"AHUB{N}",F$22),SSC_Ontology_Ver0.5!$C$128:$C$773,$B83,SSC_Ontology_Ver0.5!$D$128:$D$773,SUBSTITUTE($C83,"AHUB{N}",F$22))</f>
        <v>1</v>
      </c>
      <c r="G83" s="19">
        <f>COUNTIFS(SSC_Ontology_Ver0.5!$A$128:$A$773,SUBSTITUTE($A83,"AHUB{N}",G$22),SSC_Ontology_Ver0.5!$C$128:$C$773,$B83,SSC_Ontology_Ver0.5!$D$128:$D$773,SUBSTITUTE($C83,"AHUB{N}",G$22))</f>
        <v>1</v>
      </c>
      <c r="H83" s="19">
        <f>COUNTIFS(SSC_Ontology_Ver0.5!$A$128:$A$773,SUBSTITUTE($A83,"AHUB{N}",H$22),SSC_Ontology_Ver0.5!$C$128:$C$773,$B83,SSC_Ontology_Ver0.5!$D$128:$D$773,SUBSTITUTE($C83,"AHUB{N}",H$22))</f>
        <v>1</v>
      </c>
      <c r="I83" s="15" t="str">
        <f>IF($B83="rec:locatedIn","Excluded - location varies by unit",IF(AND(MIN(D83:H83)=MAX(D83:H83),MAX(D83:H83)=1),"OK",IF(MIN(D83:H83)=0,"Not on all units","Duplicated")))</f>
        <v>OK</v>
      </c>
    </row>
    <row r="84" spans="1:9" x14ac:dyDescent="0.3">
      <c r="A84" s="13" t="s">
        <v>4769</v>
      </c>
      <c r="B84" s="14" t="s">
        <v>11</v>
      </c>
      <c r="C84" s="14" t="s">
        <v>12</v>
      </c>
      <c r="D84" s="19">
        <f>COUNTIFS(SSC_Ontology_Ver0.5!$A$128:$A$773,SUBSTITUTE($A84,"AHUB{N}",D$22),SSC_Ontology_Ver0.5!$C$128:$C$773,$B84,SSC_Ontology_Ver0.5!$D$128:$D$773,SUBSTITUTE($C84,"AHUB{N}",D$22))</f>
        <v>1</v>
      </c>
      <c r="E84" s="19">
        <f>COUNTIFS(SSC_Ontology_Ver0.5!$A$128:$A$773,SUBSTITUTE($A84,"AHUB{N}",E$22),SSC_Ontology_Ver0.5!$C$128:$C$773,$B84,SSC_Ontology_Ver0.5!$D$128:$D$773,SUBSTITUTE($C84,"AHUB{N}",E$22))</f>
        <v>1</v>
      </c>
      <c r="F84" s="19">
        <f>COUNTIFS(SSC_Ontology_Ver0.5!$A$128:$A$773,SUBSTITUTE($A84,"AHUB{N}",F$22),SSC_Ontology_Ver0.5!$C$128:$C$773,$B84,SSC_Ontology_Ver0.5!$D$128:$D$773,SUBSTITUTE($C84,"AHUB{N}",F$22))</f>
        <v>1</v>
      </c>
      <c r="G84" s="19">
        <f>COUNTIFS(SSC_Ontology_Ver0.5!$A$128:$A$773,SUBSTITUTE($A84,"AHUB{N}",G$22),SSC_Ontology_Ver0.5!$C$128:$C$773,$B84,SSC_Ontology_Ver0.5!$D$128:$D$773,SUBSTITUTE($C84,"AHUB{N}",G$22))</f>
        <v>1</v>
      </c>
      <c r="H84" s="19">
        <f>COUNTIFS(SSC_Ontology_Ver0.5!$A$128:$A$773,SUBSTITUTE($A84,"AHUB{N}",H$22),SSC_Ontology_Ver0.5!$C$128:$C$773,$B84,SSC_Ontology_Ver0.5!$D$128:$D$773,SUBSTITUTE($C84,"AHUB{N}",H$22))</f>
        <v>1</v>
      </c>
      <c r="I84" s="15" t="str">
        <f>IF($B84="rec:locatedIn","Excluded - location varies by unit",IF(AND(MIN(D84:H84)=MAX(D84:H84),MAX(D84:H84)=1),"OK",IF(MIN(D84:H84)=0,"Not on all units","Duplicated")))</f>
        <v>OK</v>
      </c>
    </row>
    <row r="85" spans="1:9" x14ac:dyDescent="0.3">
      <c r="A85" s="13" t="s">
        <v>4770</v>
      </c>
      <c r="B85" s="14" t="s">
        <v>11</v>
      </c>
      <c r="C85" s="14" t="s">
        <v>12</v>
      </c>
      <c r="D85" s="19">
        <f>COUNTIFS(SSC_Ontology_Ver0.5!$A$128:$A$773,SUBSTITUTE($A85,"AHUB{N}",D$22),SSC_Ontology_Ver0.5!$C$128:$C$773,$B85,SSC_Ontology_Ver0.5!$D$128:$D$773,SUBSTITUTE($C85,"AHUB{N}",D$22))</f>
        <v>1</v>
      </c>
      <c r="E85" s="19">
        <f>COUNTIFS(SSC_Ontology_Ver0.5!$A$128:$A$773,SUBSTITUTE($A85,"AHUB{N}",E$22),SSC_Ontology_Ver0.5!$C$128:$C$773,$B85,SSC_Ontology_Ver0.5!$D$128:$D$773,SUBSTITUTE($C85,"AHUB{N}",E$22))</f>
        <v>1</v>
      </c>
      <c r="F85" s="19">
        <f>COUNTIFS(SSC_Ontology_Ver0.5!$A$128:$A$773,SUBSTITUTE($A85,"AHUB{N}",F$22),SSC_Ontology_Ver0.5!$C$128:$C$773,$B85,SSC_Ontology_Ver0.5!$D$128:$D$773,SUBSTITUTE($C85,"AHUB{N}",F$22))</f>
        <v>1</v>
      </c>
      <c r="G85" s="19">
        <f>COUNTIFS(SSC_Ontology_Ver0.5!$A$128:$A$773,SUBSTITUTE($A85,"AHUB{N}",G$22),SSC_Ontology_Ver0.5!$C$128:$C$773,$B85,SSC_Ontology_Ver0.5!$D$128:$D$773,SUBSTITUTE($C85,"AHUB{N}",G$22))</f>
        <v>1</v>
      </c>
      <c r="H85" s="19">
        <f>COUNTIFS(SSC_Ontology_Ver0.5!$A$128:$A$773,SUBSTITUTE($A85,"AHUB{N}",H$22),SSC_Ontology_Ver0.5!$C$128:$C$773,$B85,SSC_Ontology_Ver0.5!$D$128:$D$773,SUBSTITUTE($C85,"AHUB{N}",H$22))</f>
        <v>1</v>
      </c>
      <c r="I85" s="15" t="str">
        <f>IF($B85="rec:locatedIn","Excluded - location varies by unit",IF(AND(MIN(D85:H85)=MAX(D85:H85),MAX(D85:H85)=1),"OK",IF(MIN(D85:H85)=0,"Not on all units","Duplicated")))</f>
        <v>OK</v>
      </c>
    </row>
    <row r="86" spans="1:9" x14ac:dyDescent="0.3">
      <c r="A86" s="13" t="s">
        <v>4763</v>
      </c>
      <c r="B86" s="14" t="s">
        <v>308</v>
      </c>
      <c r="C86" s="14" t="s">
        <v>4798</v>
      </c>
      <c r="D86" s="19">
        <f>COUNTIFS(SSC_Ontology_Ver0.5!$A$128:$A$773,SUBSTITUTE($A86,"AHUB{N}",D$22),SSC_Ontology_Ver0.5!$C$128:$C$773,$B86,SSC_Ontology_Ver0.5!$D$128:$D$773,SUBSTITUTE($C86,"AHUB{N}",D$22))</f>
        <v>1</v>
      </c>
      <c r="E86" s="19">
        <f>COUNTIFS(SSC_Ontology_Ver0.5!$A$128:$A$773,SUBSTITUTE($A86,"AHUB{N}",E$22),SSC_Ontology_Ver0.5!$C$128:$C$773,$B86,SSC_Ontology_Ver0.5!$D$128:$D$773,SUBSTITUTE($C86,"AHUB{N}",E$22))</f>
        <v>1</v>
      </c>
      <c r="F86" s="19">
        <f>COUNTIFS(SSC_Ontology_Ver0.5!$A$128:$A$773,SUBSTITUTE($A86,"AHUB{N}",F$22),SSC_Ontology_Ver0.5!$C$128:$C$773,$B86,SSC_Ontology_Ver0.5!$D$128:$D$773,SUBSTITUTE($C86,"AHUB{N}",F$22))</f>
        <v>1</v>
      </c>
      <c r="G86" s="19">
        <f>COUNTIFS(SSC_Ontology_Ver0.5!$A$128:$A$773,SUBSTITUTE($A86,"AHUB{N}",G$22),SSC_Ontology_Ver0.5!$C$128:$C$773,$B86,SSC_Ontology_Ver0.5!$D$128:$D$773,SUBSTITUTE($C86,"AHUB{N}",G$22))</f>
        <v>1</v>
      </c>
      <c r="H86" s="19">
        <f>COUNTIFS(SSC_Ontology_Ver0.5!$A$128:$A$773,SUBSTITUTE($A86,"AHUB{N}",H$22),SSC_Ontology_Ver0.5!$C$128:$C$773,$B86,SSC_Ontology_Ver0.5!$D$128:$D$773,SUBSTITUTE($C86,"AHUB{N}",H$22))</f>
        <v>1</v>
      </c>
      <c r="I86" s="15" t="str">
        <f>IF($B86="rec:locatedIn","Excluded - location varies by unit",IF(AND(MIN(D86:H86)=MAX(D86:H86),MAX(D86:H86)=1),"OK",IF(MIN(D86:H86)=0,"Not on all units","Duplicated")))</f>
        <v>OK</v>
      </c>
    </row>
    <row r="87" spans="1:9" x14ac:dyDescent="0.3">
      <c r="A87" s="13" t="s">
        <v>4763</v>
      </c>
      <c r="B87" s="14" t="s">
        <v>308</v>
      </c>
      <c r="C87" s="14" t="s">
        <v>4799</v>
      </c>
      <c r="D87" s="19">
        <f>COUNTIFS(SSC_Ontology_Ver0.5!$A$128:$A$773,SUBSTITUTE($A87,"AHUB{N}",D$22),SSC_Ontology_Ver0.5!$C$128:$C$773,$B87,SSC_Ontology_Ver0.5!$D$128:$D$773,SUBSTITUTE($C87,"AHUB{N}",D$22))</f>
        <v>1</v>
      </c>
      <c r="E87" s="19">
        <f>COUNTIFS(SSC_Ontology_Ver0.5!$A$128:$A$773,SUBSTITUTE($A87,"AHUB{N}",E$22),SSC_Ontology_Ver0.5!$C$128:$C$773,$B87,SSC_Ontology_Ver0.5!$D$128:$D$773,SUBSTITUTE($C87,"AHUB{N}",E$22))</f>
        <v>1</v>
      </c>
      <c r="F87" s="19">
        <f>COUNTIFS(SSC_Ontology_Ver0.5!$A$128:$A$773,SUBSTITUTE($A87,"AHUB{N}",F$22),SSC_Ontology_Ver0.5!$C$128:$C$773,$B87,SSC_Ontology_Ver0.5!$D$128:$D$773,SUBSTITUTE($C87,"AHUB{N}",F$22))</f>
        <v>1</v>
      </c>
      <c r="G87" s="19">
        <f>COUNTIFS(SSC_Ontology_Ver0.5!$A$128:$A$773,SUBSTITUTE($A87,"AHUB{N}",G$22),SSC_Ontology_Ver0.5!$C$128:$C$773,$B87,SSC_Ontology_Ver0.5!$D$128:$D$773,SUBSTITUTE($C87,"AHUB{N}",G$22))</f>
        <v>1</v>
      </c>
      <c r="H87" s="19">
        <f>COUNTIFS(SSC_Ontology_Ver0.5!$A$128:$A$773,SUBSTITUTE($A87,"AHUB{N}",H$22),SSC_Ontology_Ver0.5!$C$128:$C$773,$B87,SSC_Ontology_Ver0.5!$D$128:$D$773,SUBSTITUTE($C87,"AHUB{N}",H$22))</f>
        <v>1</v>
      </c>
      <c r="I87" s="15" t="str">
        <f>IF($B87="rec:locatedIn","Excluded - location varies by unit",IF(AND(MIN(D87:H87)=MAX(D87:H87),MAX(D87:H87)=1),"OK",IF(MIN(D87:H87)=0,"Not on all units","Duplicated")))</f>
        <v>OK</v>
      </c>
    </row>
    <row r="88" spans="1:9" x14ac:dyDescent="0.3">
      <c r="A88" s="13" t="s">
        <v>4763</v>
      </c>
      <c r="B88" s="14" t="s">
        <v>308</v>
      </c>
      <c r="C88" s="14" t="s">
        <v>4800</v>
      </c>
      <c r="D88" s="19">
        <f>COUNTIFS(SSC_Ontology_Ver0.5!$A$128:$A$773,SUBSTITUTE($A88,"AHUB{N}",D$22),SSC_Ontology_Ver0.5!$C$128:$C$773,$B88,SSC_Ontology_Ver0.5!$D$128:$D$773,SUBSTITUTE($C88,"AHUB{N}",D$22))</f>
        <v>1</v>
      </c>
      <c r="E88" s="19">
        <f>COUNTIFS(SSC_Ontology_Ver0.5!$A$128:$A$773,SUBSTITUTE($A88,"AHUB{N}",E$22),SSC_Ontology_Ver0.5!$C$128:$C$773,$B88,SSC_Ontology_Ver0.5!$D$128:$D$773,SUBSTITUTE($C88,"AHUB{N}",E$22))</f>
        <v>1</v>
      </c>
      <c r="F88" s="19">
        <f>COUNTIFS(SSC_Ontology_Ver0.5!$A$128:$A$773,SUBSTITUTE($A88,"AHUB{N}",F$22),SSC_Ontology_Ver0.5!$C$128:$C$773,$B88,SSC_Ontology_Ver0.5!$D$128:$D$773,SUBSTITUTE($C88,"AHUB{N}",F$22))</f>
        <v>1</v>
      </c>
      <c r="G88" s="19">
        <f>COUNTIFS(SSC_Ontology_Ver0.5!$A$128:$A$773,SUBSTITUTE($A88,"AHUB{N}",G$22),SSC_Ontology_Ver0.5!$C$128:$C$773,$B88,SSC_Ontology_Ver0.5!$D$128:$D$773,SUBSTITUTE($C88,"AHUB{N}",G$22))</f>
        <v>1</v>
      </c>
      <c r="H88" s="19">
        <f>COUNTIFS(SSC_Ontology_Ver0.5!$A$128:$A$773,SUBSTITUTE($A88,"AHUB{N}",H$22),SSC_Ontology_Ver0.5!$C$128:$C$773,$B88,SSC_Ontology_Ver0.5!$D$128:$D$773,SUBSTITUTE($C88,"AHUB{N}",H$22))</f>
        <v>1</v>
      </c>
      <c r="I88" s="15" t="str">
        <f>IF($B88="rec:locatedIn","Excluded - location varies by unit",IF(AND(MIN(D88:H88)=MAX(D88:H88),MAX(D88:H88)=1),"OK",IF(MIN(D88:H88)=0,"Not on all units","Duplicated")))</f>
        <v>OK</v>
      </c>
    </row>
    <row r="89" spans="1:9" x14ac:dyDescent="0.3">
      <c r="A89" s="13" t="s">
        <v>4798</v>
      </c>
      <c r="B89" s="14" t="s">
        <v>11</v>
      </c>
      <c r="C89" s="14" t="s">
        <v>12</v>
      </c>
      <c r="D89" s="19">
        <f>COUNTIFS(SSC_Ontology_Ver0.5!$A$128:$A$773,SUBSTITUTE($A89,"AHUB{N}",D$22),SSC_Ontology_Ver0.5!$C$128:$C$773,$B89,SSC_Ontology_Ver0.5!$D$128:$D$773,SUBSTITUTE($C89,"AHUB{N}",D$22))</f>
        <v>1</v>
      </c>
      <c r="E89" s="19">
        <f>COUNTIFS(SSC_Ontology_Ver0.5!$A$128:$A$773,SUBSTITUTE($A89,"AHUB{N}",E$22),SSC_Ontology_Ver0.5!$C$128:$C$773,$B89,SSC_Ontology_Ver0.5!$D$128:$D$773,SUBSTITUTE($C89,"AHUB{N}",E$22))</f>
        <v>1</v>
      </c>
      <c r="F89" s="19">
        <f>COUNTIFS(SSC_Ontology_Ver0.5!$A$128:$A$773,SUBSTITUTE($A89,"AHUB{N}",F$22),SSC_Ontology_Ver0.5!$C$128:$C$773,$B89,SSC_Ontology_Ver0.5!$D$128:$D$773,SUBSTITUTE($C89,"AHUB{N}",F$22))</f>
        <v>1</v>
      </c>
      <c r="G89" s="19">
        <f>COUNTIFS(SSC_Ontology_Ver0.5!$A$128:$A$773,SUBSTITUTE($A89,"AHUB{N}",G$22),SSC_Ontology_Ver0.5!$C$128:$C$773,$B89,SSC_Ontology_Ver0.5!$D$128:$D$773,SUBSTITUTE($C89,"AHUB{N}",G$22))</f>
        <v>1</v>
      </c>
      <c r="H89" s="19">
        <f>COUNTIFS(SSC_Ontology_Ver0.5!$A$128:$A$773,SUBSTITUTE($A89,"AHUB{N}",H$22),SSC_Ontology_Ver0.5!$C$128:$C$773,$B89,SSC_Ontology_Ver0.5!$D$128:$D$773,SUBSTITUTE($C89,"AHUB{N}",H$22))</f>
        <v>1</v>
      </c>
      <c r="I89" s="15" t="str">
        <f>IF($B89="rec:locatedIn","Excluded - location varies by unit",IF(AND(MIN(D89:H89)=MAX(D89:H89),MAX(D89:H89)=1),"OK",IF(MIN(D89:H89)=0,"Not on all units","Duplicated")))</f>
        <v>OK</v>
      </c>
    </row>
    <row r="90" spans="1:9" x14ac:dyDescent="0.3">
      <c r="A90" s="13" t="s">
        <v>4799</v>
      </c>
      <c r="B90" s="14" t="s">
        <v>11</v>
      </c>
      <c r="C90" s="14" t="s">
        <v>12</v>
      </c>
      <c r="D90" s="19">
        <f>COUNTIFS(SSC_Ontology_Ver0.5!$A$128:$A$773,SUBSTITUTE($A90,"AHUB{N}",D$22),SSC_Ontology_Ver0.5!$C$128:$C$773,$B90,SSC_Ontology_Ver0.5!$D$128:$D$773,SUBSTITUTE($C90,"AHUB{N}",D$22))</f>
        <v>1</v>
      </c>
      <c r="E90" s="19">
        <f>COUNTIFS(SSC_Ontology_Ver0.5!$A$128:$A$773,SUBSTITUTE($A90,"AHUB{N}",E$22),SSC_Ontology_Ver0.5!$C$128:$C$773,$B90,SSC_Ontology_Ver0.5!$D$128:$D$773,SUBSTITUTE($C90,"AHUB{N}",E$22))</f>
        <v>1</v>
      </c>
      <c r="F90" s="19">
        <f>COUNTIFS(SSC_Ontology_Ver0.5!$A$128:$A$773,SUBSTITUTE($A90,"AHUB{N}",F$22),SSC_Ontology_Ver0.5!$C$128:$C$773,$B90,SSC_Ontology_Ver0.5!$D$128:$D$773,SUBSTITUTE($C90,"AHUB{N}",F$22))</f>
        <v>1</v>
      </c>
      <c r="G90" s="19">
        <f>COUNTIFS(SSC_Ontology_Ver0.5!$A$128:$A$773,SUBSTITUTE($A90,"AHUB{N}",G$22),SSC_Ontology_Ver0.5!$C$128:$C$773,$B90,SSC_Ontology_Ver0.5!$D$128:$D$773,SUBSTITUTE($C90,"AHUB{N}",G$22))</f>
        <v>1</v>
      </c>
      <c r="H90" s="19">
        <f>COUNTIFS(SSC_Ontology_Ver0.5!$A$128:$A$773,SUBSTITUTE($A90,"AHUB{N}",H$22),SSC_Ontology_Ver0.5!$C$128:$C$773,$B90,SSC_Ontology_Ver0.5!$D$128:$D$773,SUBSTITUTE($C90,"AHUB{N}",H$22))</f>
        <v>1</v>
      </c>
      <c r="I90" s="15" t="str">
        <f>IF($B90="rec:locatedIn","Excluded - location varies by unit",IF(AND(MIN(D90:H90)=MAX(D90:H90),MAX(D90:H90)=1),"OK",IF(MIN(D90:H90)=0,"Not on all units","Duplicated")))</f>
        <v>OK</v>
      </c>
    </row>
    <row r="91" spans="1:9" x14ac:dyDescent="0.3">
      <c r="A91" s="13" t="s">
        <v>4800</v>
      </c>
      <c r="B91" s="14" t="s">
        <v>11</v>
      </c>
      <c r="C91" s="14" t="s">
        <v>12</v>
      </c>
      <c r="D91" s="19">
        <f>COUNTIFS(SSC_Ontology_Ver0.5!$A$128:$A$773,SUBSTITUTE($A91,"AHUB{N}",D$22),SSC_Ontology_Ver0.5!$C$128:$C$773,$B91,SSC_Ontology_Ver0.5!$D$128:$D$773,SUBSTITUTE($C91,"AHUB{N}",D$22))</f>
        <v>1</v>
      </c>
      <c r="E91" s="19">
        <f>COUNTIFS(SSC_Ontology_Ver0.5!$A$128:$A$773,SUBSTITUTE($A91,"AHUB{N}",E$22),SSC_Ontology_Ver0.5!$C$128:$C$773,$B91,SSC_Ontology_Ver0.5!$D$128:$D$773,SUBSTITUTE($C91,"AHUB{N}",E$22))</f>
        <v>1</v>
      </c>
      <c r="F91" s="19">
        <f>COUNTIFS(SSC_Ontology_Ver0.5!$A$128:$A$773,SUBSTITUTE($A91,"AHUB{N}",F$22),SSC_Ontology_Ver0.5!$C$128:$C$773,$B91,SSC_Ontology_Ver0.5!$D$128:$D$773,SUBSTITUTE($C91,"AHUB{N}",F$22))</f>
        <v>1</v>
      </c>
      <c r="G91" s="19">
        <f>COUNTIFS(SSC_Ontology_Ver0.5!$A$128:$A$773,SUBSTITUTE($A91,"AHUB{N}",G$22),SSC_Ontology_Ver0.5!$C$128:$C$773,$B91,SSC_Ontology_Ver0.5!$D$128:$D$773,SUBSTITUTE($C91,"AHUB{N}",G$22))</f>
        <v>1</v>
      </c>
      <c r="H91" s="19">
        <f>COUNTIFS(SSC_Ontology_Ver0.5!$A$128:$A$773,SUBSTITUTE($A91,"AHUB{N}",H$22),SSC_Ontology_Ver0.5!$C$128:$C$773,$B91,SSC_Ontology_Ver0.5!$D$128:$D$773,SUBSTITUTE($C91,"AHUB{N}",H$22))</f>
        <v>1</v>
      </c>
      <c r="I91" s="15" t="str">
        <f>IF($B91="rec:locatedIn","Excluded - location varies by unit",IF(AND(MIN(D91:H91)=MAX(D91:H91),MAX(D91:H91)=1),"OK",IF(MIN(D91:H91)=0,"Not on all units","Duplicated")))</f>
        <v>OK</v>
      </c>
    </row>
    <row r="92" spans="1:9" x14ac:dyDescent="0.3">
      <c r="A92" s="13" t="s">
        <v>4780</v>
      </c>
      <c r="B92" s="14" t="s">
        <v>11</v>
      </c>
      <c r="C92" s="14" t="s">
        <v>12</v>
      </c>
      <c r="D92" s="19">
        <f>COUNTIFS(SSC_Ontology_Ver0.5!$A$128:$A$773,SUBSTITUTE($A92,"AHUB{N}",D$22),SSC_Ontology_Ver0.5!$C$128:$C$773,$B92,SSC_Ontology_Ver0.5!$D$128:$D$773,SUBSTITUTE($C92,"AHUB{N}",D$22))</f>
        <v>1</v>
      </c>
      <c r="E92" s="19">
        <f>COUNTIFS(SSC_Ontology_Ver0.5!$A$128:$A$773,SUBSTITUTE($A92,"AHUB{N}",E$22),SSC_Ontology_Ver0.5!$C$128:$C$773,$B92,SSC_Ontology_Ver0.5!$D$128:$D$773,SUBSTITUTE($C92,"AHUB{N}",E$22))</f>
        <v>1</v>
      </c>
      <c r="F92" s="19">
        <f>COUNTIFS(SSC_Ontology_Ver0.5!$A$128:$A$773,SUBSTITUTE($A92,"AHUB{N}",F$22),SSC_Ontology_Ver0.5!$C$128:$C$773,$B92,SSC_Ontology_Ver0.5!$D$128:$D$773,SUBSTITUTE($C92,"AHUB{N}",F$22))</f>
        <v>1</v>
      </c>
      <c r="G92" s="19">
        <f>COUNTIFS(SSC_Ontology_Ver0.5!$A$128:$A$773,SUBSTITUTE($A92,"AHUB{N}",G$22),SSC_Ontology_Ver0.5!$C$128:$C$773,$B92,SSC_Ontology_Ver0.5!$D$128:$D$773,SUBSTITUTE($C92,"AHUB{N}",G$22))</f>
        <v>1</v>
      </c>
      <c r="H92" s="19">
        <f>COUNTIFS(SSC_Ontology_Ver0.5!$A$128:$A$773,SUBSTITUTE($A92,"AHUB{N}",H$22),SSC_Ontology_Ver0.5!$C$128:$C$773,$B92,SSC_Ontology_Ver0.5!$D$128:$D$773,SUBSTITUTE($C92,"AHUB{N}",H$22))</f>
        <v>1</v>
      </c>
      <c r="I92" s="15" t="str">
        <f>IF($B92="rec:locatedIn","Excluded - location varies by unit",IF(AND(MIN(D92:H92)=MAX(D92:H92),MAX(D92:H92)=1),"OK",IF(MIN(D92:H92)=0,"Not on all units","Duplicated")))</f>
        <v>OK</v>
      </c>
    </row>
    <row r="93" spans="1:9" x14ac:dyDescent="0.3">
      <c r="A93" s="13" t="s">
        <v>4778</v>
      </c>
      <c r="B93" s="14" t="s">
        <v>11</v>
      </c>
      <c r="C93" s="14" t="s">
        <v>12</v>
      </c>
      <c r="D93" s="19">
        <f>COUNTIFS(SSC_Ontology_Ver0.5!$A$128:$A$773,SUBSTITUTE($A93,"AHUB{N}",D$22),SSC_Ontology_Ver0.5!$C$128:$C$773,$B93,SSC_Ontology_Ver0.5!$D$128:$D$773,SUBSTITUTE($C93,"AHUB{N}",D$22))</f>
        <v>1</v>
      </c>
      <c r="E93" s="19">
        <f>COUNTIFS(SSC_Ontology_Ver0.5!$A$128:$A$773,SUBSTITUTE($A93,"AHUB{N}",E$22),SSC_Ontology_Ver0.5!$C$128:$C$773,$B93,SSC_Ontology_Ver0.5!$D$128:$D$773,SUBSTITUTE($C93,"AHUB{N}",E$22))</f>
        <v>1</v>
      </c>
      <c r="F93" s="19">
        <f>COUNTIFS(SSC_Ontology_Ver0.5!$A$128:$A$773,SUBSTITUTE($A93,"AHUB{N}",F$22),SSC_Ontology_Ver0.5!$C$128:$C$773,$B93,SSC_Ontology_Ver0.5!$D$128:$D$773,SUBSTITUTE($C93,"AHUB{N}",F$22))</f>
        <v>1</v>
      </c>
      <c r="G93" s="19">
        <f>COUNTIFS(SSC_Ontology_Ver0.5!$A$128:$A$773,SUBSTITUTE($A93,"AHUB{N}",G$22),SSC_Ontology_Ver0.5!$C$128:$C$773,$B93,SSC_Ontology_Ver0.5!$D$128:$D$773,SUBSTITUTE($C93,"AHUB{N}",G$22))</f>
        <v>1</v>
      </c>
      <c r="H93" s="19">
        <f>COUNTIFS(SSC_Ontology_Ver0.5!$A$128:$A$773,SUBSTITUTE($A93,"AHUB{N}",H$22),SSC_Ontology_Ver0.5!$C$128:$C$773,$B93,SSC_Ontology_Ver0.5!$D$128:$D$773,SUBSTITUTE($C93,"AHUB{N}",H$22))</f>
        <v>1</v>
      </c>
      <c r="I93" s="15" t="str">
        <f>IF($B93="rec:locatedIn","Excluded - location varies by unit",IF(AND(MIN(D93:H93)=MAX(D93:H93),MAX(D93:H93)=1),"OK",IF(MIN(D93:H93)=0,"Not on all units","Duplicated")))</f>
        <v>OK</v>
      </c>
    </row>
    <row r="94" spans="1:9" x14ac:dyDescent="0.3">
      <c r="A94" s="13" t="s">
        <v>4783</v>
      </c>
      <c r="B94" s="14" t="s">
        <v>11</v>
      </c>
      <c r="C94" s="14" t="s">
        <v>12</v>
      </c>
      <c r="D94" s="19">
        <f>COUNTIFS(SSC_Ontology_Ver0.5!$A$128:$A$773,SUBSTITUTE($A94,"AHUB{N}",D$22),SSC_Ontology_Ver0.5!$C$128:$C$773,$B94,SSC_Ontology_Ver0.5!$D$128:$D$773,SUBSTITUTE($C94,"AHUB{N}",D$22))</f>
        <v>1</v>
      </c>
      <c r="E94" s="19">
        <f>COUNTIFS(SSC_Ontology_Ver0.5!$A$128:$A$773,SUBSTITUTE($A94,"AHUB{N}",E$22),SSC_Ontology_Ver0.5!$C$128:$C$773,$B94,SSC_Ontology_Ver0.5!$D$128:$D$773,SUBSTITUTE($C94,"AHUB{N}",E$22))</f>
        <v>1</v>
      </c>
      <c r="F94" s="19">
        <f>COUNTIFS(SSC_Ontology_Ver0.5!$A$128:$A$773,SUBSTITUTE($A94,"AHUB{N}",F$22),SSC_Ontology_Ver0.5!$C$128:$C$773,$B94,SSC_Ontology_Ver0.5!$D$128:$D$773,SUBSTITUTE($C94,"AHUB{N}",F$22))</f>
        <v>1</v>
      </c>
      <c r="G94" s="19">
        <f>COUNTIFS(SSC_Ontology_Ver0.5!$A$128:$A$773,SUBSTITUTE($A94,"AHUB{N}",G$22),SSC_Ontology_Ver0.5!$C$128:$C$773,$B94,SSC_Ontology_Ver0.5!$D$128:$D$773,SUBSTITUTE($C94,"AHUB{N}",G$22))</f>
        <v>1</v>
      </c>
      <c r="H94" s="19">
        <f>COUNTIFS(SSC_Ontology_Ver0.5!$A$128:$A$773,SUBSTITUTE($A94,"AHUB{N}",H$22),SSC_Ontology_Ver0.5!$C$128:$C$773,$B94,SSC_Ontology_Ver0.5!$D$128:$D$773,SUBSTITUTE($C94,"AHUB{N}",H$22))</f>
        <v>1</v>
      </c>
      <c r="I94" s="15" t="str">
        <f>IF($B94="rec:locatedIn","Excluded - location varies by unit",IF(AND(MIN(D94:H94)=MAX(D94:H94),MAX(D94:H94)=1),"OK",IF(MIN(D94:H94)=0,"Not on all units","Duplicated")))</f>
        <v>OK</v>
      </c>
    </row>
    <row r="95" spans="1:9" x14ac:dyDescent="0.3">
      <c r="A95" s="13" t="s">
        <v>4773</v>
      </c>
      <c r="B95" s="14" t="s">
        <v>11</v>
      </c>
      <c r="C95" s="14" t="s">
        <v>12</v>
      </c>
      <c r="D95" s="19">
        <f>COUNTIFS(SSC_Ontology_Ver0.5!$A$128:$A$773,SUBSTITUTE($A95,"AHUB{N}",D$22),SSC_Ontology_Ver0.5!$C$128:$C$773,$B95,SSC_Ontology_Ver0.5!$D$128:$D$773,SUBSTITUTE($C95,"AHUB{N}",D$22))</f>
        <v>1</v>
      </c>
      <c r="E95" s="19">
        <f>COUNTIFS(SSC_Ontology_Ver0.5!$A$128:$A$773,SUBSTITUTE($A95,"AHUB{N}",E$22),SSC_Ontology_Ver0.5!$C$128:$C$773,$B95,SSC_Ontology_Ver0.5!$D$128:$D$773,SUBSTITUTE($C95,"AHUB{N}",E$22))</f>
        <v>1</v>
      </c>
      <c r="F95" s="19">
        <f>COUNTIFS(SSC_Ontology_Ver0.5!$A$128:$A$773,SUBSTITUTE($A95,"AHUB{N}",F$22),SSC_Ontology_Ver0.5!$C$128:$C$773,$B95,SSC_Ontology_Ver0.5!$D$128:$D$773,SUBSTITUTE($C95,"AHUB{N}",F$22))</f>
        <v>1</v>
      </c>
      <c r="G95" s="19">
        <f>COUNTIFS(SSC_Ontology_Ver0.5!$A$128:$A$773,SUBSTITUTE($A95,"AHUB{N}",G$22),SSC_Ontology_Ver0.5!$C$128:$C$773,$B95,SSC_Ontology_Ver0.5!$D$128:$D$773,SUBSTITUTE($C95,"AHUB{N}",G$22))</f>
        <v>1</v>
      </c>
      <c r="H95" s="19">
        <f>COUNTIFS(SSC_Ontology_Ver0.5!$A$128:$A$773,SUBSTITUTE($A95,"AHUB{N}",H$22),SSC_Ontology_Ver0.5!$C$128:$C$773,$B95,SSC_Ontology_Ver0.5!$D$128:$D$773,SUBSTITUTE($C95,"AHUB{N}",H$22))</f>
        <v>1</v>
      </c>
      <c r="I95" s="15" t="str">
        <f>IF($B95="rec:locatedIn","Excluded - location varies by unit",IF(AND(MIN(D95:H95)=MAX(D95:H95),MAX(D95:H95)=1),"OK",IF(MIN(D95:H95)=0,"Not on all units","Duplicated")))</f>
        <v>OK</v>
      </c>
    </row>
    <row r="96" spans="1:9" x14ac:dyDescent="0.3">
      <c r="A96" s="13" t="s">
        <v>4785</v>
      </c>
      <c r="B96" s="14" t="s">
        <v>11</v>
      </c>
      <c r="C96" s="14" t="s">
        <v>12</v>
      </c>
      <c r="D96" s="19">
        <f>COUNTIFS(SSC_Ontology_Ver0.5!$A$128:$A$773,SUBSTITUTE($A96,"AHUB{N}",D$22),SSC_Ontology_Ver0.5!$C$128:$C$773,$B96,SSC_Ontology_Ver0.5!$D$128:$D$773,SUBSTITUTE($C96,"AHUB{N}",D$22))</f>
        <v>1</v>
      </c>
      <c r="E96" s="19">
        <f>COUNTIFS(SSC_Ontology_Ver0.5!$A$128:$A$773,SUBSTITUTE($A96,"AHUB{N}",E$22),SSC_Ontology_Ver0.5!$C$128:$C$773,$B96,SSC_Ontology_Ver0.5!$D$128:$D$773,SUBSTITUTE($C96,"AHUB{N}",E$22))</f>
        <v>1</v>
      </c>
      <c r="F96" s="19">
        <f>COUNTIFS(SSC_Ontology_Ver0.5!$A$128:$A$773,SUBSTITUTE($A96,"AHUB{N}",F$22),SSC_Ontology_Ver0.5!$C$128:$C$773,$B96,SSC_Ontology_Ver0.5!$D$128:$D$773,SUBSTITUTE($C96,"AHUB{N}",F$22))</f>
        <v>1</v>
      </c>
      <c r="G96" s="19">
        <f>COUNTIFS(SSC_Ontology_Ver0.5!$A$128:$A$773,SUBSTITUTE($A96,"AHUB{N}",G$22),SSC_Ontology_Ver0.5!$C$128:$C$773,$B96,SSC_Ontology_Ver0.5!$D$128:$D$773,SUBSTITUTE($C96,"AHUB{N}",G$22))</f>
        <v>1</v>
      </c>
      <c r="H96" s="19">
        <f>COUNTIFS(SSC_Ontology_Ver0.5!$A$128:$A$773,SUBSTITUTE($A96,"AHUB{N}",H$22),SSC_Ontology_Ver0.5!$C$128:$C$773,$B96,SSC_Ontology_Ver0.5!$D$128:$D$773,SUBSTITUTE($C96,"AHUB{N}",H$22))</f>
        <v>1</v>
      </c>
      <c r="I96" s="15" t="str">
        <f>IF($B96="rec:locatedIn","Excluded - location varies by unit",IF(AND(MIN(D96:H96)=MAX(D96:H96),MAX(D96:H96)=1),"OK",IF(MIN(D96:H96)=0,"Not on all units","Duplicated")))</f>
        <v>OK</v>
      </c>
    </row>
    <row r="97" spans="1:9" x14ac:dyDescent="0.3">
      <c r="A97" s="13" t="s">
        <v>4771</v>
      </c>
      <c r="B97" s="14" t="s">
        <v>11</v>
      </c>
      <c r="C97" s="14" t="s">
        <v>12</v>
      </c>
      <c r="D97" s="19">
        <f>COUNTIFS(SSC_Ontology_Ver0.5!$A$128:$A$773,SUBSTITUTE($A97,"AHUB{N}",D$22),SSC_Ontology_Ver0.5!$C$128:$C$773,$B97,SSC_Ontology_Ver0.5!$D$128:$D$773,SUBSTITUTE($C97,"AHUB{N}",D$22))</f>
        <v>1</v>
      </c>
      <c r="E97" s="19">
        <f>COUNTIFS(SSC_Ontology_Ver0.5!$A$128:$A$773,SUBSTITUTE($A97,"AHUB{N}",E$22),SSC_Ontology_Ver0.5!$C$128:$C$773,$B97,SSC_Ontology_Ver0.5!$D$128:$D$773,SUBSTITUTE($C97,"AHUB{N}",E$22))</f>
        <v>1</v>
      </c>
      <c r="F97" s="19">
        <f>COUNTIFS(SSC_Ontology_Ver0.5!$A$128:$A$773,SUBSTITUTE($A97,"AHUB{N}",F$22),SSC_Ontology_Ver0.5!$C$128:$C$773,$B97,SSC_Ontology_Ver0.5!$D$128:$D$773,SUBSTITUTE($C97,"AHUB{N}",F$22))</f>
        <v>1</v>
      </c>
      <c r="G97" s="19">
        <f>COUNTIFS(SSC_Ontology_Ver0.5!$A$128:$A$773,SUBSTITUTE($A97,"AHUB{N}",G$22),SSC_Ontology_Ver0.5!$C$128:$C$773,$B97,SSC_Ontology_Ver0.5!$D$128:$D$773,SUBSTITUTE($C97,"AHUB{N}",G$22))</f>
        <v>1</v>
      </c>
      <c r="H97" s="19">
        <f>COUNTIFS(SSC_Ontology_Ver0.5!$A$128:$A$773,SUBSTITUTE($A97,"AHUB{N}",H$22),SSC_Ontology_Ver0.5!$C$128:$C$773,$B97,SSC_Ontology_Ver0.5!$D$128:$D$773,SUBSTITUTE($C97,"AHUB{N}",H$22))</f>
        <v>1</v>
      </c>
      <c r="I97" s="15" t="str">
        <f>IF($B97="rec:locatedIn","Excluded - location varies by unit",IF(AND(MIN(D97:H97)=MAX(D97:H97),MAX(D97:H97)=1),"OK",IF(MIN(D97:H97)=0,"Not on all units","Duplicated")))</f>
        <v>OK</v>
      </c>
    </row>
    <row r="98" spans="1:9" x14ac:dyDescent="0.3">
      <c r="A98" s="13" t="s">
        <v>4772</v>
      </c>
      <c r="B98" s="14" t="s">
        <v>11</v>
      </c>
      <c r="C98" s="14" t="s">
        <v>12</v>
      </c>
      <c r="D98" s="19">
        <f>COUNTIFS(SSC_Ontology_Ver0.5!$A$128:$A$773,SUBSTITUTE($A98,"AHUB{N}",D$22),SSC_Ontology_Ver0.5!$C$128:$C$773,$B98,SSC_Ontology_Ver0.5!$D$128:$D$773,SUBSTITUTE($C98,"AHUB{N}",D$22))</f>
        <v>1</v>
      </c>
      <c r="E98" s="19">
        <f>COUNTIFS(SSC_Ontology_Ver0.5!$A$128:$A$773,SUBSTITUTE($A98,"AHUB{N}",E$22),SSC_Ontology_Ver0.5!$C$128:$C$773,$B98,SSC_Ontology_Ver0.5!$D$128:$D$773,SUBSTITUTE($C98,"AHUB{N}",E$22))</f>
        <v>1</v>
      </c>
      <c r="F98" s="19">
        <f>COUNTIFS(SSC_Ontology_Ver0.5!$A$128:$A$773,SUBSTITUTE($A98,"AHUB{N}",F$22),SSC_Ontology_Ver0.5!$C$128:$C$773,$B98,SSC_Ontology_Ver0.5!$D$128:$D$773,SUBSTITUTE($C98,"AHUB{N}",F$22))</f>
        <v>1</v>
      </c>
      <c r="G98" s="19">
        <f>COUNTIFS(SSC_Ontology_Ver0.5!$A$128:$A$773,SUBSTITUTE($A98,"AHUB{N}",G$22),SSC_Ontology_Ver0.5!$C$128:$C$773,$B98,SSC_Ontology_Ver0.5!$D$128:$D$773,SUBSTITUTE($C98,"AHUB{N}",G$22))</f>
        <v>1</v>
      </c>
      <c r="H98" s="19">
        <f>COUNTIFS(SSC_Ontology_Ver0.5!$A$128:$A$773,SUBSTITUTE($A98,"AHUB{N}",H$22),SSC_Ontology_Ver0.5!$C$128:$C$773,$B98,SSC_Ontology_Ver0.5!$D$128:$D$773,SUBSTITUTE($C98,"AHUB{N}",H$22))</f>
        <v>1</v>
      </c>
      <c r="I98" s="15" t="str">
        <f>IF($B98="rec:locatedIn","Excluded - location varies by unit",IF(AND(MIN(D98:H98)=MAX(D98:H98),MAX(D98:H98)=1),"OK",IF(MIN(D98:H98)=0,"Not on all units","Duplicated")))</f>
        <v>OK</v>
      </c>
    </row>
    <row r="99" spans="1:9" x14ac:dyDescent="0.3">
      <c r="A99" s="13" t="s">
        <v>4764</v>
      </c>
      <c r="B99" s="14" t="s">
        <v>308</v>
      </c>
      <c r="C99" s="14" t="s">
        <v>4801</v>
      </c>
      <c r="D99" s="19">
        <f>COUNTIFS(SSC_Ontology_Ver0.5!$A$128:$A$773,SUBSTITUTE($A99,"AHUB{N}",D$22),SSC_Ontology_Ver0.5!$C$128:$C$773,$B99,SSC_Ontology_Ver0.5!$D$128:$D$773,SUBSTITUTE($C99,"AHUB{N}",D$22))</f>
        <v>1</v>
      </c>
      <c r="E99" s="19">
        <f>COUNTIFS(SSC_Ontology_Ver0.5!$A$128:$A$773,SUBSTITUTE($A99,"AHUB{N}",E$22),SSC_Ontology_Ver0.5!$C$128:$C$773,$B99,SSC_Ontology_Ver0.5!$D$128:$D$773,SUBSTITUTE($C99,"AHUB{N}",E$22))</f>
        <v>1</v>
      </c>
      <c r="F99" s="19">
        <f>COUNTIFS(SSC_Ontology_Ver0.5!$A$128:$A$773,SUBSTITUTE($A99,"AHUB{N}",F$22),SSC_Ontology_Ver0.5!$C$128:$C$773,$B99,SSC_Ontology_Ver0.5!$D$128:$D$773,SUBSTITUTE($C99,"AHUB{N}",F$22))</f>
        <v>1</v>
      </c>
      <c r="G99" s="19">
        <f>COUNTIFS(SSC_Ontology_Ver0.5!$A$128:$A$773,SUBSTITUTE($A99,"AHUB{N}",G$22),SSC_Ontology_Ver0.5!$C$128:$C$773,$B99,SSC_Ontology_Ver0.5!$D$128:$D$773,SUBSTITUTE($C99,"AHUB{N}",G$22))</f>
        <v>1</v>
      </c>
      <c r="H99" s="19">
        <f>COUNTIFS(SSC_Ontology_Ver0.5!$A$128:$A$773,SUBSTITUTE($A99,"AHUB{N}",H$22),SSC_Ontology_Ver0.5!$C$128:$C$773,$B99,SSC_Ontology_Ver0.5!$D$128:$D$773,SUBSTITUTE($C99,"AHUB{N}",H$22))</f>
        <v>1</v>
      </c>
      <c r="I99" s="15" t="str">
        <f>IF($B99="rec:locatedIn","Excluded - location varies by unit",IF(AND(MIN(D99:H99)=MAX(D99:H99),MAX(D99:H99)=1),"OK",IF(MIN(D99:H99)=0,"Not on all units","Duplicated")))</f>
        <v>OK</v>
      </c>
    </row>
    <row r="100" spans="1:9" x14ac:dyDescent="0.3">
      <c r="A100" s="13" t="s">
        <v>4764</v>
      </c>
      <c r="B100" s="14" t="s">
        <v>308</v>
      </c>
      <c r="C100" s="14" t="s">
        <v>4802</v>
      </c>
      <c r="D100" s="19">
        <f>COUNTIFS(SSC_Ontology_Ver0.5!$A$128:$A$773,SUBSTITUTE($A100,"AHUB{N}",D$22),SSC_Ontology_Ver0.5!$C$128:$C$773,$B100,SSC_Ontology_Ver0.5!$D$128:$D$773,SUBSTITUTE($C100,"AHUB{N}",D$22))</f>
        <v>1</v>
      </c>
      <c r="E100" s="19">
        <f>COUNTIFS(SSC_Ontology_Ver0.5!$A$128:$A$773,SUBSTITUTE($A100,"AHUB{N}",E$22),SSC_Ontology_Ver0.5!$C$128:$C$773,$B100,SSC_Ontology_Ver0.5!$D$128:$D$773,SUBSTITUTE($C100,"AHUB{N}",E$22))</f>
        <v>1</v>
      </c>
      <c r="F100" s="19">
        <f>COUNTIFS(SSC_Ontology_Ver0.5!$A$128:$A$773,SUBSTITUTE($A100,"AHUB{N}",F$22),SSC_Ontology_Ver0.5!$C$128:$C$773,$B100,SSC_Ontology_Ver0.5!$D$128:$D$773,SUBSTITUTE($C100,"AHUB{N}",F$22))</f>
        <v>1</v>
      </c>
      <c r="G100" s="19">
        <f>COUNTIFS(SSC_Ontology_Ver0.5!$A$128:$A$773,SUBSTITUTE($A100,"AHUB{N}",G$22),SSC_Ontology_Ver0.5!$C$128:$C$773,$B100,SSC_Ontology_Ver0.5!$D$128:$D$773,SUBSTITUTE($C100,"AHUB{N}",G$22))</f>
        <v>1</v>
      </c>
      <c r="H100" s="19">
        <f>COUNTIFS(SSC_Ontology_Ver0.5!$A$128:$A$773,SUBSTITUTE($A100,"AHUB{N}",H$22),SSC_Ontology_Ver0.5!$C$128:$C$773,$B100,SSC_Ontology_Ver0.5!$D$128:$D$773,SUBSTITUTE($C100,"AHUB{N}",H$22))</f>
        <v>1</v>
      </c>
      <c r="I100" s="15" t="str">
        <f>IF($B100="rec:locatedIn","Excluded - location varies by unit",IF(AND(MIN(D100:H100)=MAX(D100:H100),MAX(D100:H100)=1),"OK",IF(MIN(D100:H100)=0,"Not on all units","Duplicated")))</f>
        <v>OK</v>
      </c>
    </row>
    <row r="101" spans="1:9" x14ac:dyDescent="0.3">
      <c r="A101" s="13" t="s">
        <v>4764</v>
      </c>
      <c r="B101" s="14" t="s">
        <v>308</v>
      </c>
      <c r="C101" s="14" t="s">
        <v>4803</v>
      </c>
      <c r="D101" s="19">
        <f>COUNTIFS(SSC_Ontology_Ver0.5!$A$128:$A$773,SUBSTITUTE($A101,"AHUB{N}",D$22),SSC_Ontology_Ver0.5!$C$128:$C$773,$B101,SSC_Ontology_Ver0.5!$D$128:$D$773,SUBSTITUTE($C101,"AHUB{N}",D$22))</f>
        <v>1</v>
      </c>
      <c r="E101" s="19">
        <f>COUNTIFS(SSC_Ontology_Ver0.5!$A$128:$A$773,SUBSTITUTE($A101,"AHUB{N}",E$22),SSC_Ontology_Ver0.5!$C$128:$C$773,$B101,SSC_Ontology_Ver0.5!$D$128:$D$773,SUBSTITUTE($C101,"AHUB{N}",E$22))</f>
        <v>1</v>
      </c>
      <c r="F101" s="19">
        <f>COUNTIFS(SSC_Ontology_Ver0.5!$A$128:$A$773,SUBSTITUTE($A101,"AHUB{N}",F$22),SSC_Ontology_Ver0.5!$C$128:$C$773,$B101,SSC_Ontology_Ver0.5!$D$128:$D$773,SUBSTITUTE($C101,"AHUB{N}",F$22))</f>
        <v>1</v>
      </c>
      <c r="G101" s="19">
        <f>COUNTIFS(SSC_Ontology_Ver0.5!$A$128:$A$773,SUBSTITUTE($A101,"AHUB{N}",G$22),SSC_Ontology_Ver0.5!$C$128:$C$773,$B101,SSC_Ontology_Ver0.5!$D$128:$D$773,SUBSTITUTE($C101,"AHUB{N}",G$22))</f>
        <v>1</v>
      </c>
      <c r="H101" s="19">
        <f>COUNTIFS(SSC_Ontology_Ver0.5!$A$128:$A$773,SUBSTITUTE($A101,"AHUB{N}",H$22),SSC_Ontology_Ver0.5!$C$128:$C$773,$B101,SSC_Ontology_Ver0.5!$D$128:$D$773,SUBSTITUTE($C101,"AHUB{N}",H$22))</f>
        <v>1</v>
      </c>
      <c r="I101" s="15" t="str">
        <f>IF($B101="rec:locatedIn","Excluded - location varies by unit",IF(AND(MIN(D101:H101)=MAX(D101:H101),MAX(D101:H101)=1),"OK",IF(MIN(D101:H101)=0,"Not on all units","Duplicated")))</f>
        <v>OK</v>
      </c>
    </row>
    <row r="102" spans="1:9" x14ac:dyDescent="0.3">
      <c r="A102" s="13" t="s">
        <v>4764</v>
      </c>
      <c r="B102" s="14" t="s">
        <v>308</v>
      </c>
      <c r="C102" s="14" t="s">
        <v>4804</v>
      </c>
      <c r="D102" s="19">
        <f>COUNTIFS(SSC_Ontology_Ver0.5!$A$128:$A$773,SUBSTITUTE($A102,"AHUB{N}",D$22),SSC_Ontology_Ver0.5!$C$128:$C$773,$B102,SSC_Ontology_Ver0.5!$D$128:$D$773,SUBSTITUTE($C102,"AHUB{N}",D$22))</f>
        <v>1</v>
      </c>
      <c r="E102" s="19">
        <f>COUNTIFS(SSC_Ontology_Ver0.5!$A$128:$A$773,SUBSTITUTE($A102,"AHUB{N}",E$22),SSC_Ontology_Ver0.5!$C$128:$C$773,$B102,SSC_Ontology_Ver0.5!$D$128:$D$773,SUBSTITUTE($C102,"AHUB{N}",E$22))</f>
        <v>1</v>
      </c>
      <c r="F102" s="19">
        <f>COUNTIFS(SSC_Ontology_Ver0.5!$A$128:$A$773,SUBSTITUTE($A102,"AHUB{N}",F$22),SSC_Ontology_Ver0.5!$C$128:$C$773,$B102,SSC_Ontology_Ver0.5!$D$128:$D$773,SUBSTITUTE($C102,"AHUB{N}",F$22))</f>
        <v>1</v>
      </c>
      <c r="G102" s="19">
        <f>COUNTIFS(SSC_Ontology_Ver0.5!$A$128:$A$773,SUBSTITUTE($A102,"AHUB{N}",G$22),SSC_Ontology_Ver0.5!$C$128:$C$773,$B102,SSC_Ontology_Ver0.5!$D$128:$D$773,SUBSTITUTE($C102,"AHUB{N}",G$22))</f>
        <v>1</v>
      </c>
      <c r="H102" s="19">
        <f>COUNTIFS(SSC_Ontology_Ver0.5!$A$128:$A$773,SUBSTITUTE($A102,"AHUB{N}",H$22),SSC_Ontology_Ver0.5!$C$128:$C$773,$B102,SSC_Ontology_Ver0.5!$D$128:$D$773,SUBSTITUTE($C102,"AHUB{N}",H$22))</f>
        <v>1</v>
      </c>
      <c r="I102" s="15" t="str">
        <f>IF($B102="rec:locatedIn","Excluded - location varies by unit",IF(AND(MIN(D102:H102)=MAX(D102:H102),MAX(D102:H102)=1),"OK",IF(MIN(D102:H102)=0,"Not on all units","Duplicated")))</f>
        <v>OK</v>
      </c>
    </row>
    <row r="103" spans="1:9" x14ac:dyDescent="0.3">
      <c r="A103" s="13" t="s">
        <v>4764</v>
      </c>
      <c r="B103" s="14" t="s">
        <v>308</v>
      </c>
      <c r="C103" s="14" t="s">
        <v>4805</v>
      </c>
      <c r="D103" s="19">
        <f>COUNTIFS(SSC_Ontology_Ver0.5!$A$128:$A$773,SUBSTITUTE($A103,"AHUB{N}",D$22),SSC_Ontology_Ver0.5!$C$128:$C$773,$B103,SSC_Ontology_Ver0.5!$D$128:$D$773,SUBSTITUTE($C103,"AHUB{N}",D$22))</f>
        <v>1</v>
      </c>
      <c r="E103" s="19">
        <f>COUNTIFS(SSC_Ontology_Ver0.5!$A$128:$A$773,SUBSTITUTE($A103,"AHUB{N}",E$22),SSC_Ontology_Ver0.5!$C$128:$C$773,$B103,SSC_Ontology_Ver0.5!$D$128:$D$773,SUBSTITUTE($C103,"AHUB{N}",E$22))</f>
        <v>1</v>
      </c>
      <c r="F103" s="19">
        <f>COUNTIFS(SSC_Ontology_Ver0.5!$A$128:$A$773,SUBSTITUTE($A103,"AHUB{N}",F$22),SSC_Ontology_Ver0.5!$C$128:$C$773,$B103,SSC_Ontology_Ver0.5!$D$128:$D$773,SUBSTITUTE($C103,"AHUB{N}",F$22))</f>
        <v>1</v>
      </c>
      <c r="G103" s="19">
        <f>COUNTIFS(SSC_Ontology_Ver0.5!$A$128:$A$773,SUBSTITUTE($A103,"AHUB{N}",G$22),SSC_Ontology_Ver0.5!$C$128:$C$773,$B103,SSC_Ontology_Ver0.5!$D$128:$D$773,SUBSTITUTE($C103,"AHUB{N}",G$22))</f>
        <v>1</v>
      </c>
      <c r="H103" s="19">
        <f>COUNTIFS(SSC_Ontology_Ver0.5!$A$128:$A$773,SUBSTITUTE($A103,"AHUB{N}",H$22),SSC_Ontology_Ver0.5!$C$128:$C$773,$B103,SSC_Ontology_Ver0.5!$D$128:$D$773,SUBSTITUTE($C103,"AHUB{N}",H$22))</f>
        <v>1</v>
      </c>
      <c r="I103" s="15" t="str">
        <f>IF($B103="rec:locatedIn","Excluded - location varies by unit",IF(AND(MIN(D103:H103)=MAX(D103:H103),MAX(D103:H103)=1),"OK",IF(MIN(D103:H103)=0,"Not on all units","Duplicated")))</f>
        <v>OK</v>
      </c>
    </row>
    <row r="104" spans="1:9" x14ac:dyDescent="0.3">
      <c r="A104" s="13" t="s">
        <v>4801</v>
      </c>
      <c r="B104" s="14" t="s">
        <v>11</v>
      </c>
      <c r="C104" s="14" t="s">
        <v>12</v>
      </c>
      <c r="D104" s="19">
        <f>COUNTIFS(SSC_Ontology_Ver0.5!$A$128:$A$773,SUBSTITUTE($A104,"AHUB{N}",D$22),SSC_Ontology_Ver0.5!$C$128:$C$773,$B104,SSC_Ontology_Ver0.5!$D$128:$D$773,SUBSTITUTE($C104,"AHUB{N}",D$22))</f>
        <v>1</v>
      </c>
      <c r="E104" s="19">
        <f>COUNTIFS(SSC_Ontology_Ver0.5!$A$128:$A$773,SUBSTITUTE($A104,"AHUB{N}",E$22),SSC_Ontology_Ver0.5!$C$128:$C$773,$B104,SSC_Ontology_Ver0.5!$D$128:$D$773,SUBSTITUTE($C104,"AHUB{N}",E$22))</f>
        <v>1</v>
      </c>
      <c r="F104" s="19">
        <f>COUNTIFS(SSC_Ontology_Ver0.5!$A$128:$A$773,SUBSTITUTE($A104,"AHUB{N}",F$22),SSC_Ontology_Ver0.5!$C$128:$C$773,$B104,SSC_Ontology_Ver0.5!$D$128:$D$773,SUBSTITUTE($C104,"AHUB{N}",F$22))</f>
        <v>1</v>
      </c>
      <c r="G104" s="19">
        <f>COUNTIFS(SSC_Ontology_Ver0.5!$A$128:$A$773,SUBSTITUTE($A104,"AHUB{N}",G$22),SSC_Ontology_Ver0.5!$C$128:$C$773,$B104,SSC_Ontology_Ver0.5!$D$128:$D$773,SUBSTITUTE($C104,"AHUB{N}",G$22))</f>
        <v>1</v>
      </c>
      <c r="H104" s="19">
        <f>COUNTIFS(SSC_Ontology_Ver0.5!$A$128:$A$773,SUBSTITUTE($A104,"AHUB{N}",H$22),SSC_Ontology_Ver0.5!$C$128:$C$773,$B104,SSC_Ontology_Ver0.5!$D$128:$D$773,SUBSTITUTE($C104,"AHUB{N}",H$22))</f>
        <v>1</v>
      </c>
      <c r="I104" s="15" t="str">
        <f>IF($B104="rec:locatedIn","Excluded - location varies by unit",IF(AND(MIN(D104:H104)=MAX(D104:H104),MAX(D104:H104)=1),"OK",IF(MIN(D104:H104)=0,"Not on all units","Duplicated")))</f>
        <v>OK</v>
      </c>
    </row>
    <row r="105" spans="1:9" x14ac:dyDescent="0.3">
      <c r="A105" s="13" t="s">
        <v>4802</v>
      </c>
      <c r="B105" s="14" t="s">
        <v>11</v>
      </c>
      <c r="C105" s="14" t="s">
        <v>12</v>
      </c>
      <c r="D105" s="19">
        <f>COUNTIFS(SSC_Ontology_Ver0.5!$A$128:$A$773,SUBSTITUTE($A105,"AHUB{N}",D$22),SSC_Ontology_Ver0.5!$C$128:$C$773,$B105,SSC_Ontology_Ver0.5!$D$128:$D$773,SUBSTITUTE($C105,"AHUB{N}",D$22))</f>
        <v>1</v>
      </c>
      <c r="E105" s="19">
        <f>COUNTIFS(SSC_Ontology_Ver0.5!$A$128:$A$773,SUBSTITUTE($A105,"AHUB{N}",E$22),SSC_Ontology_Ver0.5!$C$128:$C$773,$B105,SSC_Ontology_Ver0.5!$D$128:$D$773,SUBSTITUTE($C105,"AHUB{N}",E$22))</f>
        <v>1</v>
      </c>
      <c r="F105" s="19">
        <f>COUNTIFS(SSC_Ontology_Ver0.5!$A$128:$A$773,SUBSTITUTE($A105,"AHUB{N}",F$22),SSC_Ontology_Ver0.5!$C$128:$C$773,$B105,SSC_Ontology_Ver0.5!$D$128:$D$773,SUBSTITUTE($C105,"AHUB{N}",F$22))</f>
        <v>1</v>
      </c>
      <c r="G105" s="19">
        <f>COUNTIFS(SSC_Ontology_Ver0.5!$A$128:$A$773,SUBSTITUTE($A105,"AHUB{N}",G$22),SSC_Ontology_Ver0.5!$C$128:$C$773,$B105,SSC_Ontology_Ver0.5!$D$128:$D$773,SUBSTITUTE($C105,"AHUB{N}",G$22))</f>
        <v>1</v>
      </c>
      <c r="H105" s="19">
        <f>COUNTIFS(SSC_Ontology_Ver0.5!$A$128:$A$773,SUBSTITUTE($A105,"AHUB{N}",H$22),SSC_Ontology_Ver0.5!$C$128:$C$773,$B105,SSC_Ontology_Ver0.5!$D$128:$D$773,SUBSTITUTE($C105,"AHUB{N}",H$22))</f>
        <v>1</v>
      </c>
      <c r="I105" s="15" t="str">
        <f>IF($B105="rec:locatedIn","Excluded - location varies by unit",IF(AND(MIN(D105:H105)=MAX(D105:H105),MAX(D105:H105)=1),"OK",IF(MIN(D105:H105)=0,"Not on all units","Duplicated")))</f>
        <v>OK</v>
      </c>
    </row>
    <row r="106" spans="1:9" x14ac:dyDescent="0.3">
      <c r="A106" s="13" t="s">
        <v>4803</v>
      </c>
      <c r="B106" s="14" t="s">
        <v>11</v>
      </c>
      <c r="C106" s="14" t="s">
        <v>12</v>
      </c>
      <c r="D106" s="19">
        <f>COUNTIFS(SSC_Ontology_Ver0.5!$A$128:$A$773,SUBSTITUTE($A106,"AHUB{N}",D$22),SSC_Ontology_Ver0.5!$C$128:$C$773,$B106,SSC_Ontology_Ver0.5!$D$128:$D$773,SUBSTITUTE($C106,"AHUB{N}",D$22))</f>
        <v>1</v>
      </c>
      <c r="E106" s="19">
        <f>COUNTIFS(SSC_Ontology_Ver0.5!$A$128:$A$773,SUBSTITUTE($A106,"AHUB{N}",E$22),SSC_Ontology_Ver0.5!$C$128:$C$773,$B106,SSC_Ontology_Ver0.5!$D$128:$D$773,SUBSTITUTE($C106,"AHUB{N}",E$22))</f>
        <v>1</v>
      </c>
      <c r="F106" s="19">
        <f>COUNTIFS(SSC_Ontology_Ver0.5!$A$128:$A$773,SUBSTITUTE($A106,"AHUB{N}",F$22),SSC_Ontology_Ver0.5!$C$128:$C$773,$B106,SSC_Ontology_Ver0.5!$D$128:$D$773,SUBSTITUTE($C106,"AHUB{N}",F$22))</f>
        <v>1</v>
      </c>
      <c r="G106" s="19">
        <f>COUNTIFS(SSC_Ontology_Ver0.5!$A$128:$A$773,SUBSTITUTE($A106,"AHUB{N}",G$22),SSC_Ontology_Ver0.5!$C$128:$C$773,$B106,SSC_Ontology_Ver0.5!$D$128:$D$773,SUBSTITUTE($C106,"AHUB{N}",G$22))</f>
        <v>1</v>
      </c>
      <c r="H106" s="19">
        <f>COUNTIFS(SSC_Ontology_Ver0.5!$A$128:$A$773,SUBSTITUTE($A106,"AHUB{N}",H$22),SSC_Ontology_Ver0.5!$C$128:$C$773,$B106,SSC_Ontology_Ver0.5!$D$128:$D$773,SUBSTITUTE($C106,"AHUB{N}",H$22))</f>
        <v>1</v>
      </c>
      <c r="I106" s="15" t="str">
        <f>IF($B106="rec:locatedIn","Excluded - location varies by unit",IF(AND(MIN(D106:H106)=MAX(D106:H106),MAX(D106:H106)=1),"OK",IF(MIN(D106:H106)=0,"Not on all units","Duplicated")))</f>
        <v>OK</v>
      </c>
    </row>
    <row r="107" spans="1:9" x14ac:dyDescent="0.3">
      <c r="A107" s="13" t="s">
        <v>4804</v>
      </c>
      <c r="B107" s="14" t="s">
        <v>11</v>
      </c>
      <c r="C107" s="14" t="s">
        <v>12</v>
      </c>
      <c r="D107" s="19">
        <f>COUNTIFS(SSC_Ontology_Ver0.5!$A$128:$A$773,SUBSTITUTE($A107,"AHUB{N}",D$22),SSC_Ontology_Ver0.5!$C$128:$C$773,$B107,SSC_Ontology_Ver0.5!$D$128:$D$773,SUBSTITUTE($C107,"AHUB{N}",D$22))</f>
        <v>1</v>
      </c>
      <c r="E107" s="19">
        <f>COUNTIFS(SSC_Ontology_Ver0.5!$A$128:$A$773,SUBSTITUTE($A107,"AHUB{N}",E$22),SSC_Ontology_Ver0.5!$C$128:$C$773,$B107,SSC_Ontology_Ver0.5!$D$128:$D$773,SUBSTITUTE($C107,"AHUB{N}",E$22))</f>
        <v>1</v>
      </c>
      <c r="F107" s="19">
        <f>COUNTIFS(SSC_Ontology_Ver0.5!$A$128:$A$773,SUBSTITUTE($A107,"AHUB{N}",F$22),SSC_Ontology_Ver0.5!$C$128:$C$773,$B107,SSC_Ontology_Ver0.5!$D$128:$D$773,SUBSTITUTE($C107,"AHUB{N}",F$22))</f>
        <v>1</v>
      </c>
      <c r="G107" s="19">
        <f>COUNTIFS(SSC_Ontology_Ver0.5!$A$128:$A$773,SUBSTITUTE($A107,"AHUB{N}",G$22),SSC_Ontology_Ver0.5!$C$128:$C$773,$B107,SSC_Ontology_Ver0.5!$D$128:$D$773,SUBSTITUTE($C107,"AHUB{N}",G$22))</f>
        <v>1</v>
      </c>
      <c r="H107" s="19">
        <f>COUNTIFS(SSC_Ontology_Ver0.5!$A$128:$A$773,SUBSTITUTE($A107,"AHUB{N}",H$22),SSC_Ontology_Ver0.5!$C$128:$C$773,$B107,SSC_Ontology_Ver0.5!$D$128:$D$773,SUBSTITUTE($C107,"AHUB{N}",H$22))</f>
        <v>1</v>
      </c>
      <c r="I107" s="15" t="str">
        <f>IF($B107="rec:locatedIn","Excluded - location varies by unit",IF(AND(MIN(D107:H107)=MAX(D107:H107),MAX(D107:H107)=1),"OK",IF(MIN(D107:H107)=0,"Not on all units","Duplicated")))</f>
        <v>OK</v>
      </c>
    </row>
    <row r="108" spans="1:9" x14ac:dyDescent="0.3">
      <c r="A108" s="13" t="s">
        <v>4805</v>
      </c>
      <c r="B108" s="14" t="s">
        <v>11</v>
      </c>
      <c r="C108" s="14" t="s">
        <v>12</v>
      </c>
      <c r="D108" s="19">
        <f>COUNTIFS(SSC_Ontology_Ver0.5!$A$128:$A$773,SUBSTITUTE($A108,"AHUB{N}",D$22),SSC_Ontology_Ver0.5!$C$128:$C$773,$B108,SSC_Ontology_Ver0.5!$D$128:$D$773,SUBSTITUTE($C108,"AHUB{N}",D$22))</f>
        <v>1</v>
      </c>
      <c r="E108" s="19">
        <f>COUNTIFS(SSC_Ontology_Ver0.5!$A$128:$A$773,SUBSTITUTE($A108,"AHUB{N}",E$22),SSC_Ontology_Ver0.5!$C$128:$C$773,$B108,SSC_Ontology_Ver0.5!$D$128:$D$773,SUBSTITUTE($C108,"AHUB{N}",E$22))</f>
        <v>1</v>
      </c>
      <c r="F108" s="19">
        <f>COUNTIFS(SSC_Ontology_Ver0.5!$A$128:$A$773,SUBSTITUTE($A108,"AHUB{N}",F$22),SSC_Ontology_Ver0.5!$C$128:$C$773,$B108,SSC_Ontology_Ver0.5!$D$128:$D$773,SUBSTITUTE($C108,"AHUB{N}",F$22))</f>
        <v>1</v>
      </c>
      <c r="G108" s="19">
        <f>COUNTIFS(SSC_Ontology_Ver0.5!$A$128:$A$773,SUBSTITUTE($A108,"AHUB{N}",G$22),SSC_Ontology_Ver0.5!$C$128:$C$773,$B108,SSC_Ontology_Ver0.5!$D$128:$D$773,SUBSTITUTE($C108,"AHUB{N}",G$22))</f>
        <v>1</v>
      </c>
      <c r="H108" s="19">
        <f>COUNTIFS(SSC_Ontology_Ver0.5!$A$128:$A$773,SUBSTITUTE($A108,"AHUB{N}",H$22),SSC_Ontology_Ver0.5!$C$128:$C$773,$B108,SSC_Ontology_Ver0.5!$D$128:$D$773,SUBSTITUTE($C108,"AHUB{N}",H$22))</f>
        <v>1</v>
      </c>
      <c r="I108" s="15" t="str">
        <f>IF($B108="rec:locatedIn","Excluded - location varies by unit",IF(AND(MIN(D108:H108)=MAX(D108:H108),MAX(D108:H108)=1),"OK",IF(MIN(D108:H108)=0,"Not on all units","Duplicated")))</f>
        <v>OK</v>
      </c>
    </row>
    <row r="109" spans="1:9" x14ac:dyDescent="0.3">
      <c r="A109" s="13" t="s">
        <v>4747</v>
      </c>
      <c r="B109" s="14" t="s">
        <v>280</v>
      </c>
      <c r="C109" s="14" t="s">
        <v>4806</v>
      </c>
      <c r="D109" s="19">
        <f>COUNTIFS(SSC_Ontology_Ver0.5!$A$128:$A$773,SUBSTITUTE($A109,"AHUB{N}",D$22),SSC_Ontology_Ver0.5!$C$128:$C$773,$B109,SSC_Ontology_Ver0.5!$D$128:$D$773,SUBSTITUTE($C109,"AHUB{N}",D$22))</f>
        <v>1</v>
      </c>
      <c r="E109" s="19">
        <f>COUNTIFS(SSC_Ontology_Ver0.5!$A$128:$A$773,SUBSTITUTE($A109,"AHUB{N}",E$22),SSC_Ontology_Ver0.5!$C$128:$C$773,$B109,SSC_Ontology_Ver0.5!$D$128:$D$773,SUBSTITUTE($C109,"AHUB{N}",E$22))</f>
        <v>1</v>
      </c>
      <c r="F109" s="19">
        <f>COUNTIFS(SSC_Ontology_Ver0.5!$A$128:$A$773,SUBSTITUTE($A109,"AHUB{N}",F$22),SSC_Ontology_Ver0.5!$C$128:$C$773,$B109,SSC_Ontology_Ver0.5!$D$128:$D$773,SUBSTITUTE($C109,"AHUB{N}",F$22))</f>
        <v>1</v>
      </c>
      <c r="G109" s="19">
        <f>COUNTIFS(SSC_Ontology_Ver0.5!$A$128:$A$773,SUBSTITUTE($A109,"AHUB{N}",G$22),SSC_Ontology_Ver0.5!$C$128:$C$773,$B109,SSC_Ontology_Ver0.5!$D$128:$D$773,SUBSTITUTE($C109,"AHUB{N}",G$22))</f>
        <v>1</v>
      </c>
      <c r="H109" s="19">
        <f>COUNTIFS(SSC_Ontology_Ver0.5!$A$128:$A$773,SUBSTITUTE($A109,"AHUB{N}",H$22),SSC_Ontology_Ver0.5!$C$128:$C$773,$B109,SSC_Ontology_Ver0.5!$D$128:$D$773,SUBSTITUTE($C109,"AHUB{N}",H$22))</f>
        <v>1</v>
      </c>
      <c r="I109" s="15" t="str">
        <f>IF($B109="rec:locatedIn","Excluded - location varies by unit",IF(AND(MIN(D109:H109)=MAX(D109:H109),MAX(D109:H109)=1),"OK",IF(MIN(D109:H109)=0,"Not on all units","Duplicated")))</f>
        <v>OK</v>
      </c>
    </row>
    <row r="110" spans="1:9" x14ac:dyDescent="0.3">
      <c r="A110" s="13" t="s">
        <v>4747</v>
      </c>
      <c r="B110" s="14" t="s">
        <v>308</v>
      </c>
      <c r="C110" s="14" t="s">
        <v>4748</v>
      </c>
      <c r="D110" s="19">
        <f>COUNTIFS(SSC_Ontology_Ver0.5!$A$128:$A$773,SUBSTITUTE($A110,"AHUB{N}",D$22),SSC_Ontology_Ver0.5!$C$128:$C$773,$B110,SSC_Ontology_Ver0.5!$D$128:$D$773,SUBSTITUTE($C110,"AHUB{N}",D$22))</f>
        <v>1</v>
      </c>
      <c r="E110" s="19">
        <f>COUNTIFS(SSC_Ontology_Ver0.5!$A$128:$A$773,SUBSTITUTE($A110,"AHUB{N}",E$22),SSC_Ontology_Ver0.5!$C$128:$C$773,$B110,SSC_Ontology_Ver0.5!$D$128:$D$773,SUBSTITUTE($C110,"AHUB{N}",E$22))</f>
        <v>1</v>
      </c>
      <c r="F110" s="19">
        <f>COUNTIFS(SSC_Ontology_Ver0.5!$A$128:$A$773,SUBSTITUTE($A110,"AHUB{N}",F$22),SSC_Ontology_Ver0.5!$C$128:$C$773,$B110,SSC_Ontology_Ver0.5!$D$128:$D$773,SUBSTITUTE($C110,"AHUB{N}",F$22))</f>
        <v>1</v>
      </c>
      <c r="G110" s="19">
        <f>COUNTIFS(SSC_Ontology_Ver0.5!$A$128:$A$773,SUBSTITUTE($A110,"AHUB{N}",G$22),SSC_Ontology_Ver0.5!$C$128:$C$773,$B110,SSC_Ontology_Ver0.5!$D$128:$D$773,SUBSTITUTE($C110,"AHUB{N}",G$22))</f>
        <v>0</v>
      </c>
      <c r="H110" s="19">
        <f>COUNTIFS(SSC_Ontology_Ver0.5!$A$128:$A$773,SUBSTITUTE($A110,"AHUB{N}",H$22),SSC_Ontology_Ver0.5!$C$128:$C$773,$B110,SSC_Ontology_Ver0.5!$D$128:$D$773,SUBSTITUTE($C110,"AHUB{N}",H$22))</f>
        <v>1</v>
      </c>
      <c r="I110" s="15" t="str">
        <f>IF($B110="rec:locatedIn","Excluded - location varies by unit",IF(AND(MIN(D110:H110)=MAX(D110:H110),MAX(D110:H110)=1),"OK",IF(MIN(D110:H110)=0,"Not on all units","Duplicated")))</f>
        <v>Not on all units</v>
      </c>
    </row>
    <row r="111" spans="1:9" x14ac:dyDescent="0.3">
      <c r="A111" s="13" t="s">
        <v>4747</v>
      </c>
      <c r="B111" s="14" t="s">
        <v>308</v>
      </c>
      <c r="C111" s="14" t="s">
        <v>4807</v>
      </c>
      <c r="D111" s="19">
        <f>COUNTIFS(SSC_Ontology_Ver0.5!$A$128:$A$773,SUBSTITUTE($A111,"AHUB{N}",D$22),SSC_Ontology_Ver0.5!$C$128:$C$773,$B111,SSC_Ontology_Ver0.5!$D$128:$D$773,SUBSTITUTE($C111,"AHUB{N}",D$22))</f>
        <v>1</v>
      </c>
      <c r="E111" s="19">
        <f>COUNTIFS(SSC_Ontology_Ver0.5!$A$128:$A$773,SUBSTITUTE($A111,"AHUB{N}",E$22),SSC_Ontology_Ver0.5!$C$128:$C$773,$B111,SSC_Ontology_Ver0.5!$D$128:$D$773,SUBSTITUTE($C111,"AHUB{N}",E$22))</f>
        <v>1</v>
      </c>
      <c r="F111" s="19">
        <f>COUNTIFS(SSC_Ontology_Ver0.5!$A$128:$A$773,SUBSTITUTE($A111,"AHUB{N}",F$22),SSC_Ontology_Ver0.5!$C$128:$C$773,$B111,SSC_Ontology_Ver0.5!$D$128:$D$773,SUBSTITUTE($C111,"AHUB{N}",F$22))</f>
        <v>1</v>
      </c>
      <c r="G111" s="19">
        <f>COUNTIFS(SSC_Ontology_Ver0.5!$A$128:$A$773,SUBSTITUTE($A111,"AHUB{N}",G$22),SSC_Ontology_Ver0.5!$C$128:$C$773,$B111,SSC_Ontology_Ver0.5!$D$128:$D$773,SUBSTITUTE($C111,"AHUB{N}",G$22))</f>
        <v>1</v>
      </c>
      <c r="H111" s="19">
        <f>COUNTIFS(SSC_Ontology_Ver0.5!$A$128:$A$773,SUBSTITUTE($A111,"AHUB{N}",H$22),SSC_Ontology_Ver0.5!$C$128:$C$773,$B111,SSC_Ontology_Ver0.5!$D$128:$D$773,SUBSTITUTE($C111,"AHUB{N}",H$22))</f>
        <v>1</v>
      </c>
      <c r="I111" s="15" t="str">
        <f>IF($B111="rec:locatedIn","Excluded - location varies by unit",IF(AND(MIN(D111:H111)=MAX(D111:H111),MAX(D111:H111)=1),"OK",IF(MIN(D111:H111)=0,"Not on all units","Duplicated")))</f>
        <v>OK</v>
      </c>
    </row>
    <row r="112" spans="1:9" x14ac:dyDescent="0.3">
      <c r="A112" s="13" t="s">
        <v>4748</v>
      </c>
      <c r="B112" s="14" t="s">
        <v>11</v>
      </c>
      <c r="C112" s="14" t="s">
        <v>12</v>
      </c>
      <c r="D112" s="19">
        <f>COUNTIFS(SSC_Ontology_Ver0.5!$A$128:$A$773,SUBSTITUTE($A112,"AHUB{N}",D$22),SSC_Ontology_Ver0.5!$C$128:$C$773,$B112,SSC_Ontology_Ver0.5!$D$128:$D$773,SUBSTITUTE($C112,"AHUB{N}",D$22))</f>
        <v>1</v>
      </c>
      <c r="E112" s="19">
        <f>COUNTIFS(SSC_Ontology_Ver0.5!$A$128:$A$773,SUBSTITUTE($A112,"AHUB{N}",E$22),SSC_Ontology_Ver0.5!$C$128:$C$773,$B112,SSC_Ontology_Ver0.5!$D$128:$D$773,SUBSTITUTE($C112,"AHUB{N}",E$22))</f>
        <v>1</v>
      </c>
      <c r="F112" s="19">
        <f>COUNTIFS(SSC_Ontology_Ver0.5!$A$128:$A$773,SUBSTITUTE($A112,"AHUB{N}",F$22),SSC_Ontology_Ver0.5!$C$128:$C$773,$B112,SSC_Ontology_Ver0.5!$D$128:$D$773,SUBSTITUTE($C112,"AHUB{N}",F$22))</f>
        <v>1</v>
      </c>
      <c r="G112" s="19">
        <f>COUNTIFS(SSC_Ontology_Ver0.5!$A$128:$A$773,SUBSTITUTE($A112,"AHUB{N}",G$22),SSC_Ontology_Ver0.5!$C$128:$C$773,$B112,SSC_Ontology_Ver0.5!$D$128:$D$773,SUBSTITUTE($C112,"AHUB{N}",G$22))</f>
        <v>0</v>
      </c>
      <c r="H112" s="19">
        <f>COUNTIFS(SSC_Ontology_Ver0.5!$A$128:$A$773,SUBSTITUTE($A112,"AHUB{N}",H$22),SSC_Ontology_Ver0.5!$C$128:$C$773,$B112,SSC_Ontology_Ver0.5!$D$128:$D$773,SUBSTITUTE($C112,"AHUB{N}",H$22))</f>
        <v>1</v>
      </c>
      <c r="I112" s="15" t="str">
        <f>IF($B112="rec:locatedIn","Excluded - location varies by unit",IF(AND(MIN(D112:H112)=MAX(D112:H112),MAX(D112:H112)=1),"OK",IF(MIN(D112:H112)=0,"Not on all units","Duplicated")))</f>
        <v>Not on all units</v>
      </c>
    </row>
    <row r="113" spans="1:9" x14ac:dyDescent="0.3">
      <c r="A113" s="13" t="s">
        <v>4806</v>
      </c>
      <c r="B113" s="14" t="s">
        <v>280</v>
      </c>
      <c r="C113" s="14" t="s">
        <v>4808</v>
      </c>
      <c r="D113" s="19">
        <f>COUNTIFS(SSC_Ontology_Ver0.5!$A$128:$A$773,SUBSTITUTE($A113,"AHUB{N}",D$22),SSC_Ontology_Ver0.5!$C$128:$C$773,$B113,SSC_Ontology_Ver0.5!$D$128:$D$773,SUBSTITUTE($C113,"AHUB{N}",D$22))</f>
        <v>1</v>
      </c>
      <c r="E113" s="19">
        <f>COUNTIFS(SSC_Ontology_Ver0.5!$A$128:$A$773,SUBSTITUTE($A113,"AHUB{N}",E$22),SSC_Ontology_Ver0.5!$C$128:$C$773,$B113,SSC_Ontology_Ver0.5!$D$128:$D$773,SUBSTITUTE($C113,"AHUB{N}",E$22))</f>
        <v>1</v>
      </c>
      <c r="F113" s="19">
        <f>COUNTIFS(SSC_Ontology_Ver0.5!$A$128:$A$773,SUBSTITUTE($A113,"AHUB{N}",F$22),SSC_Ontology_Ver0.5!$C$128:$C$773,$B113,SSC_Ontology_Ver0.5!$D$128:$D$773,SUBSTITUTE($C113,"AHUB{N}",F$22))</f>
        <v>1</v>
      </c>
      <c r="G113" s="19">
        <f>COUNTIFS(SSC_Ontology_Ver0.5!$A$128:$A$773,SUBSTITUTE($A113,"AHUB{N}",G$22),SSC_Ontology_Ver0.5!$C$128:$C$773,$B113,SSC_Ontology_Ver0.5!$D$128:$D$773,SUBSTITUTE($C113,"AHUB{N}",G$22))</f>
        <v>1</v>
      </c>
      <c r="H113" s="19">
        <f>COUNTIFS(SSC_Ontology_Ver0.5!$A$128:$A$773,SUBSTITUTE($A113,"AHUB{N}",H$22),SSC_Ontology_Ver0.5!$C$128:$C$773,$B113,SSC_Ontology_Ver0.5!$D$128:$D$773,SUBSTITUTE($C113,"AHUB{N}",H$22))</f>
        <v>1</v>
      </c>
      <c r="I113" s="15" t="str">
        <f>IF($B113="rec:locatedIn","Excluded - location varies by unit",IF(AND(MIN(D113:H113)=MAX(D113:H113),MAX(D113:H113)=1),"OK",IF(MIN(D113:H113)=0,"Not on all units","Duplicated")))</f>
        <v>OK</v>
      </c>
    </row>
    <row r="114" spans="1:9" x14ac:dyDescent="0.3">
      <c r="A114" s="13" t="s">
        <v>4806</v>
      </c>
      <c r="B114" s="14" t="s">
        <v>308</v>
      </c>
      <c r="C114" s="14" t="s">
        <v>4809</v>
      </c>
      <c r="D114" s="19">
        <f>COUNTIFS(SSC_Ontology_Ver0.5!$A$128:$A$773,SUBSTITUTE($A114,"AHUB{N}",D$22),SSC_Ontology_Ver0.5!$C$128:$C$773,$B114,SSC_Ontology_Ver0.5!$D$128:$D$773,SUBSTITUTE($C114,"AHUB{N}",D$22))</f>
        <v>1</v>
      </c>
      <c r="E114" s="19">
        <f>COUNTIFS(SSC_Ontology_Ver0.5!$A$128:$A$773,SUBSTITUTE($A114,"AHUB{N}",E$22),SSC_Ontology_Ver0.5!$C$128:$C$773,$B114,SSC_Ontology_Ver0.5!$D$128:$D$773,SUBSTITUTE($C114,"AHUB{N}",E$22))</f>
        <v>1</v>
      </c>
      <c r="F114" s="19">
        <f>COUNTIFS(SSC_Ontology_Ver0.5!$A$128:$A$773,SUBSTITUTE($A114,"AHUB{N}",F$22),SSC_Ontology_Ver0.5!$C$128:$C$773,$B114,SSC_Ontology_Ver0.5!$D$128:$D$773,SUBSTITUTE($C114,"AHUB{N}",F$22))</f>
        <v>1</v>
      </c>
      <c r="G114" s="19">
        <f>COUNTIFS(SSC_Ontology_Ver0.5!$A$128:$A$773,SUBSTITUTE($A114,"AHUB{N}",G$22),SSC_Ontology_Ver0.5!$C$128:$C$773,$B114,SSC_Ontology_Ver0.5!$D$128:$D$773,SUBSTITUTE($C114,"AHUB{N}",G$22))</f>
        <v>1</v>
      </c>
      <c r="H114" s="19">
        <f>COUNTIFS(SSC_Ontology_Ver0.5!$A$128:$A$773,SUBSTITUTE($A114,"AHUB{N}",H$22),SSC_Ontology_Ver0.5!$C$128:$C$773,$B114,SSC_Ontology_Ver0.5!$D$128:$D$773,SUBSTITUTE($C114,"AHUB{N}",H$22))</f>
        <v>1</v>
      </c>
      <c r="I114" s="15" t="str">
        <f>IF($B114="rec:locatedIn","Excluded - location varies by unit",IF(AND(MIN(D114:H114)=MAX(D114:H114),MAX(D114:H114)=1),"OK",IF(MIN(D114:H114)=0,"Not on all units","Duplicated")))</f>
        <v>OK</v>
      </c>
    </row>
    <row r="115" spans="1:9" x14ac:dyDescent="0.3">
      <c r="A115" s="13" t="s">
        <v>4806</v>
      </c>
      <c r="B115" s="14" t="s">
        <v>308</v>
      </c>
      <c r="C115" s="14" t="s">
        <v>4810</v>
      </c>
      <c r="D115" s="19">
        <f>COUNTIFS(SSC_Ontology_Ver0.5!$A$128:$A$773,SUBSTITUTE($A115,"AHUB{N}",D$22),SSC_Ontology_Ver0.5!$C$128:$C$773,$B115,SSC_Ontology_Ver0.5!$D$128:$D$773,SUBSTITUTE($C115,"AHUB{N}",D$22))</f>
        <v>1</v>
      </c>
      <c r="E115" s="19">
        <f>COUNTIFS(SSC_Ontology_Ver0.5!$A$128:$A$773,SUBSTITUTE($A115,"AHUB{N}",E$22),SSC_Ontology_Ver0.5!$C$128:$C$773,$B115,SSC_Ontology_Ver0.5!$D$128:$D$773,SUBSTITUTE($C115,"AHUB{N}",E$22))</f>
        <v>1</v>
      </c>
      <c r="F115" s="19">
        <f>COUNTIFS(SSC_Ontology_Ver0.5!$A$128:$A$773,SUBSTITUTE($A115,"AHUB{N}",F$22),SSC_Ontology_Ver0.5!$C$128:$C$773,$B115,SSC_Ontology_Ver0.5!$D$128:$D$773,SUBSTITUTE($C115,"AHUB{N}",F$22))</f>
        <v>1</v>
      </c>
      <c r="G115" s="19">
        <f>COUNTIFS(SSC_Ontology_Ver0.5!$A$128:$A$773,SUBSTITUTE($A115,"AHUB{N}",G$22),SSC_Ontology_Ver0.5!$C$128:$C$773,$B115,SSC_Ontology_Ver0.5!$D$128:$D$773,SUBSTITUTE($C115,"AHUB{N}",G$22))</f>
        <v>1</v>
      </c>
      <c r="H115" s="19">
        <f>COUNTIFS(SSC_Ontology_Ver0.5!$A$128:$A$773,SUBSTITUTE($A115,"AHUB{N}",H$22),SSC_Ontology_Ver0.5!$C$128:$C$773,$B115,SSC_Ontology_Ver0.5!$D$128:$D$773,SUBSTITUTE($C115,"AHUB{N}",H$22))</f>
        <v>1</v>
      </c>
      <c r="I115" s="15" t="str">
        <f>IF($B115="rec:locatedIn","Excluded - location varies by unit",IF(AND(MIN(D115:H115)=MAX(D115:H115),MAX(D115:H115)=1),"OK",IF(MIN(D115:H115)=0,"Not on all units","Duplicated")))</f>
        <v>OK</v>
      </c>
    </row>
    <row r="116" spans="1:9" x14ac:dyDescent="0.3">
      <c r="A116" s="13" t="s">
        <v>4808</v>
      </c>
      <c r="B116" s="14" t="s">
        <v>308</v>
      </c>
      <c r="C116" s="14" t="s">
        <v>4811</v>
      </c>
      <c r="D116" s="19">
        <f>COUNTIFS(SSC_Ontology_Ver0.5!$A$128:$A$773,SUBSTITUTE($A116,"AHUB{N}",D$22),SSC_Ontology_Ver0.5!$C$128:$C$773,$B116,SSC_Ontology_Ver0.5!$D$128:$D$773,SUBSTITUTE($C116,"AHUB{N}",D$22))</f>
        <v>1</v>
      </c>
      <c r="E116" s="19">
        <f>COUNTIFS(SSC_Ontology_Ver0.5!$A$128:$A$773,SUBSTITUTE($A116,"AHUB{N}",E$22),SSC_Ontology_Ver0.5!$C$128:$C$773,$B116,SSC_Ontology_Ver0.5!$D$128:$D$773,SUBSTITUTE($C116,"AHUB{N}",E$22))</f>
        <v>1</v>
      </c>
      <c r="F116" s="19">
        <f>COUNTIFS(SSC_Ontology_Ver0.5!$A$128:$A$773,SUBSTITUTE($A116,"AHUB{N}",F$22),SSC_Ontology_Ver0.5!$C$128:$C$773,$B116,SSC_Ontology_Ver0.5!$D$128:$D$773,SUBSTITUTE($C116,"AHUB{N}",F$22))</f>
        <v>1</v>
      </c>
      <c r="G116" s="19">
        <f>COUNTIFS(SSC_Ontology_Ver0.5!$A$128:$A$773,SUBSTITUTE($A116,"AHUB{N}",G$22),SSC_Ontology_Ver0.5!$C$128:$C$773,$B116,SSC_Ontology_Ver0.5!$D$128:$D$773,SUBSTITUTE($C116,"AHUB{N}",G$22))</f>
        <v>1</v>
      </c>
      <c r="H116" s="19">
        <f>COUNTIFS(SSC_Ontology_Ver0.5!$A$128:$A$773,SUBSTITUTE($A116,"AHUB{N}",H$22),SSC_Ontology_Ver0.5!$C$128:$C$773,$B116,SSC_Ontology_Ver0.5!$D$128:$D$773,SUBSTITUTE($C116,"AHUB{N}",H$22))</f>
        <v>1</v>
      </c>
      <c r="I116" s="15" t="str">
        <f>IF($B116="rec:locatedIn","Excluded - location varies by unit",IF(AND(MIN(D116:H116)=MAX(D116:H116),MAX(D116:H116)=1),"OK",IF(MIN(D116:H116)=0,"Not on all units","Duplicated")))</f>
        <v>OK</v>
      </c>
    </row>
    <row r="117" spans="1:9" x14ac:dyDescent="0.3">
      <c r="A117" s="13" t="s">
        <v>4808</v>
      </c>
      <c r="B117" s="14" t="s">
        <v>308</v>
      </c>
      <c r="C117" s="14" t="s">
        <v>4812</v>
      </c>
      <c r="D117" s="19">
        <f>COUNTIFS(SSC_Ontology_Ver0.5!$A$128:$A$773,SUBSTITUTE($A117,"AHUB{N}",D$22),SSC_Ontology_Ver0.5!$C$128:$C$773,$B117,SSC_Ontology_Ver0.5!$D$128:$D$773,SUBSTITUTE($C117,"AHUB{N}",D$22))</f>
        <v>1</v>
      </c>
      <c r="E117" s="19">
        <f>COUNTIFS(SSC_Ontology_Ver0.5!$A$128:$A$773,SUBSTITUTE($A117,"AHUB{N}",E$22),SSC_Ontology_Ver0.5!$C$128:$C$773,$B117,SSC_Ontology_Ver0.5!$D$128:$D$773,SUBSTITUTE($C117,"AHUB{N}",E$22))</f>
        <v>1</v>
      </c>
      <c r="F117" s="19">
        <f>COUNTIFS(SSC_Ontology_Ver0.5!$A$128:$A$773,SUBSTITUTE($A117,"AHUB{N}",F$22),SSC_Ontology_Ver0.5!$C$128:$C$773,$B117,SSC_Ontology_Ver0.5!$D$128:$D$773,SUBSTITUTE($C117,"AHUB{N}",F$22))</f>
        <v>1</v>
      </c>
      <c r="G117" s="19">
        <f>COUNTIFS(SSC_Ontology_Ver0.5!$A$128:$A$773,SUBSTITUTE($A117,"AHUB{N}",G$22),SSC_Ontology_Ver0.5!$C$128:$C$773,$B117,SSC_Ontology_Ver0.5!$D$128:$D$773,SUBSTITUTE($C117,"AHUB{N}",G$22))</f>
        <v>1</v>
      </c>
      <c r="H117" s="19">
        <f>COUNTIFS(SSC_Ontology_Ver0.5!$A$128:$A$773,SUBSTITUTE($A117,"AHUB{N}",H$22),SSC_Ontology_Ver0.5!$C$128:$C$773,$B117,SSC_Ontology_Ver0.5!$D$128:$D$773,SUBSTITUTE($C117,"AHUB{N}",H$22))</f>
        <v>1</v>
      </c>
      <c r="I117" s="15" t="str">
        <f>IF($B117="rec:locatedIn","Excluded - location varies by unit",IF(AND(MIN(D117:H117)=MAX(D117:H117),MAX(D117:H117)=1),"OK",IF(MIN(D117:H117)=0,"Not on all units","Duplicated")))</f>
        <v>OK</v>
      </c>
    </row>
    <row r="118" spans="1:9" x14ac:dyDescent="0.3">
      <c r="A118" s="13" t="s">
        <v>4812</v>
      </c>
      <c r="B118" s="14" t="s">
        <v>11</v>
      </c>
      <c r="C118" s="14" t="s">
        <v>12</v>
      </c>
      <c r="D118" s="19">
        <f>COUNTIFS(SSC_Ontology_Ver0.5!$A$128:$A$773,SUBSTITUTE($A118,"AHUB{N}",D$22),SSC_Ontology_Ver0.5!$C$128:$C$773,$B118,SSC_Ontology_Ver0.5!$D$128:$D$773,SUBSTITUTE($C118,"AHUB{N}",D$22))</f>
        <v>1</v>
      </c>
      <c r="E118" s="19">
        <f>COUNTIFS(SSC_Ontology_Ver0.5!$A$128:$A$773,SUBSTITUTE($A118,"AHUB{N}",E$22),SSC_Ontology_Ver0.5!$C$128:$C$773,$B118,SSC_Ontology_Ver0.5!$D$128:$D$773,SUBSTITUTE($C118,"AHUB{N}",E$22))</f>
        <v>1</v>
      </c>
      <c r="F118" s="19">
        <f>COUNTIFS(SSC_Ontology_Ver0.5!$A$128:$A$773,SUBSTITUTE($A118,"AHUB{N}",F$22),SSC_Ontology_Ver0.5!$C$128:$C$773,$B118,SSC_Ontology_Ver0.5!$D$128:$D$773,SUBSTITUTE($C118,"AHUB{N}",F$22))</f>
        <v>1</v>
      </c>
      <c r="G118" s="19">
        <f>COUNTIFS(SSC_Ontology_Ver0.5!$A$128:$A$773,SUBSTITUTE($A118,"AHUB{N}",G$22),SSC_Ontology_Ver0.5!$C$128:$C$773,$B118,SSC_Ontology_Ver0.5!$D$128:$D$773,SUBSTITUTE($C118,"AHUB{N}",G$22))</f>
        <v>1</v>
      </c>
      <c r="H118" s="19">
        <f>COUNTIFS(SSC_Ontology_Ver0.5!$A$128:$A$773,SUBSTITUTE($A118,"AHUB{N}",H$22),SSC_Ontology_Ver0.5!$C$128:$C$773,$B118,SSC_Ontology_Ver0.5!$D$128:$D$773,SUBSTITUTE($C118,"AHUB{N}",H$22))</f>
        <v>1</v>
      </c>
      <c r="I118" s="15" t="str">
        <f>IF($B118="rec:locatedIn","Excluded - location varies by unit",IF(AND(MIN(D118:H118)=MAX(D118:H118),MAX(D118:H118)=1),"OK",IF(MIN(D118:H118)=0,"Not on all units","Duplicated")))</f>
        <v>OK</v>
      </c>
    </row>
    <row r="119" spans="1:9" x14ac:dyDescent="0.3">
      <c r="A119" s="13" t="s">
        <v>4811</v>
      </c>
      <c r="B119" s="14" t="s">
        <v>11</v>
      </c>
      <c r="C119" s="14" t="s">
        <v>12</v>
      </c>
      <c r="D119" s="19">
        <f>COUNTIFS(SSC_Ontology_Ver0.5!$A$128:$A$773,SUBSTITUTE($A119,"AHUB{N}",D$22),SSC_Ontology_Ver0.5!$C$128:$C$773,$B119,SSC_Ontology_Ver0.5!$D$128:$D$773,SUBSTITUTE($C119,"AHUB{N}",D$22))</f>
        <v>1</v>
      </c>
      <c r="E119" s="19">
        <f>COUNTIFS(SSC_Ontology_Ver0.5!$A$128:$A$773,SUBSTITUTE($A119,"AHUB{N}",E$22),SSC_Ontology_Ver0.5!$C$128:$C$773,$B119,SSC_Ontology_Ver0.5!$D$128:$D$773,SUBSTITUTE($C119,"AHUB{N}",E$22))</f>
        <v>1</v>
      </c>
      <c r="F119" s="19">
        <f>COUNTIFS(SSC_Ontology_Ver0.5!$A$128:$A$773,SUBSTITUTE($A119,"AHUB{N}",F$22),SSC_Ontology_Ver0.5!$C$128:$C$773,$B119,SSC_Ontology_Ver0.5!$D$128:$D$773,SUBSTITUTE($C119,"AHUB{N}",F$22))</f>
        <v>1</v>
      </c>
      <c r="G119" s="19">
        <f>COUNTIFS(SSC_Ontology_Ver0.5!$A$128:$A$773,SUBSTITUTE($A119,"AHUB{N}",G$22),SSC_Ontology_Ver0.5!$C$128:$C$773,$B119,SSC_Ontology_Ver0.5!$D$128:$D$773,SUBSTITUTE($C119,"AHUB{N}",G$22))</f>
        <v>1</v>
      </c>
      <c r="H119" s="19">
        <f>COUNTIFS(SSC_Ontology_Ver0.5!$A$128:$A$773,SUBSTITUTE($A119,"AHUB{N}",H$22),SSC_Ontology_Ver0.5!$C$128:$C$773,$B119,SSC_Ontology_Ver0.5!$D$128:$D$773,SUBSTITUTE($C119,"AHUB{N}",H$22))</f>
        <v>1</v>
      </c>
      <c r="I119" s="15" t="str">
        <f>IF($B119="rec:locatedIn","Excluded - location varies by unit",IF(AND(MIN(D119:H119)=MAX(D119:H119),MAX(D119:H119)=1),"OK",IF(MIN(D119:H119)=0,"Not on all units","Duplicated")))</f>
        <v>OK</v>
      </c>
    </row>
    <row r="120" spans="1:9" x14ac:dyDescent="0.3">
      <c r="A120" s="13" t="s">
        <v>4809</v>
      </c>
      <c r="B120" s="14" t="s">
        <v>11</v>
      </c>
      <c r="C120" s="14" t="s">
        <v>12</v>
      </c>
      <c r="D120" s="19">
        <f>COUNTIFS(SSC_Ontology_Ver0.5!$A$128:$A$773,SUBSTITUTE($A120,"AHUB{N}",D$22),SSC_Ontology_Ver0.5!$C$128:$C$773,$B120,SSC_Ontology_Ver0.5!$D$128:$D$773,SUBSTITUTE($C120,"AHUB{N}",D$22))</f>
        <v>1</v>
      </c>
      <c r="E120" s="19">
        <f>COUNTIFS(SSC_Ontology_Ver0.5!$A$128:$A$773,SUBSTITUTE($A120,"AHUB{N}",E$22),SSC_Ontology_Ver0.5!$C$128:$C$773,$B120,SSC_Ontology_Ver0.5!$D$128:$D$773,SUBSTITUTE($C120,"AHUB{N}",E$22))</f>
        <v>1</v>
      </c>
      <c r="F120" s="19">
        <f>COUNTIFS(SSC_Ontology_Ver0.5!$A$128:$A$773,SUBSTITUTE($A120,"AHUB{N}",F$22),SSC_Ontology_Ver0.5!$C$128:$C$773,$B120,SSC_Ontology_Ver0.5!$D$128:$D$773,SUBSTITUTE($C120,"AHUB{N}",F$22))</f>
        <v>1</v>
      </c>
      <c r="G120" s="19">
        <f>COUNTIFS(SSC_Ontology_Ver0.5!$A$128:$A$773,SUBSTITUTE($A120,"AHUB{N}",G$22),SSC_Ontology_Ver0.5!$C$128:$C$773,$B120,SSC_Ontology_Ver0.5!$D$128:$D$773,SUBSTITUTE($C120,"AHUB{N}",G$22))</f>
        <v>1</v>
      </c>
      <c r="H120" s="19">
        <f>COUNTIFS(SSC_Ontology_Ver0.5!$A$128:$A$773,SUBSTITUTE($A120,"AHUB{N}",H$22),SSC_Ontology_Ver0.5!$C$128:$C$773,$B120,SSC_Ontology_Ver0.5!$D$128:$D$773,SUBSTITUTE($C120,"AHUB{N}",H$22))</f>
        <v>1</v>
      </c>
      <c r="I120" s="15" t="str">
        <f>IF($B120="rec:locatedIn","Excluded - location varies by unit",IF(AND(MIN(D120:H120)=MAX(D120:H120),MAX(D120:H120)=1),"OK",IF(MIN(D120:H120)=0,"Not on all units","Duplicated")))</f>
        <v>OK</v>
      </c>
    </row>
    <row r="121" spans="1:9" x14ac:dyDescent="0.3">
      <c r="A121" s="13" t="s">
        <v>4810</v>
      </c>
      <c r="B121" s="14" t="s">
        <v>11</v>
      </c>
      <c r="C121" s="14" t="s">
        <v>12</v>
      </c>
      <c r="D121" s="19">
        <f>COUNTIFS(SSC_Ontology_Ver0.5!$A$128:$A$773,SUBSTITUTE($A121,"AHUB{N}",D$22),SSC_Ontology_Ver0.5!$C$128:$C$773,$B121,SSC_Ontology_Ver0.5!$D$128:$D$773,SUBSTITUTE($C121,"AHUB{N}",D$22))</f>
        <v>1</v>
      </c>
      <c r="E121" s="19">
        <f>COUNTIFS(SSC_Ontology_Ver0.5!$A$128:$A$773,SUBSTITUTE($A121,"AHUB{N}",E$22),SSC_Ontology_Ver0.5!$C$128:$C$773,$B121,SSC_Ontology_Ver0.5!$D$128:$D$773,SUBSTITUTE($C121,"AHUB{N}",E$22))</f>
        <v>1</v>
      </c>
      <c r="F121" s="19">
        <f>COUNTIFS(SSC_Ontology_Ver0.5!$A$128:$A$773,SUBSTITUTE($A121,"AHUB{N}",F$22),SSC_Ontology_Ver0.5!$C$128:$C$773,$B121,SSC_Ontology_Ver0.5!$D$128:$D$773,SUBSTITUTE($C121,"AHUB{N}",F$22))</f>
        <v>1</v>
      </c>
      <c r="G121" s="19">
        <f>COUNTIFS(SSC_Ontology_Ver0.5!$A$128:$A$773,SUBSTITUTE($A121,"AHUB{N}",G$22),SSC_Ontology_Ver0.5!$C$128:$C$773,$B121,SSC_Ontology_Ver0.5!$D$128:$D$773,SUBSTITUTE($C121,"AHUB{N}",G$22))</f>
        <v>1</v>
      </c>
      <c r="H121" s="19">
        <f>COUNTIFS(SSC_Ontology_Ver0.5!$A$128:$A$773,SUBSTITUTE($A121,"AHUB{N}",H$22),SSC_Ontology_Ver0.5!$C$128:$C$773,$B121,SSC_Ontology_Ver0.5!$D$128:$D$773,SUBSTITUTE($C121,"AHUB{N}",H$22))</f>
        <v>1</v>
      </c>
      <c r="I121" s="15" t="str">
        <f>IF($B121="rec:locatedIn","Excluded - location varies by unit",IF(AND(MIN(D121:H121)=MAX(D121:H121),MAX(D121:H121)=1),"OK",IF(MIN(D121:H121)=0,"Not on all units","Duplicated")))</f>
        <v>OK</v>
      </c>
    </row>
    <row r="122" spans="1:9" x14ac:dyDescent="0.3">
      <c r="A122" s="13" t="s">
        <v>4807</v>
      </c>
      <c r="B122" s="14" t="s">
        <v>11</v>
      </c>
      <c r="C122" s="14" t="s">
        <v>12</v>
      </c>
      <c r="D122" s="19">
        <f>COUNTIFS(SSC_Ontology_Ver0.5!$A$128:$A$773,SUBSTITUTE($A122,"AHUB{N}",D$22),SSC_Ontology_Ver0.5!$C$128:$C$773,$B122,SSC_Ontology_Ver0.5!$D$128:$D$773,SUBSTITUTE($C122,"AHUB{N}",D$22))</f>
        <v>1</v>
      </c>
      <c r="E122" s="19">
        <f>COUNTIFS(SSC_Ontology_Ver0.5!$A$128:$A$773,SUBSTITUTE($A122,"AHUB{N}",E$22),SSC_Ontology_Ver0.5!$C$128:$C$773,$B122,SSC_Ontology_Ver0.5!$D$128:$D$773,SUBSTITUTE($C122,"AHUB{N}",E$22))</f>
        <v>1</v>
      </c>
      <c r="F122" s="19">
        <f>COUNTIFS(SSC_Ontology_Ver0.5!$A$128:$A$773,SUBSTITUTE($A122,"AHUB{N}",F$22),SSC_Ontology_Ver0.5!$C$128:$C$773,$B122,SSC_Ontology_Ver0.5!$D$128:$D$773,SUBSTITUTE($C122,"AHUB{N}",F$22))</f>
        <v>1</v>
      </c>
      <c r="G122" s="19">
        <f>COUNTIFS(SSC_Ontology_Ver0.5!$A$128:$A$773,SUBSTITUTE($A122,"AHUB{N}",G$22),SSC_Ontology_Ver0.5!$C$128:$C$773,$B122,SSC_Ontology_Ver0.5!$D$128:$D$773,SUBSTITUTE($C122,"AHUB{N}",G$22))</f>
        <v>1</v>
      </c>
      <c r="H122" s="19">
        <f>COUNTIFS(SSC_Ontology_Ver0.5!$A$128:$A$773,SUBSTITUTE($A122,"AHUB{N}",H$22),SSC_Ontology_Ver0.5!$C$128:$C$773,$B122,SSC_Ontology_Ver0.5!$D$128:$D$773,SUBSTITUTE($C122,"AHUB{N}",H$22))</f>
        <v>1</v>
      </c>
      <c r="I122" s="15" t="str">
        <f>IF($B122="rec:locatedIn","Excluded - location varies by unit",IF(AND(MIN(D122:H122)=MAX(D122:H122),MAX(D122:H122)=1),"OK",IF(MIN(D122:H122)=0,"Not on all units","Duplicated")))</f>
        <v>OK</v>
      </c>
    </row>
    <row r="123" spans="1:9" x14ac:dyDescent="0.3">
      <c r="A123" s="13" t="s">
        <v>4775</v>
      </c>
      <c r="B123" s="14" t="s">
        <v>11</v>
      </c>
      <c r="C123" s="14" t="s">
        <v>12</v>
      </c>
      <c r="D123" s="19">
        <f>COUNTIFS(SSC_Ontology_Ver0.5!$A$128:$A$773,SUBSTITUTE($A123,"AHUB{N}",D$22),SSC_Ontology_Ver0.5!$C$128:$C$773,$B123,SSC_Ontology_Ver0.5!$D$128:$D$773,SUBSTITUTE($C123,"AHUB{N}",D$22))</f>
        <v>1</v>
      </c>
      <c r="E123" s="19">
        <f>COUNTIFS(SSC_Ontology_Ver0.5!$A$128:$A$773,SUBSTITUTE($A123,"AHUB{N}",E$22),SSC_Ontology_Ver0.5!$C$128:$C$773,$B123,SSC_Ontology_Ver0.5!$D$128:$D$773,SUBSTITUTE($C123,"AHUB{N}",E$22))</f>
        <v>1</v>
      </c>
      <c r="F123" s="19">
        <f>COUNTIFS(SSC_Ontology_Ver0.5!$A$128:$A$773,SUBSTITUTE($A123,"AHUB{N}",F$22),SSC_Ontology_Ver0.5!$C$128:$C$773,$B123,SSC_Ontology_Ver0.5!$D$128:$D$773,SUBSTITUTE($C123,"AHUB{N}",F$22))</f>
        <v>1</v>
      </c>
      <c r="G123" s="19">
        <f>COUNTIFS(SSC_Ontology_Ver0.5!$A$128:$A$773,SUBSTITUTE($A123,"AHUB{N}",G$22),SSC_Ontology_Ver0.5!$C$128:$C$773,$B123,SSC_Ontology_Ver0.5!$D$128:$D$773,SUBSTITUTE($C123,"AHUB{N}",G$22))</f>
        <v>1</v>
      </c>
      <c r="H123" s="19">
        <f>COUNTIFS(SSC_Ontology_Ver0.5!$A$128:$A$773,SUBSTITUTE($A123,"AHUB{N}",H$22),SSC_Ontology_Ver0.5!$C$128:$C$773,$B123,SSC_Ontology_Ver0.5!$D$128:$D$773,SUBSTITUTE($C123,"AHUB{N}",H$22))</f>
        <v>1</v>
      </c>
      <c r="I123" s="15" t="str">
        <f>IF($B123="rec:locatedIn","Excluded - location varies by unit",IF(AND(MIN(D123:H123)=MAX(D123:H123),MAX(D123:H123)=1),"OK",IF(MIN(D123:H123)=0,"Not on all units","Duplicated")))</f>
        <v>OK</v>
      </c>
    </row>
    <row r="124" spans="1:9" x14ac:dyDescent="0.3">
      <c r="A124" s="13" t="s">
        <v>4749</v>
      </c>
      <c r="B124" s="14" t="s">
        <v>11</v>
      </c>
      <c r="C124" s="14" t="s">
        <v>12</v>
      </c>
      <c r="D124" s="19">
        <f>COUNTIFS(SSC_Ontology_Ver0.5!$A$128:$A$773,SUBSTITUTE($A124,"AHUB{N}",D$22),SSC_Ontology_Ver0.5!$C$128:$C$773,$B124,SSC_Ontology_Ver0.5!$D$128:$D$773,SUBSTITUTE($C124,"AHUB{N}",D$22))</f>
        <v>1</v>
      </c>
      <c r="E124" s="19">
        <f>COUNTIFS(SSC_Ontology_Ver0.5!$A$128:$A$773,SUBSTITUTE($A124,"AHUB{N}",E$22),SSC_Ontology_Ver0.5!$C$128:$C$773,$B124,SSC_Ontology_Ver0.5!$D$128:$D$773,SUBSTITUTE($C124,"AHUB{N}",E$22))</f>
        <v>2</v>
      </c>
      <c r="F124" s="19">
        <f>COUNTIFS(SSC_Ontology_Ver0.5!$A$128:$A$773,SUBSTITUTE($A124,"AHUB{N}",F$22),SSC_Ontology_Ver0.5!$C$128:$C$773,$B124,SSC_Ontology_Ver0.5!$D$128:$D$773,SUBSTITUTE($C124,"AHUB{N}",F$22))</f>
        <v>2</v>
      </c>
      <c r="G124" s="19">
        <f>COUNTIFS(SSC_Ontology_Ver0.5!$A$128:$A$773,SUBSTITUTE($A124,"AHUB{N}",G$22),SSC_Ontology_Ver0.5!$C$128:$C$773,$B124,SSC_Ontology_Ver0.5!$D$128:$D$773,SUBSTITUTE($C124,"AHUB{N}",G$22))</f>
        <v>2</v>
      </c>
      <c r="H124" s="19">
        <f>COUNTIFS(SSC_Ontology_Ver0.5!$A$128:$A$773,SUBSTITUTE($A124,"AHUB{N}",H$22),SSC_Ontology_Ver0.5!$C$128:$C$773,$B124,SSC_Ontology_Ver0.5!$D$128:$D$773,SUBSTITUTE($C124,"AHUB{N}",H$22))</f>
        <v>1</v>
      </c>
      <c r="I124" s="15" t="str">
        <f>IF($B124="rec:locatedIn","Excluded - location varies by unit",IF(AND(MIN(D124:H124)=MAX(D124:H124),MAX(D124:H124)=1),"OK",IF(MIN(D124:H124)=0,"Not on all units","Duplicated")))</f>
        <v>Duplicated</v>
      </c>
    </row>
    <row r="125" spans="1:9" x14ac:dyDescent="0.3">
      <c r="A125" s="13" t="s">
        <v>4776</v>
      </c>
      <c r="B125" s="14" t="s">
        <v>11</v>
      </c>
      <c r="C125" s="14" t="s">
        <v>12</v>
      </c>
      <c r="D125" s="19">
        <f>COUNTIFS(SSC_Ontology_Ver0.5!$A$128:$A$773,SUBSTITUTE($A125,"AHUB{N}",D$22),SSC_Ontology_Ver0.5!$C$128:$C$773,$B125,SSC_Ontology_Ver0.5!$D$128:$D$773,SUBSTITUTE($C125,"AHUB{N}",D$22))</f>
        <v>1</v>
      </c>
      <c r="E125" s="19">
        <f>COUNTIFS(SSC_Ontology_Ver0.5!$A$128:$A$773,SUBSTITUTE($A125,"AHUB{N}",E$22),SSC_Ontology_Ver0.5!$C$128:$C$773,$B125,SSC_Ontology_Ver0.5!$D$128:$D$773,SUBSTITUTE($C125,"AHUB{N}",E$22))</f>
        <v>1</v>
      </c>
      <c r="F125" s="19">
        <f>COUNTIFS(SSC_Ontology_Ver0.5!$A$128:$A$773,SUBSTITUTE($A125,"AHUB{N}",F$22),SSC_Ontology_Ver0.5!$C$128:$C$773,$B125,SSC_Ontology_Ver0.5!$D$128:$D$773,SUBSTITUTE($C125,"AHUB{N}",F$22))</f>
        <v>1</v>
      </c>
      <c r="G125" s="19">
        <f>COUNTIFS(SSC_Ontology_Ver0.5!$A$128:$A$773,SUBSTITUTE($A125,"AHUB{N}",G$22),SSC_Ontology_Ver0.5!$C$128:$C$773,$B125,SSC_Ontology_Ver0.5!$D$128:$D$773,SUBSTITUTE($C125,"AHUB{N}",G$22))</f>
        <v>1</v>
      </c>
      <c r="H125" s="19">
        <f>COUNTIFS(SSC_Ontology_Ver0.5!$A$128:$A$773,SUBSTITUTE($A125,"AHUB{N}",H$22),SSC_Ontology_Ver0.5!$C$128:$C$773,$B125,SSC_Ontology_Ver0.5!$D$128:$D$773,SUBSTITUTE($C125,"AHUB{N}",H$22))</f>
        <v>1</v>
      </c>
      <c r="I125" s="15" t="str">
        <f>IF($B125="rec:locatedIn","Excluded - location varies by unit",IF(AND(MIN(D125:H125)=MAX(D125:H125),MAX(D125:H125)=1),"OK",IF(MIN(D125:H125)=0,"Not on all units","Duplicated")))</f>
        <v>OK</v>
      </c>
    </row>
    <row r="126" spans="1:9" x14ac:dyDescent="0.3">
      <c r="A126" s="13" t="s">
        <v>4746</v>
      </c>
      <c r="B126" s="14" t="s">
        <v>11</v>
      </c>
      <c r="C126" s="14" t="s">
        <v>12</v>
      </c>
      <c r="D126" s="19">
        <f>COUNTIFS(SSC_Ontology_Ver0.5!$A$128:$A$773,SUBSTITUTE($A126,"AHUB{N}",D$22),SSC_Ontology_Ver0.5!$C$128:$C$773,$B126,SSC_Ontology_Ver0.5!$D$128:$D$773,SUBSTITUTE($C126,"AHUB{N}",D$22))</f>
        <v>1</v>
      </c>
      <c r="E126" s="19">
        <f>COUNTIFS(SSC_Ontology_Ver0.5!$A$128:$A$773,SUBSTITUTE($A126,"AHUB{N}",E$22),SSC_Ontology_Ver0.5!$C$128:$C$773,$B126,SSC_Ontology_Ver0.5!$D$128:$D$773,SUBSTITUTE($C126,"AHUB{N}",E$22))</f>
        <v>1</v>
      </c>
      <c r="F126" s="19">
        <f>COUNTIFS(SSC_Ontology_Ver0.5!$A$128:$A$773,SUBSTITUTE($A126,"AHUB{N}",F$22),SSC_Ontology_Ver0.5!$C$128:$C$773,$B126,SSC_Ontology_Ver0.5!$D$128:$D$773,SUBSTITUTE($C126,"AHUB{N}",F$22))</f>
        <v>0</v>
      </c>
      <c r="G126" s="19">
        <f>COUNTIFS(SSC_Ontology_Ver0.5!$A$128:$A$773,SUBSTITUTE($A126,"AHUB{N}",G$22),SSC_Ontology_Ver0.5!$C$128:$C$773,$B126,SSC_Ontology_Ver0.5!$D$128:$D$773,SUBSTITUTE($C126,"AHUB{N}",G$22))</f>
        <v>1</v>
      </c>
      <c r="H126" s="19">
        <f>COUNTIFS(SSC_Ontology_Ver0.5!$A$128:$A$773,SUBSTITUTE($A126,"AHUB{N}",H$22),SSC_Ontology_Ver0.5!$C$128:$C$773,$B126,SSC_Ontology_Ver0.5!$D$128:$D$773,SUBSTITUTE($C126,"AHUB{N}",H$22))</f>
        <v>0</v>
      </c>
      <c r="I126" s="15" t="str">
        <f>IF($B126="rec:locatedIn","Excluded - location varies by unit",IF(AND(MIN(D126:H126)=MAX(D126:H126),MAX(D126:H126)=1),"OK",IF(MIN(D126:H126)=0,"Not on all units","Duplicated")))</f>
        <v>Not on all units</v>
      </c>
    </row>
    <row r="127" spans="1:9" x14ac:dyDescent="0.3">
      <c r="A127" s="13" t="s">
        <v>4777</v>
      </c>
      <c r="B127" s="14" t="s">
        <v>11</v>
      </c>
      <c r="C127" s="14" t="s">
        <v>12</v>
      </c>
      <c r="D127" s="19">
        <f>COUNTIFS(SSC_Ontology_Ver0.5!$A$128:$A$773,SUBSTITUTE($A127,"AHUB{N}",D$22),SSC_Ontology_Ver0.5!$C$128:$C$773,$B127,SSC_Ontology_Ver0.5!$D$128:$D$773,SUBSTITUTE($C127,"AHUB{N}",D$22))</f>
        <v>1</v>
      </c>
      <c r="E127" s="19">
        <f>COUNTIFS(SSC_Ontology_Ver0.5!$A$128:$A$773,SUBSTITUTE($A127,"AHUB{N}",E$22),SSC_Ontology_Ver0.5!$C$128:$C$773,$B127,SSC_Ontology_Ver0.5!$D$128:$D$773,SUBSTITUTE($C127,"AHUB{N}",E$22))</f>
        <v>1</v>
      </c>
      <c r="F127" s="19">
        <f>COUNTIFS(SSC_Ontology_Ver0.5!$A$128:$A$773,SUBSTITUTE($A127,"AHUB{N}",F$22),SSC_Ontology_Ver0.5!$C$128:$C$773,$B127,SSC_Ontology_Ver0.5!$D$128:$D$773,SUBSTITUTE($C127,"AHUB{N}",F$22))</f>
        <v>1</v>
      </c>
      <c r="G127" s="19">
        <f>COUNTIFS(SSC_Ontology_Ver0.5!$A$128:$A$773,SUBSTITUTE($A127,"AHUB{N}",G$22),SSC_Ontology_Ver0.5!$C$128:$C$773,$B127,SSC_Ontology_Ver0.5!$D$128:$D$773,SUBSTITUTE($C127,"AHUB{N}",G$22))</f>
        <v>1</v>
      </c>
      <c r="H127" s="19">
        <f>COUNTIFS(SSC_Ontology_Ver0.5!$A$128:$A$773,SUBSTITUTE($A127,"AHUB{N}",H$22),SSC_Ontology_Ver0.5!$C$128:$C$773,$B127,SSC_Ontology_Ver0.5!$D$128:$D$773,SUBSTITUTE($C127,"AHUB{N}",H$22))</f>
        <v>1</v>
      </c>
      <c r="I127" s="15" t="str">
        <f>IF($B127="rec:locatedIn","Excluded - location varies by unit",IF(AND(MIN(D127:H127)=MAX(D127:H127),MAX(D127:H127)=1),"OK",IF(MIN(D127:H127)=0,"Not on all units","Duplicated")))</f>
        <v>OK</v>
      </c>
    </row>
    <row r="128" spans="1:9" x14ac:dyDescent="0.3">
      <c r="A128" s="13" t="s">
        <v>4767</v>
      </c>
      <c r="B128" s="14" t="s">
        <v>280</v>
      </c>
      <c r="C128" s="14" t="s">
        <v>4813</v>
      </c>
      <c r="D128" s="19">
        <f>COUNTIFS(SSC_Ontology_Ver0.5!$A$128:$A$773,SUBSTITUTE($A128,"AHUB{N}",D$22),SSC_Ontology_Ver0.5!$C$128:$C$773,$B128,SSC_Ontology_Ver0.5!$D$128:$D$773,SUBSTITUTE($C128,"AHUB{N}",D$22))</f>
        <v>1</v>
      </c>
      <c r="E128" s="19">
        <f>COUNTIFS(SSC_Ontology_Ver0.5!$A$128:$A$773,SUBSTITUTE($A128,"AHUB{N}",E$22),SSC_Ontology_Ver0.5!$C$128:$C$773,$B128,SSC_Ontology_Ver0.5!$D$128:$D$773,SUBSTITUTE($C128,"AHUB{N}",E$22))</f>
        <v>1</v>
      </c>
      <c r="F128" s="19">
        <f>COUNTIFS(SSC_Ontology_Ver0.5!$A$128:$A$773,SUBSTITUTE($A128,"AHUB{N}",F$22),SSC_Ontology_Ver0.5!$C$128:$C$773,$B128,SSC_Ontology_Ver0.5!$D$128:$D$773,SUBSTITUTE($C128,"AHUB{N}",F$22))</f>
        <v>1</v>
      </c>
      <c r="G128" s="19">
        <f>COUNTIFS(SSC_Ontology_Ver0.5!$A$128:$A$773,SUBSTITUTE($A128,"AHUB{N}",G$22),SSC_Ontology_Ver0.5!$C$128:$C$773,$B128,SSC_Ontology_Ver0.5!$D$128:$D$773,SUBSTITUTE($C128,"AHUB{N}",G$22))</f>
        <v>1</v>
      </c>
      <c r="H128" s="19">
        <f>COUNTIFS(SSC_Ontology_Ver0.5!$A$128:$A$773,SUBSTITUTE($A128,"AHUB{N}",H$22),SSC_Ontology_Ver0.5!$C$128:$C$773,$B128,SSC_Ontology_Ver0.5!$D$128:$D$773,SUBSTITUTE($C128,"AHUB{N}",H$22))</f>
        <v>1</v>
      </c>
      <c r="I128" s="15" t="str">
        <f>IF($B128="rec:locatedIn","Excluded - location varies by unit",IF(AND(MIN(D128:H128)=MAX(D128:H128),MAX(D128:H128)=1),"OK",IF(MIN(D128:H128)=0,"Not on all units","Duplicated")))</f>
        <v>OK</v>
      </c>
    </row>
    <row r="129" spans="1:9" x14ac:dyDescent="0.3">
      <c r="A129" s="13" t="s">
        <v>4767</v>
      </c>
      <c r="B129" s="14" t="s">
        <v>308</v>
      </c>
      <c r="C129" s="14" t="s">
        <v>4814</v>
      </c>
      <c r="D129" s="19">
        <f>COUNTIFS(SSC_Ontology_Ver0.5!$A$128:$A$773,SUBSTITUTE($A129,"AHUB{N}",D$22),SSC_Ontology_Ver0.5!$C$128:$C$773,$B129,SSC_Ontology_Ver0.5!$D$128:$D$773,SUBSTITUTE($C129,"AHUB{N}",D$22))</f>
        <v>1</v>
      </c>
      <c r="E129" s="19">
        <f>COUNTIFS(SSC_Ontology_Ver0.5!$A$128:$A$773,SUBSTITUTE($A129,"AHUB{N}",E$22),SSC_Ontology_Ver0.5!$C$128:$C$773,$B129,SSC_Ontology_Ver0.5!$D$128:$D$773,SUBSTITUTE($C129,"AHUB{N}",E$22))</f>
        <v>1</v>
      </c>
      <c r="F129" s="19">
        <f>COUNTIFS(SSC_Ontology_Ver0.5!$A$128:$A$773,SUBSTITUTE($A129,"AHUB{N}",F$22),SSC_Ontology_Ver0.5!$C$128:$C$773,$B129,SSC_Ontology_Ver0.5!$D$128:$D$773,SUBSTITUTE($C129,"AHUB{N}",F$22))</f>
        <v>1</v>
      </c>
      <c r="G129" s="19">
        <f>COUNTIFS(SSC_Ontology_Ver0.5!$A$128:$A$773,SUBSTITUTE($A129,"AHUB{N}",G$22),SSC_Ontology_Ver0.5!$C$128:$C$773,$B129,SSC_Ontology_Ver0.5!$D$128:$D$773,SUBSTITUTE($C129,"AHUB{N}",G$22))</f>
        <v>1</v>
      </c>
      <c r="H129" s="19">
        <f>COUNTIFS(SSC_Ontology_Ver0.5!$A$128:$A$773,SUBSTITUTE($A129,"AHUB{N}",H$22),SSC_Ontology_Ver0.5!$C$128:$C$773,$B129,SSC_Ontology_Ver0.5!$D$128:$D$773,SUBSTITUTE($C129,"AHUB{N}",H$22))</f>
        <v>1</v>
      </c>
      <c r="I129" s="15" t="str">
        <f>IF($B129="rec:locatedIn","Excluded - location varies by unit",IF(AND(MIN(D129:H129)=MAX(D129:H129),MAX(D129:H129)=1),"OK",IF(MIN(D129:H129)=0,"Not on all units","Duplicated")))</f>
        <v>OK</v>
      </c>
    </row>
    <row r="130" spans="1:9" x14ac:dyDescent="0.3">
      <c r="A130" s="13" t="s">
        <v>4767</v>
      </c>
      <c r="B130" s="14" t="s">
        <v>308</v>
      </c>
      <c r="C130" s="14" t="s">
        <v>4815</v>
      </c>
      <c r="D130" s="19">
        <f>COUNTIFS(SSC_Ontology_Ver0.5!$A$128:$A$773,SUBSTITUTE($A130,"AHUB{N}",D$22),SSC_Ontology_Ver0.5!$C$128:$C$773,$B130,SSC_Ontology_Ver0.5!$D$128:$D$773,SUBSTITUTE($C130,"AHUB{N}",D$22))</f>
        <v>1</v>
      </c>
      <c r="E130" s="19">
        <f>COUNTIFS(SSC_Ontology_Ver0.5!$A$128:$A$773,SUBSTITUTE($A130,"AHUB{N}",E$22),SSC_Ontology_Ver0.5!$C$128:$C$773,$B130,SSC_Ontology_Ver0.5!$D$128:$D$773,SUBSTITUTE($C130,"AHUB{N}",E$22))</f>
        <v>1</v>
      </c>
      <c r="F130" s="19">
        <f>COUNTIFS(SSC_Ontology_Ver0.5!$A$128:$A$773,SUBSTITUTE($A130,"AHUB{N}",F$22),SSC_Ontology_Ver0.5!$C$128:$C$773,$B130,SSC_Ontology_Ver0.5!$D$128:$D$773,SUBSTITUTE($C130,"AHUB{N}",F$22))</f>
        <v>1</v>
      </c>
      <c r="G130" s="19">
        <f>COUNTIFS(SSC_Ontology_Ver0.5!$A$128:$A$773,SUBSTITUTE($A130,"AHUB{N}",G$22),SSC_Ontology_Ver0.5!$C$128:$C$773,$B130,SSC_Ontology_Ver0.5!$D$128:$D$773,SUBSTITUTE($C130,"AHUB{N}",G$22))</f>
        <v>1</v>
      </c>
      <c r="H130" s="19">
        <f>COUNTIFS(SSC_Ontology_Ver0.5!$A$128:$A$773,SUBSTITUTE($A130,"AHUB{N}",H$22),SSC_Ontology_Ver0.5!$C$128:$C$773,$B130,SSC_Ontology_Ver0.5!$D$128:$D$773,SUBSTITUTE($C130,"AHUB{N}",H$22))</f>
        <v>1</v>
      </c>
      <c r="I130" s="15" t="str">
        <f>IF($B130="rec:locatedIn","Excluded - location varies by unit",IF(AND(MIN(D130:H130)=MAX(D130:H130),MAX(D130:H130)=1),"OK",IF(MIN(D130:H130)=0,"Not on all units","Duplicated")))</f>
        <v>OK</v>
      </c>
    </row>
    <row r="131" spans="1:9" x14ac:dyDescent="0.3">
      <c r="A131" s="13" t="s">
        <v>4767</v>
      </c>
      <c r="B131" s="14" t="s">
        <v>308</v>
      </c>
      <c r="C131" s="14" t="s">
        <v>4816</v>
      </c>
      <c r="D131" s="19">
        <f>COUNTIFS(SSC_Ontology_Ver0.5!$A$128:$A$773,SUBSTITUTE($A131,"AHUB{N}",D$22),SSC_Ontology_Ver0.5!$C$128:$C$773,$B131,SSC_Ontology_Ver0.5!$D$128:$D$773,SUBSTITUTE($C131,"AHUB{N}",D$22))</f>
        <v>1</v>
      </c>
      <c r="E131" s="19">
        <f>COUNTIFS(SSC_Ontology_Ver0.5!$A$128:$A$773,SUBSTITUTE($A131,"AHUB{N}",E$22),SSC_Ontology_Ver0.5!$C$128:$C$773,$B131,SSC_Ontology_Ver0.5!$D$128:$D$773,SUBSTITUTE($C131,"AHUB{N}",E$22))</f>
        <v>1</v>
      </c>
      <c r="F131" s="19">
        <f>COUNTIFS(SSC_Ontology_Ver0.5!$A$128:$A$773,SUBSTITUTE($A131,"AHUB{N}",F$22),SSC_Ontology_Ver0.5!$C$128:$C$773,$B131,SSC_Ontology_Ver0.5!$D$128:$D$773,SUBSTITUTE($C131,"AHUB{N}",F$22))</f>
        <v>1</v>
      </c>
      <c r="G131" s="19">
        <f>COUNTIFS(SSC_Ontology_Ver0.5!$A$128:$A$773,SUBSTITUTE($A131,"AHUB{N}",G$22),SSC_Ontology_Ver0.5!$C$128:$C$773,$B131,SSC_Ontology_Ver0.5!$D$128:$D$773,SUBSTITUTE($C131,"AHUB{N}",G$22))</f>
        <v>1</v>
      </c>
      <c r="H131" s="19">
        <f>COUNTIFS(SSC_Ontology_Ver0.5!$A$128:$A$773,SUBSTITUTE($A131,"AHUB{N}",H$22),SSC_Ontology_Ver0.5!$C$128:$C$773,$B131,SSC_Ontology_Ver0.5!$D$128:$D$773,SUBSTITUTE($C131,"AHUB{N}",H$22))</f>
        <v>1</v>
      </c>
      <c r="I131" s="15" t="str">
        <f>IF($B131="rec:locatedIn","Excluded - location varies by unit",IF(AND(MIN(D131:H131)=MAX(D131:H131),MAX(D131:H131)=1),"OK",IF(MIN(D131:H131)=0,"Not on all units","Duplicated")))</f>
        <v>OK</v>
      </c>
    </row>
    <row r="132" spans="1:9" x14ac:dyDescent="0.3">
      <c r="A132" s="13" t="s">
        <v>4767</v>
      </c>
      <c r="B132" s="14" t="s">
        <v>308</v>
      </c>
      <c r="C132" s="14" t="s">
        <v>4817</v>
      </c>
      <c r="D132" s="19">
        <f>COUNTIFS(SSC_Ontology_Ver0.5!$A$128:$A$773,SUBSTITUTE($A132,"AHUB{N}",D$22),SSC_Ontology_Ver0.5!$C$128:$C$773,$B132,SSC_Ontology_Ver0.5!$D$128:$D$773,SUBSTITUTE($C132,"AHUB{N}",D$22))</f>
        <v>1</v>
      </c>
      <c r="E132" s="19">
        <f>COUNTIFS(SSC_Ontology_Ver0.5!$A$128:$A$773,SUBSTITUTE($A132,"AHUB{N}",E$22),SSC_Ontology_Ver0.5!$C$128:$C$773,$B132,SSC_Ontology_Ver0.5!$D$128:$D$773,SUBSTITUTE($C132,"AHUB{N}",E$22))</f>
        <v>1</v>
      </c>
      <c r="F132" s="19">
        <f>COUNTIFS(SSC_Ontology_Ver0.5!$A$128:$A$773,SUBSTITUTE($A132,"AHUB{N}",F$22),SSC_Ontology_Ver0.5!$C$128:$C$773,$B132,SSC_Ontology_Ver0.5!$D$128:$D$773,SUBSTITUTE($C132,"AHUB{N}",F$22))</f>
        <v>1</v>
      </c>
      <c r="G132" s="19">
        <f>COUNTIFS(SSC_Ontology_Ver0.5!$A$128:$A$773,SUBSTITUTE($A132,"AHUB{N}",G$22),SSC_Ontology_Ver0.5!$C$128:$C$773,$B132,SSC_Ontology_Ver0.5!$D$128:$D$773,SUBSTITUTE($C132,"AHUB{N}",G$22))</f>
        <v>1</v>
      </c>
      <c r="H132" s="19">
        <f>COUNTIFS(SSC_Ontology_Ver0.5!$A$128:$A$773,SUBSTITUTE($A132,"AHUB{N}",H$22),SSC_Ontology_Ver0.5!$C$128:$C$773,$B132,SSC_Ontology_Ver0.5!$D$128:$D$773,SUBSTITUTE($C132,"AHUB{N}",H$22))</f>
        <v>1</v>
      </c>
      <c r="I132" s="15" t="str">
        <f>IF($B132="rec:locatedIn","Excluded - location varies by unit",IF(AND(MIN(D132:H132)=MAX(D132:H132),MAX(D132:H132)=1),"OK",IF(MIN(D132:H132)=0,"Not on all units","Duplicated")))</f>
        <v>OK</v>
      </c>
    </row>
    <row r="133" spans="1:9" x14ac:dyDescent="0.3">
      <c r="A133" s="13" t="s">
        <v>4767</v>
      </c>
      <c r="B133" s="14" t="s">
        <v>308</v>
      </c>
      <c r="C133" s="14" t="s">
        <v>4818</v>
      </c>
      <c r="D133" s="19">
        <f>COUNTIFS(SSC_Ontology_Ver0.5!$A$128:$A$773,SUBSTITUTE($A133,"AHUB{N}",D$22),SSC_Ontology_Ver0.5!$C$128:$C$773,$B133,SSC_Ontology_Ver0.5!$D$128:$D$773,SUBSTITUTE($C133,"AHUB{N}",D$22))</f>
        <v>1</v>
      </c>
      <c r="E133" s="19">
        <f>COUNTIFS(SSC_Ontology_Ver0.5!$A$128:$A$773,SUBSTITUTE($A133,"AHUB{N}",E$22),SSC_Ontology_Ver0.5!$C$128:$C$773,$B133,SSC_Ontology_Ver0.5!$D$128:$D$773,SUBSTITUTE($C133,"AHUB{N}",E$22))</f>
        <v>1</v>
      </c>
      <c r="F133" s="19">
        <f>COUNTIFS(SSC_Ontology_Ver0.5!$A$128:$A$773,SUBSTITUTE($A133,"AHUB{N}",F$22),SSC_Ontology_Ver0.5!$C$128:$C$773,$B133,SSC_Ontology_Ver0.5!$D$128:$D$773,SUBSTITUTE($C133,"AHUB{N}",F$22))</f>
        <v>1</v>
      </c>
      <c r="G133" s="19">
        <f>COUNTIFS(SSC_Ontology_Ver0.5!$A$128:$A$773,SUBSTITUTE($A133,"AHUB{N}",G$22),SSC_Ontology_Ver0.5!$C$128:$C$773,$B133,SSC_Ontology_Ver0.5!$D$128:$D$773,SUBSTITUTE($C133,"AHUB{N}",G$22))</f>
        <v>1</v>
      </c>
      <c r="H133" s="19">
        <f>COUNTIFS(SSC_Ontology_Ver0.5!$A$128:$A$773,SUBSTITUTE($A133,"AHUB{N}",H$22),SSC_Ontology_Ver0.5!$C$128:$C$773,$B133,SSC_Ontology_Ver0.5!$D$128:$D$773,SUBSTITUTE($C133,"AHUB{N}",H$22))</f>
        <v>1</v>
      </c>
      <c r="I133" s="15" t="str">
        <f>IF($B133="rec:locatedIn","Excluded - location varies by unit",IF(AND(MIN(D133:H133)=MAX(D133:H133),MAX(D133:H133)=1),"OK",IF(MIN(D133:H133)=0,"Not on all units","Duplicated")))</f>
        <v>OK</v>
      </c>
    </row>
    <row r="134" spans="1:9" x14ac:dyDescent="0.3">
      <c r="A134" s="13" t="s">
        <v>4815</v>
      </c>
      <c r="B134" s="14" t="s">
        <v>11</v>
      </c>
      <c r="C134" s="14" t="s">
        <v>12</v>
      </c>
      <c r="D134" s="19">
        <f>COUNTIFS(SSC_Ontology_Ver0.5!$A$128:$A$773,SUBSTITUTE($A134,"AHUB{N}",D$22),SSC_Ontology_Ver0.5!$C$128:$C$773,$B134,SSC_Ontology_Ver0.5!$D$128:$D$773,SUBSTITUTE($C134,"AHUB{N}",D$22))</f>
        <v>1</v>
      </c>
      <c r="E134" s="19">
        <f>COUNTIFS(SSC_Ontology_Ver0.5!$A$128:$A$773,SUBSTITUTE($A134,"AHUB{N}",E$22),SSC_Ontology_Ver0.5!$C$128:$C$773,$B134,SSC_Ontology_Ver0.5!$D$128:$D$773,SUBSTITUTE($C134,"AHUB{N}",E$22))</f>
        <v>1</v>
      </c>
      <c r="F134" s="19">
        <f>COUNTIFS(SSC_Ontology_Ver0.5!$A$128:$A$773,SUBSTITUTE($A134,"AHUB{N}",F$22),SSC_Ontology_Ver0.5!$C$128:$C$773,$B134,SSC_Ontology_Ver0.5!$D$128:$D$773,SUBSTITUTE($C134,"AHUB{N}",F$22))</f>
        <v>1</v>
      </c>
      <c r="G134" s="19">
        <f>COUNTIFS(SSC_Ontology_Ver0.5!$A$128:$A$773,SUBSTITUTE($A134,"AHUB{N}",G$22),SSC_Ontology_Ver0.5!$C$128:$C$773,$B134,SSC_Ontology_Ver0.5!$D$128:$D$773,SUBSTITUTE($C134,"AHUB{N}",G$22))</f>
        <v>1</v>
      </c>
      <c r="H134" s="19">
        <f>COUNTIFS(SSC_Ontology_Ver0.5!$A$128:$A$773,SUBSTITUTE($A134,"AHUB{N}",H$22),SSC_Ontology_Ver0.5!$C$128:$C$773,$B134,SSC_Ontology_Ver0.5!$D$128:$D$773,SUBSTITUTE($C134,"AHUB{N}",H$22))</f>
        <v>1</v>
      </c>
      <c r="I134" s="15" t="str">
        <f>IF($B134="rec:locatedIn","Excluded - location varies by unit",IF(AND(MIN(D134:H134)=MAX(D134:H134),MAX(D134:H134)=1),"OK",IF(MIN(D134:H134)=0,"Not on all units","Duplicated")))</f>
        <v>OK</v>
      </c>
    </row>
    <row r="135" spans="1:9" x14ac:dyDescent="0.3">
      <c r="A135" s="13" t="s">
        <v>4817</v>
      </c>
      <c r="B135" s="14" t="s">
        <v>11</v>
      </c>
      <c r="C135" s="14" t="s">
        <v>12</v>
      </c>
      <c r="D135" s="19">
        <f>COUNTIFS(SSC_Ontology_Ver0.5!$A$128:$A$773,SUBSTITUTE($A135,"AHUB{N}",D$22),SSC_Ontology_Ver0.5!$C$128:$C$773,$B135,SSC_Ontology_Ver0.5!$D$128:$D$773,SUBSTITUTE($C135,"AHUB{N}",D$22))</f>
        <v>1</v>
      </c>
      <c r="E135" s="19">
        <f>COUNTIFS(SSC_Ontology_Ver0.5!$A$128:$A$773,SUBSTITUTE($A135,"AHUB{N}",E$22),SSC_Ontology_Ver0.5!$C$128:$C$773,$B135,SSC_Ontology_Ver0.5!$D$128:$D$773,SUBSTITUTE($C135,"AHUB{N}",E$22))</f>
        <v>1</v>
      </c>
      <c r="F135" s="19">
        <f>COUNTIFS(SSC_Ontology_Ver0.5!$A$128:$A$773,SUBSTITUTE($A135,"AHUB{N}",F$22),SSC_Ontology_Ver0.5!$C$128:$C$773,$B135,SSC_Ontology_Ver0.5!$D$128:$D$773,SUBSTITUTE($C135,"AHUB{N}",F$22))</f>
        <v>1</v>
      </c>
      <c r="G135" s="19">
        <f>COUNTIFS(SSC_Ontology_Ver0.5!$A$128:$A$773,SUBSTITUTE($A135,"AHUB{N}",G$22),SSC_Ontology_Ver0.5!$C$128:$C$773,$B135,SSC_Ontology_Ver0.5!$D$128:$D$773,SUBSTITUTE($C135,"AHUB{N}",G$22))</f>
        <v>1</v>
      </c>
      <c r="H135" s="19">
        <f>COUNTIFS(SSC_Ontology_Ver0.5!$A$128:$A$773,SUBSTITUTE($A135,"AHUB{N}",H$22),SSC_Ontology_Ver0.5!$C$128:$C$773,$B135,SSC_Ontology_Ver0.5!$D$128:$D$773,SUBSTITUTE($C135,"AHUB{N}",H$22))</f>
        <v>1</v>
      </c>
      <c r="I135" s="15" t="str">
        <f>IF($B135="rec:locatedIn","Excluded - location varies by unit",IF(AND(MIN(D135:H135)=MAX(D135:H135),MAX(D135:H135)=1),"OK",IF(MIN(D135:H135)=0,"Not on all units","Duplicated")))</f>
        <v>OK</v>
      </c>
    </row>
    <row r="136" spans="1:9" x14ac:dyDescent="0.3">
      <c r="A136" s="13" t="s">
        <v>4816</v>
      </c>
      <c r="B136" s="14" t="s">
        <v>11</v>
      </c>
      <c r="C136" s="14" t="s">
        <v>12</v>
      </c>
      <c r="D136" s="19">
        <f>COUNTIFS(SSC_Ontology_Ver0.5!$A$128:$A$773,SUBSTITUTE($A136,"AHUB{N}",D$22),SSC_Ontology_Ver0.5!$C$128:$C$773,$B136,SSC_Ontology_Ver0.5!$D$128:$D$773,SUBSTITUTE($C136,"AHUB{N}",D$22))</f>
        <v>1</v>
      </c>
      <c r="E136" s="19">
        <f>COUNTIFS(SSC_Ontology_Ver0.5!$A$128:$A$773,SUBSTITUTE($A136,"AHUB{N}",E$22),SSC_Ontology_Ver0.5!$C$128:$C$773,$B136,SSC_Ontology_Ver0.5!$D$128:$D$773,SUBSTITUTE($C136,"AHUB{N}",E$22))</f>
        <v>1</v>
      </c>
      <c r="F136" s="19">
        <f>COUNTIFS(SSC_Ontology_Ver0.5!$A$128:$A$773,SUBSTITUTE($A136,"AHUB{N}",F$22),SSC_Ontology_Ver0.5!$C$128:$C$773,$B136,SSC_Ontology_Ver0.5!$D$128:$D$773,SUBSTITUTE($C136,"AHUB{N}",F$22))</f>
        <v>1</v>
      </c>
      <c r="G136" s="19">
        <f>COUNTIFS(SSC_Ontology_Ver0.5!$A$128:$A$773,SUBSTITUTE($A136,"AHUB{N}",G$22),SSC_Ontology_Ver0.5!$C$128:$C$773,$B136,SSC_Ontology_Ver0.5!$D$128:$D$773,SUBSTITUTE($C136,"AHUB{N}",G$22))</f>
        <v>1</v>
      </c>
      <c r="H136" s="19">
        <f>COUNTIFS(SSC_Ontology_Ver0.5!$A$128:$A$773,SUBSTITUTE($A136,"AHUB{N}",H$22),SSC_Ontology_Ver0.5!$C$128:$C$773,$B136,SSC_Ontology_Ver0.5!$D$128:$D$773,SUBSTITUTE($C136,"AHUB{N}",H$22))</f>
        <v>1</v>
      </c>
      <c r="I136" s="15" t="str">
        <f>IF($B136="rec:locatedIn","Excluded - location varies by unit",IF(AND(MIN(D136:H136)=MAX(D136:H136),MAX(D136:H136)=1),"OK",IF(MIN(D136:H136)=0,"Not on all units","Duplicated")))</f>
        <v>OK</v>
      </c>
    </row>
    <row r="137" spans="1:9" x14ac:dyDescent="0.3">
      <c r="A137" s="13" t="s">
        <v>4813</v>
      </c>
      <c r="B137" s="14" t="s">
        <v>280</v>
      </c>
      <c r="C137" s="14" t="s">
        <v>4819</v>
      </c>
      <c r="D137" s="19">
        <f>COUNTIFS(SSC_Ontology_Ver0.5!$A$128:$A$773,SUBSTITUTE($A137,"AHUB{N}",D$22),SSC_Ontology_Ver0.5!$C$128:$C$773,$B137,SSC_Ontology_Ver0.5!$D$128:$D$773,SUBSTITUTE($C137,"AHUB{N}",D$22))</f>
        <v>1</v>
      </c>
      <c r="E137" s="19">
        <f>COUNTIFS(SSC_Ontology_Ver0.5!$A$128:$A$773,SUBSTITUTE($A137,"AHUB{N}",E$22),SSC_Ontology_Ver0.5!$C$128:$C$773,$B137,SSC_Ontology_Ver0.5!$D$128:$D$773,SUBSTITUTE($C137,"AHUB{N}",E$22))</f>
        <v>1</v>
      </c>
      <c r="F137" s="19">
        <f>COUNTIFS(SSC_Ontology_Ver0.5!$A$128:$A$773,SUBSTITUTE($A137,"AHUB{N}",F$22),SSC_Ontology_Ver0.5!$C$128:$C$773,$B137,SSC_Ontology_Ver0.5!$D$128:$D$773,SUBSTITUTE($C137,"AHUB{N}",F$22))</f>
        <v>1</v>
      </c>
      <c r="G137" s="19">
        <f>COUNTIFS(SSC_Ontology_Ver0.5!$A$128:$A$773,SUBSTITUTE($A137,"AHUB{N}",G$22),SSC_Ontology_Ver0.5!$C$128:$C$773,$B137,SSC_Ontology_Ver0.5!$D$128:$D$773,SUBSTITUTE($C137,"AHUB{N}",G$22))</f>
        <v>1</v>
      </c>
      <c r="H137" s="19">
        <f>COUNTIFS(SSC_Ontology_Ver0.5!$A$128:$A$773,SUBSTITUTE($A137,"AHUB{N}",H$22),SSC_Ontology_Ver0.5!$C$128:$C$773,$B137,SSC_Ontology_Ver0.5!$D$128:$D$773,SUBSTITUTE($C137,"AHUB{N}",H$22))</f>
        <v>1</v>
      </c>
      <c r="I137" s="15" t="str">
        <f>IF($B137="rec:locatedIn","Excluded - location varies by unit",IF(AND(MIN(D137:H137)=MAX(D137:H137),MAX(D137:H137)=1),"OK",IF(MIN(D137:H137)=0,"Not on all units","Duplicated")))</f>
        <v>OK</v>
      </c>
    </row>
    <row r="138" spans="1:9" x14ac:dyDescent="0.3">
      <c r="A138" s="13" t="s">
        <v>4813</v>
      </c>
      <c r="B138" s="14" t="s">
        <v>308</v>
      </c>
      <c r="C138" s="14" t="s">
        <v>4820</v>
      </c>
      <c r="D138" s="19">
        <f>COUNTIFS(SSC_Ontology_Ver0.5!$A$128:$A$773,SUBSTITUTE($A138,"AHUB{N}",D$22),SSC_Ontology_Ver0.5!$C$128:$C$773,$B138,SSC_Ontology_Ver0.5!$D$128:$D$773,SUBSTITUTE($C138,"AHUB{N}",D$22))</f>
        <v>1</v>
      </c>
      <c r="E138" s="19">
        <f>COUNTIFS(SSC_Ontology_Ver0.5!$A$128:$A$773,SUBSTITUTE($A138,"AHUB{N}",E$22),SSC_Ontology_Ver0.5!$C$128:$C$773,$B138,SSC_Ontology_Ver0.5!$D$128:$D$773,SUBSTITUTE($C138,"AHUB{N}",E$22))</f>
        <v>1</v>
      </c>
      <c r="F138" s="19">
        <f>COUNTIFS(SSC_Ontology_Ver0.5!$A$128:$A$773,SUBSTITUTE($A138,"AHUB{N}",F$22),SSC_Ontology_Ver0.5!$C$128:$C$773,$B138,SSC_Ontology_Ver0.5!$D$128:$D$773,SUBSTITUTE($C138,"AHUB{N}",F$22))</f>
        <v>1</v>
      </c>
      <c r="G138" s="19">
        <f>COUNTIFS(SSC_Ontology_Ver0.5!$A$128:$A$773,SUBSTITUTE($A138,"AHUB{N}",G$22),SSC_Ontology_Ver0.5!$C$128:$C$773,$B138,SSC_Ontology_Ver0.5!$D$128:$D$773,SUBSTITUTE($C138,"AHUB{N}",G$22))</f>
        <v>1</v>
      </c>
      <c r="H138" s="19">
        <f>COUNTIFS(SSC_Ontology_Ver0.5!$A$128:$A$773,SUBSTITUTE($A138,"AHUB{N}",H$22),SSC_Ontology_Ver0.5!$C$128:$C$773,$B138,SSC_Ontology_Ver0.5!$D$128:$D$773,SUBSTITUTE($C138,"AHUB{N}",H$22))</f>
        <v>1</v>
      </c>
      <c r="I138" s="15" t="str">
        <f>IF($B138="rec:locatedIn","Excluded - location varies by unit",IF(AND(MIN(D138:H138)=MAX(D138:H138),MAX(D138:H138)=1),"OK",IF(MIN(D138:H138)=0,"Not on all units","Duplicated")))</f>
        <v>OK</v>
      </c>
    </row>
    <row r="139" spans="1:9" x14ac:dyDescent="0.3">
      <c r="A139" s="13" t="s">
        <v>4813</v>
      </c>
      <c r="B139" s="14" t="s">
        <v>308</v>
      </c>
      <c r="C139" s="14" t="s">
        <v>4821</v>
      </c>
      <c r="D139" s="19">
        <f>COUNTIFS(SSC_Ontology_Ver0.5!$A$128:$A$773,SUBSTITUTE($A139,"AHUB{N}",D$22),SSC_Ontology_Ver0.5!$C$128:$C$773,$B139,SSC_Ontology_Ver0.5!$D$128:$D$773,SUBSTITUTE($C139,"AHUB{N}",D$22))</f>
        <v>1</v>
      </c>
      <c r="E139" s="19">
        <f>COUNTIFS(SSC_Ontology_Ver0.5!$A$128:$A$773,SUBSTITUTE($A139,"AHUB{N}",E$22),SSC_Ontology_Ver0.5!$C$128:$C$773,$B139,SSC_Ontology_Ver0.5!$D$128:$D$773,SUBSTITUTE($C139,"AHUB{N}",E$22))</f>
        <v>1</v>
      </c>
      <c r="F139" s="19">
        <f>COUNTIFS(SSC_Ontology_Ver0.5!$A$128:$A$773,SUBSTITUTE($A139,"AHUB{N}",F$22),SSC_Ontology_Ver0.5!$C$128:$C$773,$B139,SSC_Ontology_Ver0.5!$D$128:$D$773,SUBSTITUTE($C139,"AHUB{N}",F$22))</f>
        <v>1</v>
      </c>
      <c r="G139" s="19">
        <f>COUNTIFS(SSC_Ontology_Ver0.5!$A$128:$A$773,SUBSTITUTE($A139,"AHUB{N}",G$22),SSC_Ontology_Ver0.5!$C$128:$C$773,$B139,SSC_Ontology_Ver0.5!$D$128:$D$773,SUBSTITUTE($C139,"AHUB{N}",G$22))</f>
        <v>1</v>
      </c>
      <c r="H139" s="19">
        <f>COUNTIFS(SSC_Ontology_Ver0.5!$A$128:$A$773,SUBSTITUTE($A139,"AHUB{N}",H$22),SSC_Ontology_Ver0.5!$C$128:$C$773,$B139,SSC_Ontology_Ver0.5!$D$128:$D$773,SUBSTITUTE($C139,"AHUB{N}",H$22))</f>
        <v>1</v>
      </c>
      <c r="I139" s="15" t="str">
        <f>IF($B139="rec:locatedIn","Excluded - location varies by unit",IF(AND(MIN(D139:H139)=MAX(D139:H139),MAX(D139:H139)=1),"OK",IF(MIN(D139:H139)=0,"Not on all units","Duplicated")))</f>
        <v>OK</v>
      </c>
    </row>
    <row r="140" spans="1:9" x14ac:dyDescent="0.3">
      <c r="A140" s="13" t="s">
        <v>4813</v>
      </c>
      <c r="B140" s="14" t="s">
        <v>537</v>
      </c>
      <c r="C140" s="14" t="s">
        <v>12</v>
      </c>
      <c r="D140" s="19">
        <f>COUNTIFS(SSC_Ontology_Ver0.5!$A$128:$A$773,SUBSTITUTE($A140,"AHUB{N}",D$22),SSC_Ontology_Ver0.5!$C$128:$C$773,$B140,SSC_Ontology_Ver0.5!$D$128:$D$773,SUBSTITUTE($C140,"AHUB{N}",D$22))</f>
        <v>1</v>
      </c>
      <c r="E140" s="19">
        <f>COUNTIFS(SSC_Ontology_Ver0.5!$A$128:$A$773,SUBSTITUTE($A140,"AHUB{N}",E$22),SSC_Ontology_Ver0.5!$C$128:$C$773,$B140,SSC_Ontology_Ver0.5!$D$128:$D$773,SUBSTITUTE($C140,"AHUB{N}",E$22))</f>
        <v>1</v>
      </c>
      <c r="F140" s="19">
        <f>COUNTIFS(SSC_Ontology_Ver0.5!$A$128:$A$773,SUBSTITUTE($A140,"AHUB{N}",F$22),SSC_Ontology_Ver0.5!$C$128:$C$773,$B140,SSC_Ontology_Ver0.5!$D$128:$D$773,SUBSTITUTE($C140,"AHUB{N}",F$22))</f>
        <v>1</v>
      </c>
      <c r="G140" s="19">
        <f>COUNTIFS(SSC_Ontology_Ver0.5!$A$128:$A$773,SUBSTITUTE($A140,"AHUB{N}",G$22),SSC_Ontology_Ver0.5!$C$128:$C$773,$B140,SSC_Ontology_Ver0.5!$D$128:$D$773,SUBSTITUTE($C140,"AHUB{N}",G$22))</f>
        <v>1</v>
      </c>
      <c r="H140" s="19">
        <f>COUNTIFS(SSC_Ontology_Ver0.5!$A$128:$A$773,SUBSTITUTE($A140,"AHUB{N}",H$22),SSC_Ontology_Ver0.5!$C$128:$C$773,$B140,SSC_Ontology_Ver0.5!$D$128:$D$773,SUBSTITUTE($C140,"AHUB{N}",H$22))</f>
        <v>1</v>
      </c>
      <c r="I140" s="15" t="str">
        <f>IF($B140="rec:locatedIn","Excluded - location varies by unit",IF(AND(MIN(D140:H140)=MAX(D140:H140),MAX(D140:H140)=1),"OK",IF(MIN(D140:H140)=0,"Not on all units","Duplicated")))</f>
        <v>OK</v>
      </c>
    </row>
    <row r="141" spans="1:9" x14ac:dyDescent="0.3">
      <c r="A141" s="13" t="s">
        <v>4813</v>
      </c>
      <c r="B141" s="14" t="s">
        <v>539</v>
      </c>
      <c r="C141" s="14" t="s">
        <v>12</v>
      </c>
      <c r="D141" s="19">
        <f>COUNTIFS(SSC_Ontology_Ver0.5!$A$128:$A$773,SUBSTITUTE($A141,"AHUB{N}",D$22),SSC_Ontology_Ver0.5!$C$128:$C$773,$B141,SSC_Ontology_Ver0.5!$D$128:$D$773,SUBSTITUTE($C141,"AHUB{N}",D$22))</f>
        <v>1</v>
      </c>
      <c r="E141" s="19">
        <f>COUNTIFS(SSC_Ontology_Ver0.5!$A$128:$A$773,SUBSTITUTE($A141,"AHUB{N}",E$22),SSC_Ontology_Ver0.5!$C$128:$C$773,$B141,SSC_Ontology_Ver0.5!$D$128:$D$773,SUBSTITUTE($C141,"AHUB{N}",E$22))</f>
        <v>1</v>
      </c>
      <c r="F141" s="19">
        <f>COUNTIFS(SSC_Ontology_Ver0.5!$A$128:$A$773,SUBSTITUTE($A141,"AHUB{N}",F$22),SSC_Ontology_Ver0.5!$C$128:$C$773,$B141,SSC_Ontology_Ver0.5!$D$128:$D$773,SUBSTITUTE($C141,"AHUB{N}",F$22))</f>
        <v>1</v>
      </c>
      <c r="G141" s="19">
        <f>COUNTIFS(SSC_Ontology_Ver0.5!$A$128:$A$773,SUBSTITUTE($A141,"AHUB{N}",G$22),SSC_Ontology_Ver0.5!$C$128:$C$773,$B141,SSC_Ontology_Ver0.5!$D$128:$D$773,SUBSTITUTE($C141,"AHUB{N}",G$22))</f>
        <v>1</v>
      </c>
      <c r="H141" s="19">
        <f>COUNTIFS(SSC_Ontology_Ver0.5!$A$128:$A$773,SUBSTITUTE($A141,"AHUB{N}",H$22),SSC_Ontology_Ver0.5!$C$128:$C$773,$B141,SSC_Ontology_Ver0.5!$D$128:$D$773,SUBSTITUTE($C141,"AHUB{N}",H$22))</f>
        <v>1</v>
      </c>
      <c r="I141" s="15" t="str">
        <f>IF($B141="rec:locatedIn","Excluded - location varies by unit",IF(AND(MIN(D141:H141)=MAX(D141:H141),MAX(D141:H141)=1),"OK",IF(MIN(D141:H141)=0,"Not on all units","Duplicated")))</f>
        <v>OK</v>
      </c>
    </row>
    <row r="142" spans="1:9" x14ac:dyDescent="0.3">
      <c r="A142" s="13" t="s">
        <v>4813</v>
      </c>
      <c r="B142" s="14" t="s">
        <v>540</v>
      </c>
      <c r="C142" s="14" t="s">
        <v>12</v>
      </c>
      <c r="D142" s="19">
        <f>COUNTIFS(SSC_Ontology_Ver0.5!$A$128:$A$773,SUBSTITUTE($A142,"AHUB{N}",D$22),SSC_Ontology_Ver0.5!$C$128:$C$773,$B142,SSC_Ontology_Ver0.5!$D$128:$D$773,SUBSTITUTE($C142,"AHUB{N}",D$22))</f>
        <v>1</v>
      </c>
      <c r="E142" s="19">
        <f>COUNTIFS(SSC_Ontology_Ver0.5!$A$128:$A$773,SUBSTITUTE($A142,"AHUB{N}",E$22),SSC_Ontology_Ver0.5!$C$128:$C$773,$B142,SSC_Ontology_Ver0.5!$D$128:$D$773,SUBSTITUTE($C142,"AHUB{N}",E$22))</f>
        <v>1</v>
      </c>
      <c r="F142" s="19">
        <f>COUNTIFS(SSC_Ontology_Ver0.5!$A$128:$A$773,SUBSTITUTE($A142,"AHUB{N}",F$22),SSC_Ontology_Ver0.5!$C$128:$C$773,$B142,SSC_Ontology_Ver0.5!$D$128:$D$773,SUBSTITUTE($C142,"AHUB{N}",F$22))</f>
        <v>1</v>
      </c>
      <c r="G142" s="19">
        <f>COUNTIFS(SSC_Ontology_Ver0.5!$A$128:$A$773,SUBSTITUTE($A142,"AHUB{N}",G$22),SSC_Ontology_Ver0.5!$C$128:$C$773,$B142,SSC_Ontology_Ver0.5!$D$128:$D$773,SUBSTITUTE($C142,"AHUB{N}",G$22))</f>
        <v>1</v>
      </c>
      <c r="H142" s="19">
        <f>COUNTIFS(SSC_Ontology_Ver0.5!$A$128:$A$773,SUBSTITUTE($A142,"AHUB{N}",H$22),SSC_Ontology_Ver0.5!$C$128:$C$773,$B142,SSC_Ontology_Ver0.5!$D$128:$D$773,SUBSTITUTE($C142,"AHUB{N}",H$22))</f>
        <v>1</v>
      </c>
      <c r="I142" s="15" t="str">
        <f>IF($B142="rec:locatedIn","Excluded - location varies by unit",IF(AND(MIN(D142:H142)=MAX(D142:H142),MAX(D142:H142)=1),"OK",IF(MIN(D142:H142)=0,"Not on all units","Duplicated")))</f>
        <v>OK</v>
      </c>
    </row>
    <row r="143" spans="1:9" x14ac:dyDescent="0.3">
      <c r="A143" s="13" t="s">
        <v>4822</v>
      </c>
      <c r="B143" s="14" t="s">
        <v>11</v>
      </c>
      <c r="C143" s="14" t="s">
        <v>12</v>
      </c>
      <c r="D143" s="19">
        <f>COUNTIFS(SSC_Ontology_Ver0.5!$A$128:$A$773,SUBSTITUTE($A143,"AHUB{N}",D$22),SSC_Ontology_Ver0.5!$C$128:$C$773,$B143,SSC_Ontology_Ver0.5!$D$128:$D$773,SUBSTITUTE($C143,"AHUB{N}",D$22))</f>
        <v>1</v>
      </c>
      <c r="E143" s="19">
        <f>COUNTIFS(SSC_Ontology_Ver0.5!$A$128:$A$773,SUBSTITUTE($A143,"AHUB{N}",E$22),SSC_Ontology_Ver0.5!$C$128:$C$773,$B143,SSC_Ontology_Ver0.5!$D$128:$D$773,SUBSTITUTE($C143,"AHUB{N}",E$22))</f>
        <v>1</v>
      </c>
      <c r="F143" s="19">
        <f>COUNTIFS(SSC_Ontology_Ver0.5!$A$128:$A$773,SUBSTITUTE($A143,"AHUB{N}",F$22),SSC_Ontology_Ver0.5!$C$128:$C$773,$B143,SSC_Ontology_Ver0.5!$D$128:$D$773,SUBSTITUTE($C143,"AHUB{N}",F$22))</f>
        <v>1</v>
      </c>
      <c r="G143" s="19">
        <f>COUNTIFS(SSC_Ontology_Ver0.5!$A$128:$A$773,SUBSTITUTE($A143,"AHUB{N}",G$22),SSC_Ontology_Ver0.5!$C$128:$C$773,$B143,SSC_Ontology_Ver0.5!$D$128:$D$773,SUBSTITUTE($C143,"AHUB{N}",G$22))</f>
        <v>1</v>
      </c>
      <c r="H143" s="19">
        <f>COUNTIFS(SSC_Ontology_Ver0.5!$A$128:$A$773,SUBSTITUTE($A143,"AHUB{N}",H$22),SSC_Ontology_Ver0.5!$C$128:$C$773,$B143,SSC_Ontology_Ver0.5!$D$128:$D$773,SUBSTITUTE($C143,"AHUB{N}",H$22))</f>
        <v>1</v>
      </c>
      <c r="I143" s="15" t="str">
        <f>IF($B143="rec:locatedIn","Excluded - location varies by unit",IF(AND(MIN(D143:H143)=MAX(D143:H143),MAX(D143:H143)=1),"OK",IF(MIN(D143:H143)=0,"Not on all units","Duplicated")))</f>
        <v>OK</v>
      </c>
    </row>
    <row r="144" spans="1:9" x14ac:dyDescent="0.3">
      <c r="A144" s="13" t="s">
        <v>4819</v>
      </c>
      <c r="B144" s="14" t="s">
        <v>308</v>
      </c>
      <c r="C144" s="14" t="s">
        <v>4823</v>
      </c>
      <c r="D144" s="19">
        <f>COUNTIFS(SSC_Ontology_Ver0.5!$A$128:$A$773,SUBSTITUTE($A144,"AHUB{N}",D$22),SSC_Ontology_Ver0.5!$C$128:$C$773,$B144,SSC_Ontology_Ver0.5!$D$128:$D$773,SUBSTITUTE($C144,"AHUB{N}",D$22))</f>
        <v>1</v>
      </c>
      <c r="E144" s="19">
        <f>COUNTIFS(SSC_Ontology_Ver0.5!$A$128:$A$773,SUBSTITUTE($A144,"AHUB{N}",E$22),SSC_Ontology_Ver0.5!$C$128:$C$773,$B144,SSC_Ontology_Ver0.5!$D$128:$D$773,SUBSTITUTE($C144,"AHUB{N}",E$22))</f>
        <v>1</v>
      </c>
      <c r="F144" s="19">
        <f>COUNTIFS(SSC_Ontology_Ver0.5!$A$128:$A$773,SUBSTITUTE($A144,"AHUB{N}",F$22),SSC_Ontology_Ver0.5!$C$128:$C$773,$B144,SSC_Ontology_Ver0.5!$D$128:$D$773,SUBSTITUTE($C144,"AHUB{N}",F$22))</f>
        <v>1</v>
      </c>
      <c r="G144" s="19">
        <f>COUNTIFS(SSC_Ontology_Ver0.5!$A$128:$A$773,SUBSTITUTE($A144,"AHUB{N}",G$22),SSC_Ontology_Ver0.5!$C$128:$C$773,$B144,SSC_Ontology_Ver0.5!$D$128:$D$773,SUBSTITUTE($C144,"AHUB{N}",G$22))</f>
        <v>1</v>
      </c>
      <c r="H144" s="19">
        <f>COUNTIFS(SSC_Ontology_Ver0.5!$A$128:$A$773,SUBSTITUTE($A144,"AHUB{N}",H$22),SSC_Ontology_Ver0.5!$C$128:$C$773,$B144,SSC_Ontology_Ver0.5!$D$128:$D$773,SUBSTITUTE($C144,"AHUB{N}",H$22))</f>
        <v>1</v>
      </c>
      <c r="I144" s="15" t="str">
        <f>IF($B144="rec:locatedIn","Excluded - location varies by unit",IF(AND(MIN(D144:H144)=MAX(D144:H144),MAX(D144:H144)=1),"OK",IF(MIN(D144:H144)=0,"Not on all units","Duplicated")))</f>
        <v>OK</v>
      </c>
    </row>
    <row r="145" spans="1:9" x14ac:dyDescent="0.3">
      <c r="A145" s="13" t="s">
        <v>4819</v>
      </c>
      <c r="B145" s="14" t="s">
        <v>308</v>
      </c>
      <c r="C145" s="14" t="s">
        <v>4822</v>
      </c>
      <c r="D145" s="19">
        <f>COUNTIFS(SSC_Ontology_Ver0.5!$A$128:$A$773,SUBSTITUTE($A145,"AHUB{N}",D$22),SSC_Ontology_Ver0.5!$C$128:$C$773,$B145,SSC_Ontology_Ver0.5!$D$128:$D$773,SUBSTITUTE($C145,"AHUB{N}",D$22))</f>
        <v>1</v>
      </c>
      <c r="E145" s="19">
        <f>COUNTIFS(SSC_Ontology_Ver0.5!$A$128:$A$773,SUBSTITUTE($A145,"AHUB{N}",E$22),SSC_Ontology_Ver0.5!$C$128:$C$773,$B145,SSC_Ontology_Ver0.5!$D$128:$D$773,SUBSTITUTE($C145,"AHUB{N}",E$22))</f>
        <v>1</v>
      </c>
      <c r="F145" s="19">
        <f>COUNTIFS(SSC_Ontology_Ver0.5!$A$128:$A$773,SUBSTITUTE($A145,"AHUB{N}",F$22),SSC_Ontology_Ver0.5!$C$128:$C$773,$B145,SSC_Ontology_Ver0.5!$D$128:$D$773,SUBSTITUTE($C145,"AHUB{N}",F$22))</f>
        <v>1</v>
      </c>
      <c r="G145" s="19">
        <f>COUNTIFS(SSC_Ontology_Ver0.5!$A$128:$A$773,SUBSTITUTE($A145,"AHUB{N}",G$22),SSC_Ontology_Ver0.5!$C$128:$C$773,$B145,SSC_Ontology_Ver0.5!$D$128:$D$773,SUBSTITUTE($C145,"AHUB{N}",G$22))</f>
        <v>1</v>
      </c>
      <c r="H145" s="19">
        <f>COUNTIFS(SSC_Ontology_Ver0.5!$A$128:$A$773,SUBSTITUTE($A145,"AHUB{N}",H$22),SSC_Ontology_Ver0.5!$C$128:$C$773,$B145,SSC_Ontology_Ver0.5!$D$128:$D$773,SUBSTITUTE($C145,"AHUB{N}",H$22))</f>
        <v>1</v>
      </c>
      <c r="I145" s="15" t="str">
        <f>IF($B145="rec:locatedIn","Excluded - location varies by unit",IF(AND(MIN(D145:H145)=MAX(D145:H145),MAX(D145:H145)=1),"OK",IF(MIN(D145:H145)=0,"Not on all units","Duplicated")))</f>
        <v>OK</v>
      </c>
    </row>
    <row r="146" spans="1:9" x14ac:dyDescent="0.3">
      <c r="A146" s="13" t="s">
        <v>4823</v>
      </c>
      <c r="B146" s="14" t="s">
        <v>11</v>
      </c>
      <c r="C146" s="14" t="s">
        <v>12</v>
      </c>
      <c r="D146" s="19">
        <f>COUNTIFS(SSC_Ontology_Ver0.5!$A$128:$A$773,SUBSTITUTE($A146,"AHUB{N}",D$22),SSC_Ontology_Ver0.5!$C$128:$C$773,$B146,SSC_Ontology_Ver0.5!$D$128:$D$773,SUBSTITUTE($C146,"AHUB{N}",D$22))</f>
        <v>1</v>
      </c>
      <c r="E146" s="19">
        <f>COUNTIFS(SSC_Ontology_Ver0.5!$A$128:$A$773,SUBSTITUTE($A146,"AHUB{N}",E$22),SSC_Ontology_Ver0.5!$C$128:$C$773,$B146,SSC_Ontology_Ver0.5!$D$128:$D$773,SUBSTITUTE($C146,"AHUB{N}",E$22))</f>
        <v>1</v>
      </c>
      <c r="F146" s="19">
        <f>COUNTIFS(SSC_Ontology_Ver0.5!$A$128:$A$773,SUBSTITUTE($A146,"AHUB{N}",F$22),SSC_Ontology_Ver0.5!$C$128:$C$773,$B146,SSC_Ontology_Ver0.5!$D$128:$D$773,SUBSTITUTE($C146,"AHUB{N}",F$22))</f>
        <v>1</v>
      </c>
      <c r="G146" s="19">
        <f>COUNTIFS(SSC_Ontology_Ver0.5!$A$128:$A$773,SUBSTITUTE($A146,"AHUB{N}",G$22),SSC_Ontology_Ver0.5!$C$128:$C$773,$B146,SSC_Ontology_Ver0.5!$D$128:$D$773,SUBSTITUTE($C146,"AHUB{N}",G$22))</f>
        <v>1</v>
      </c>
      <c r="H146" s="19">
        <f>COUNTIFS(SSC_Ontology_Ver0.5!$A$128:$A$773,SUBSTITUTE($A146,"AHUB{N}",H$22),SSC_Ontology_Ver0.5!$C$128:$C$773,$B146,SSC_Ontology_Ver0.5!$D$128:$D$773,SUBSTITUTE($C146,"AHUB{N}",H$22))</f>
        <v>1</v>
      </c>
      <c r="I146" s="15" t="str">
        <f>IF($B146="rec:locatedIn","Excluded - location varies by unit",IF(AND(MIN(D146:H146)=MAX(D146:H146),MAX(D146:H146)=1),"OK",IF(MIN(D146:H146)=0,"Not on all units","Duplicated")))</f>
        <v>OK</v>
      </c>
    </row>
    <row r="147" spans="1:9" x14ac:dyDescent="0.3">
      <c r="A147" s="13" t="s">
        <v>4820</v>
      </c>
      <c r="B147" s="14" t="s">
        <v>11</v>
      </c>
      <c r="C147" s="14" t="s">
        <v>12</v>
      </c>
      <c r="D147" s="19">
        <f>COUNTIFS(SSC_Ontology_Ver0.5!$A$128:$A$773,SUBSTITUTE($A147,"AHUB{N}",D$22),SSC_Ontology_Ver0.5!$C$128:$C$773,$B147,SSC_Ontology_Ver0.5!$D$128:$D$773,SUBSTITUTE($C147,"AHUB{N}",D$22))</f>
        <v>1</v>
      </c>
      <c r="E147" s="19">
        <f>COUNTIFS(SSC_Ontology_Ver0.5!$A$128:$A$773,SUBSTITUTE($A147,"AHUB{N}",E$22),SSC_Ontology_Ver0.5!$C$128:$C$773,$B147,SSC_Ontology_Ver0.5!$D$128:$D$773,SUBSTITUTE($C147,"AHUB{N}",E$22))</f>
        <v>1</v>
      </c>
      <c r="F147" s="19">
        <f>COUNTIFS(SSC_Ontology_Ver0.5!$A$128:$A$773,SUBSTITUTE($A147,"AHUB{N}",F$22),SSC_Ontology_Ver0.5!$C$128:$C$773,$B147,SSC_Ontology_Ver0.5!$D$128:$D$773,SUBSTITUTE($C147,"AHUB{N}",F$22))</f>
        <v>1</v>
      </c>
      <c r="G147" s="19">
        <f>COUNTIFS(SSC_Ontology_Ver0.5!$A$128:$A$773,SUBSTITUTE($A147,"AHUB{N}",G$22),SSC_Ontology_Ver0.5!$C$128:$C$773,$B147,SSC_Ontology_Ver0.5!$D$128:$D$773,SUBSTITUTE($C147,"AHUB{N}",G$22))</f>
        <v>1</v>
      </c>
      <c r="H147" s="19">
        <f>COUNTIFS(SSC_Ontology_Ver0.5!$A$128:$A$773,SUBSTITUTE($A147,"AHUB{N}",H$22),SSC_Ontology_Ver0.5!$C$128:$C$773,$B147,SSC_Ontology_Ver0.5!$D$128:$D$773,SUBSTITUTE($C147,"AHUB{N}",H$22))</f>
        <v>1</v>
      </c>
      <c r="I147" s="15" t="str">
        <f>IF($B147="rec:locatedIn","Excluded - location varies by unit",IF(AND(MIN(D147:H147)=MAX(D147:H147),MAX(D147:H147)=1),"OK",IF(MIN(D147:H147)=0,"Not on all units","Duplicated")))</f>
        <v>OK</v>
      </c>
    </row>
    <row r="148" spans="1:9" x14ac:dyDescent="0.3">
      <c r="A148" s="13" t="s">
        <v>4821</v>
      </c>
      <c r="B148" s="14" t="s">
        <v>11</v>
      </c>
      <c r="C148" s="14" t="s">
        <v>12</v>
      </c>
      <c r="D148" s="19">
        <f>COUNTIFS(SSC_Ontology_Ver0.5!$A$128:$A$773,SUBSTITUTE($A148,"AHUB{N}",D$22),SSC_Ontology_Ver0.5!$C$128:$C$773,$B148,SSC_Ontology_Ver0.5!$D$128:$D$773,SUBSTITUTE($C148,"AHUB{N}",D$22))</f>
        <v>1</v>
      </c>
      <c r="E148" s="19">
        <f>COUNTIFS(SSC_Ontology_Ver0.5!$A$128:$A$773,SUBSTITUTE($A148,"AHUB{N}",E$22),SSC_Ontology_Ver0.5!$C$128:$C$773,$B148,SSC_Ontology_Ver0.5!$D$128:$D$773,SUBSTITUTE($C148,"AHUB{N}",E$22))</f>
        <v>1</v>
      </c>
      <c r="F148" s="19">
        <f>COUNTIFS(SSC_Ontology_Ver0.5!$A$128:$A$773,SUBSTITUTE($A148,"AHUB{N}",F$22),SSC_Ontology_Ver0.5!$C$128:$C$773,$B148,SSC_Ontology_Ver0.5!$D$128:$D$773,SUBSTITUTE($C148,"AHUB{N}",F$22))</f>
        <v>1</v>
      </c>
      <c r="G148" s="19">
        <f>COUNTIFS(SSC_Ontology_Ver0.5!$A$128:$A$773,SUBSTITUTE($A148,"AHUB{N}",G$22),SSC_Ontology_Ver0.5!$C$128:$C$773,$B148,SSC_Ontology_Ver0.5!$D$128:$D$773,SUBSTITUTE($C148,"AHUB{N}",G$22))</f>
        <v>1</v>
      </c>
      <c r="H148" s="19">
        <f>COUNTIFS(SSC_Ontology_Ver0.5!$A$128:$A$773,SUBSTITUTE($A148,"AHUB{N}",H$22),SSC_Ontology_Ver0.5!$C$128:$C$773,$B148,SSC_Ontology_Ver0.5!$D$128:$D$773,SUBSTITUTE($C148,"AHUB{N}",H$22))</f>
        <v>1</v>
      </c>
      <c r="I148" s="15" t="str">
        <f>IF($B148="rec:locatedIn","Excluded - location varies by unit",IF(AND(MIN(D148:H148)=MAX(D148:H148),MAX(D148:H148)=1),"OK",IF(MIN(D148:H148)=0,"Not on all units","Duplicated")))</f>
        <v>OK</v>
      </c>
    </row>
    <row r="149" spans="1:9" x14ac:dyDescent="0.3">
      <c r="A149" s="13" t="s">
        <v>4818</v>
      </c>
      <c r="B149" s="14" t="s">
        <v>11</v>
      </c>
      <c r="C149" s="14" t="s">
        <v>12</v>
      </c>
      <c r="D149" s="19">
        <f>COUNTIFS(SSC_Ontology_Ver0.5!$A$128:$A$773,SUBSTITUTE($A149,"AHUB{N}",D$22),SSC_Ontology_Ver0.5!$C$128:$C$773,$B149,SSC_Ontology_Ver0.5!$D$128:$D$773,SUBSTITUTE($C149,"AHUB{N}",D$22))</f>
        <v>1</v>
      </c>
      <c r="E149" s="19">
        <f>COUNTIFS(SSC_Ontology_Ver0.5!$A$128:$A$773,SUBSTITUTE($A149,"AHUB{N}",E$22),SSC_Ontology_Ver0.5!$C$128:$C$773,$B149,SSC_Ontology_Ver0.5!$D$128:$D$773,SUBSTITUTE($C149,"AHUB{N}",E$22))</f>
        <v>1</v>
      </c>
      <c r="F149" s="19">
        <f>COUNTIFS(SSC_Ontology_Ver0.5!$A$128:$A$773,SUBSTITUTE($A149,"AHUB{N}",F$22),SSC_Ontology_Ver0.5!$C$128:$C$773,$B149,SSC_Ontology_Ver0.5!$D$128:$D$773,SUBSTITUTE($C149,"AHUB{N}",F$22))</f>
        <v>1</v>
      </c>
      <c r="G149" s="19">
        <f>COUNTIFS(SSC_Ontology_Ver0.5!$A$128:$A$773,SUBSTITUTE($A149,"AHUB{N}",G$22),SSC_Ontology_Ver0.5!$C$128:$C$773,$B149,SSC_Ontology_Ver0.5!$D$128:$D$773,SUBSTITUTE($C149,"AHUB{N}",G$22))</f>
        <v>1</v>
      </c>
      <c r="H149" s="19">
        <f>COUNTIFS(SSC_Ontology_Ver0.5!$A$128:$A$773,SUBSTITUTE($A149,"AHUB{N}",H$22),SSC_Ontology_Ver0.5!$C$128:$C$773,$B149,SSC_Ontology_Ver0.5!$D$128:$D$773,SUBSTITUTE($C149,"AHUB{N}",H$22))</f>
        <v>1</v>
      </c>
      <c r="I149" s="15" t="str">
        <f>IF($B149="rec:locatedIn","Excluded - location varies by unit",IF(AND(MIN(D149:H149)=MAX(D149:H149),MAX(D149:H149)=1),"OK",IF(MIN(D149:H149)=0,"Not on all units","Duplicated")))</f>
        <v>OK</v>
      </c>
    </row>
    <row r="150" spans="1:9" x14ac:dyDescent="0.3">
      <c r="A150" s="13" t="s">
        <v>4814</v>
      </c>
      <c r="B150" s="14" t="s">
        <v>11</v>
      </c>
      <c r="C150" s="14" t="s">
        <v>12</v>
      </c>
      <c r="D150" s="19">
        <f>COUNTIFS(SSC_Ontology_Ver0.5!$A$128:$A$773,SUBSTITUTE($A150,"AHUB{N}",D$22),SSC_Ontology_Ver0.5!$C$128:$C$773,$B150,SSC_Ontology_Ver0.5!$D$128:$D$773,SUBSTITUTE($C150,"AHUB{N}",D$22))</f>
        <v>1</v>
      </c>
      <c r="E150" s="19">
        <f>COUNTIFS(SSC_Ontology_Ver0.5!$A$128:$A$773,SUBSTITUTE($A150,"AHUB{N}",E$22),SSC_Ontology_Ver0.5!$C$128:$C$773,$B150,SSC_Ontology_Ver0.5!$D$128:$D$773,SUBSTITUTE($C150,"AHUB{N}",E$22))</f>
        <v>1</v>
      </c>
      <c r="F150" s="19">
        <f>COUNTIFS(SSC_Ontology_Ver0.5!$A$128:$A$773,SUBSTITUTE($A150,"AHUB{N}",F$22),SSC_Ontology_Ver0.5!$C$128:$C$773,$B150,SSC_Ontology_Ver0.5!$D$128:$D$773,SUBSTITUTE($C150,"AHUB{N}",F$22))</f>
        <v>1</v>
      </c>
      <c r="G150" s="19">
        <f>COUNTIFS(SSC_Ontology_Ver0.5!$A$128:$A$773,SUBSTITUTE($A150,"AHUB{N}",G$22),SSC_Ontology_Ver0.5!$C$128:$C$773,$B150,SSC_Ontology_Ver0.5!$D$128:$D$773,SUBSTITUTE($C150,"AHUB{N}",G$22))</f>
        <v>1</v>
      </c>
      <c r="H150" s="19">
        <f>COUNTIFS(SSC_Ontology_Ver0.5!$A$128:$A$773,SUBSTITUTE($A150,"AHUB{N}",H$22),SSC_Ontology_Ver0.5!$C$128:$C$773,$B150,SSC_Ontology_Ver0.5!$D$128:$D$773,SUBSTITUTE($C150,"AHUB{N}",H$22))</f>
        <v>1</v>
      </c>
      <c r="I150" s="15" t="str">
        <f>IF($B150="rec:locatedIn","Excluded - location varies by unit",IF(AND(MIN(D150:H150)=MAX(D150:H150),MAX(D150:H150)=1),"OK",IF(MIN(D150:H150)=0,"Not on all units","Duplicated")))</f>
        <v>OK</v>
      </c>
    </row>
    <row r="151" spans="1:9" x14ac:dyDescent="0.3">
      <c r="A151" s="13" t="s">
        <v>4781</v>
      </c>
      <c r="B151" s="14" t="s">
        <v>11</v>
      </c>
      <c r="C151" s="14" t="s">
        <v>12</v>
      </c>
      <c r="D151" s="19">
        <f>COUNTIFS(SSC_Ontology_Ver0.5!$A$128:$A$773,SUBSTITUTE($A151,"AHUB{N}",D$22),SSC_Ontology_Ver0.5!$C$128:$C$773,$B151,SSC_Ontology_Ver0.5!$D$128:$D$773,SUBSTITUTE($C151,"AHUB{N}",D$22))</f>
        <v>1</v>
      </c>
      <c r="E151" s="19">
        <f>COUNTIFS(SSC_Ontology_Ver0.5!$A$128:$A$773,SUBSTITUTE($A151,"AHUB{N}",E$22),SSC_Ontology_Ver0.5!$C$128:$C$773,$B151,SSC_Ontology_Ver0.5!$D$128:$D$773,SUBSTITUTE($C151,"AHUB{N}",E$22))</f>
        <v>1</v>
      </c>
      <c r="F151" s="19">
        <f>COUNTIFS(SSC_Ontology_Ver0.5!$A$128:$A$773,SUBSTITUTE($A151,"AHUB{N}",F$22),SSC_Ontology_Ver0.5!$C$128:$C$773,$B151,SSC_Ontology_Ver0.5!$D$128:$D$773,SUBSTITUTE($C151,"AHUB{N}",F$22))</f>
        <v>1</v>
      </c>
      <c r="G151" s="19">
        <f>COUNTIFS(SSC_Ontology_Ver0.5!$A$128:$A$773,SUBSTITUTE($A151,"AHUB{N}",G$22),SSC_Ontology_Ver0.5!$C$128:$C$773,$B151,SSC_Ontology_Ver0.5!$D$128:$D$773,SUBSTITUTE($C151,"AHUB{N}",G$22))</f>
        <v>1</v>
      </c>
      <c r="H151" s="19">
        <f>COUNTIFS(SSC_Ontology_Ver0.5!$A$128:$A$773,SUBSTITUTE($A151,"AHUB{N}",H$22),SSC_Ontology_Ver0.5!$C$128:$C$773,$B151,SSC_Ontology_Ver0.5!$D$128:$D$773,SUBSTITUTE($C151,"AHUB{N}",H$22))</f>
        <v>1</v>
      </c>
      <c r="I151" s="15" t="str">
        <f>IF($B151="rec:locatedIn","Excluded - location varies by unit",IF(AND(MIN(D151:H151)=MAX(D151:H151),MAX(D151:H151)=1),"OK",IF(MIN(D151:H151)=0,"Not on all units","Duplicated")))</f>
        <v>OK</v>
      </c>
    </row>
    <row r="152" spans="1:9" x14ac:dyDescent="0.3">
      <c r="A152" s="13" t="s">
        <v>4745</v>
      </c>
      <c r="B152" s="14" t="s">
        <v>16</v>
      </c>
      <c r="C152" s="14" t="s">
        <v>587</v>
      </c>
      <c r="D152" s="19">
        <f>COUNTIFS(SSC_Ontology_Ver0.5!$A$128:$A$773,SUBSTITUTE($A152,"AHUB{N}",D$22),SSC_Ontology_Ver0.5!$C$128:$C$773,$B152,SSC_Ontology_Ver0.5!$D$128:$D$773,SUBSTITUTE($C152,"AHUB{N}",D$22))</f>
        <v>0</v>
      </c>
      <c r="E152" s="19">
        <f>COUNTIFS(SSC_Ontology_Ver0.5!$A$128:$A$773,SUBSTITUTE($A152,"AHUB{N}",E$22),SSC_Ontology_Ver0.5!$C$128:$C$773,$B152,SSC_Ontology_Ver0.5!$D$128:$D$773,SUBSTITUTE($C152,"AHUB{N}",E$22))</f>
        <v>1</v>
      </c>
      <c r="F152" s="19">
        <f>COUNTIFS(SSC_Ontology_Ver0.5!$A$128:$A$773,SUBSTITUTE($A152,"AHUB{N}",F$22),SSC_Ontology_Ver0.5!$C$128:$C$773,$B152,SSC_Ontology_Ver0.5!$D$128:$D$773,SUBSTITUTE($C152,"AHUB{N}",F$22))</f>
        <v>1</v>
      </c>
      <c r="G152" s="19">
        <f>COUNTIFS(SSC_Ontology_Ver0.5!$A$128:$A$773,SUBSTITUTE($A152,"AHUB{N}",G$22),SSC_Ontology_Ver0.5!$C$128:$C$773,$B152,SSC_Ontology_Ver0.5!$D$128:$D$773,SUBSTITUTE($C152,"AHUB{N}",G$22))</f>
        <v>0</v>
      </c>
      <c r="H152" s="19">
        <f>COUNTIFS(SSC_Ontology_Ver0.5!$A$128:$A$773,SUBSTITUTE($A152,"AHUB{N}",H$22),SSC_Ontology_Ver0.5!$C$128:$C$773,$B152,SSC_Ontology_Ver0.5!$D$128:$D$773,SUBSTITUTE($C152,"AHUB{N}",H$22))</f>
        <v>0</v>
      </c>
      <c r="I152" s="15" t="str">
        <f>IF($B152="rec:locatedIn","Excluded - location varies by unit",IF(AND(MIN(D152:H152)=MAX(D152:H152),MAX(D152:H152)=1),"OK",IF(MIN(D152:H152)=0,"Not on all units","Duplicated")))</f>
        <v>Excluded - location varies by unit</v>
      </c>
    </row>
    <row r="153" spans="1:9" x14ac:dyDescent="0.3">
      <c r="A153" s="13" t="s">
        <v>4745</v>
      </c>
      <c r="B153" s="14" t="s">
        <v>308</v>
      </c>
      <c r="C153" s="14" t="s">
        <v>4750</v>
      </c>
      <c r="D153" s="19">
        <f>COUNTIFS(SSC_Ontology_Ver0.5!$A$128:$A$773,SUBSTITUTE($A153,"AHUB{N}",D$22),SSC_Ontology_Ver0.5!$C$128:$C$773,$B153,SSC_Ontology_Ver0.5!$D$128:$D$773,SUBSTITUTE($C153,"AHUB{N}",D$22))</f>
        <v>0</v>
      </c>
      <c r="E153" s="19">
        <f>COUNTIFS(SSC_Ontology_Ver0.5!$A$128:$A$773,SUBSTITUTE($A153,"AHUB{N}",E$22),SSC_Ontology_Ver0.5!$C$128:$C$773,$B153,SSC_Ontology_Ver0.5!$D$128:$D$773,SUBSTITUTE($C153,"AHUB{N}",E$22))</f>
        <v>0</v>
      </c>
      <c r="F153" s="19">
        <f>COUNTIFS(SSC_Ontology_Ver0.5!$A$128:$A$773,SUBSTITUTE($A153,"AHUB{N}",F$22),SSC_Ontology_Ver0.5!$C$128:$C$773,$B153,SSC_Ontology_Ver0.5!$D$128:$D$773,SUBSTITUTE($C153,"AHUB{N}",F$22))</f>
        <v>0</v>
      </c>
      <c r="G153" s="19">
        <f>COUNTIFS(SSC_Ontology_Ver0.5!$A$128:$A$773,SUBSTITUTE($A153,"AHUB{N}",G$22),SSC_Ontology_Ver0.5!$C$128:$C$773,$B153,SSC_Ontology_Ver0.5!$D$128:$D$773,SUBSTITUTE($C153,"AHUB{N}",G$22))</f>
        <v>1</v>
      </c>
      <c r="H153" s="19">
        <f>COUNTIFS(SSC_Ontology_Ver0.5!$A$128:$A$773,SUBSTITUTE($A153,"AHUB{N}",H$22),SSC_Ontology_Ver0.5!$C$128:$C$773,$B153,SSC_Ontology_Ver0.5!$D$128:$D$773,SUBSTITUTE($C153,"AHUB{N}",H$22))</f>
        <v>0</v>
      </c>
      <c r="I153" s="15" t="str">
        <f>IF($B153="rec:locatedIn","Excluded - location varies by unit",IF(AND(MIN(D153:H153)=MAX(D153:H153),MAX(D153:H153)=1),"OK",IF(MIN(D153:H153)=0,"Not on all units","Duplicated")))</f>
        <v>Not on all units</v>
      </c>
    </row>
    <row r="154" spans="1:9" x14ac:dyDescent="0.3">
      <c r="A154" s="13" t="s">
        <v>4745</v>
      </c>
      <c r="B154" s="14" t="s">
        <v>308</v>
      </c>
      <c r="C154" s="14" t="s">
        <v>4751</v>
      </c>
      <c r="D154" s="19">
        <f>COUNTIFS(SSC_Ontology_Ver0.5!$A$128:$A$773,SUBSTITUTE($A154,"AHUB{N}",D$22),SSC_Ontology_Ver0.5!$C$128:$C$773,$B154,SSC_Ontology_Ver0.5!$D$128:$D$773,SUBSTITUTE($C154,"AHUB{N}",D$22))</f>
        <v>0</v>
      </c>
      <c r="E154" s="19">
        <f>COUNTIFS(SSC_Ontology_Ver0.5!$A$128:$A$773,SUBSTITUTE($A154,"AHUB{N}",E$22),SSC_Ontology_Ver0.5!$C$128:$C$773,$B154,SSC_Ontology_Ver0.5!$D$128:$D$773,SUBSTITUTE($C154,"AHUB{N}",E$22))</f>
        <v>0</v>
      </c>
      <c r="F154" s="19">
        <f>COUNTIFS(SSC_Ontology_Ver0.5!$A$128:$A$773,SUBSTITUTE($A154,"AHUB{N}",F$22),SSC_Ontology_Ver0.5!$C$128:$C$773,$B154,SSC_Ontology_Ver0.5!$D$128:$D$773,SUBSTITUTE($C154,"AHUB{N}",F$22))</f>
        <v>0</v>
      </c>
      <c r="G154" s="19">
        <f>COUNTIFS(SSC_Ontology_Ver0.5!$A$128:$A$773,SUBSTITUTE($A154,"AHUB{N}",G$22),SSC_Ontology_Ver0.5!$C$128:$C$773,$B154,SSC_Ontology_Ver0.5!$D$128:$D$773,SUBSTITUTE($C154,"AHUB{N}",G$22))</f>
        <v>1</v>
      </c>
      <c r="H154" s="19">
        <f>COUNTIFS(SSC_Ontology_Ver0.5!$A$128:$A$773,SUBSTITUTE($A154,"AHUB{N}",H$22),SSC_Ontology_Ver0.5!$C$128:$C$773,$B154,SSC_Ontology_Ver0.5!$D$128:$D$773,SUBSTITUTE($C154,"AHUB{N}",H$22))</f>
        <v>0</v>
      </c>
      <c r="I154" s="15" t="str">
        <f>IF($B154="rec:locatedIn","Excluded - location varies by unit",IF(AND(MIN(D154:H154)=MAX(D154:H154),MAX(D154:H154)=1),"OK",IF(MIN(D154:H154)=0,"Not on all units","Duplicated")))</f>
        <v>Not on all units</v>
      </c>
    </row>
    <row r="155" spans="1:9" x14ac:dyDescent="0.3">
      <c r="A155" s="13" t="s">
        <v>4745</v>
      </c>
      <c r="B155" s="14" t="s">
        <v>16</v>
      </c>
      <c r="C155" s="14" t="s">
        <v>836</v>
      </c>
      <c r="D155" s="19">
        <f>COUNTIFS(SSC_Ontology_Ver0.5!$A$128:$A$773,SUBSTITUTE($A155,"AHUB{N}",D$22),SSC_Ontology_Ver0.5!$C$128:$C$773,$B155,SSC_Ontology_Ver0.5!$D$128:$D$773,SUBSTITUTE($C155,"AHUB{N}",D$22))</f>
        <v>0</v>
      </c>
      <c r="E155" s="19">
        <f>COUNTIFS(SSC_Ontology_Ver0.5!$A$128:$A$773,SUBSTITUTE($A155,"AHUB{N}",E$22),SSC_Ontology_Ver0.5!$C$128:$C$773,$B155,SSC_Ontology_Ver0.5!$D$128:$D$773,SUBSTITUTE($C155,"AHUB{N}",E$22))</f>
        <v>0</v>
      </c>
      <c r="F155" s="19">
        <f>COUNTIFS(SSC_Ontology_Ver0.5!$A$128:$A$773,SUBSTITUTE($A155,"AHUB{N}",F$22),SSC_Ontology_Ver0.5!$C$128:$C$773,$B155,SSC_Ontology_Ver0.5!$D$128:$D$773,SUBSTITUTE($C155,"AHUB{N}",F$22))</f>
        <v>0</v>
      </c>
      <c r="G155" s="19">
        <f>COUNTIFS(SSC_Ontology_Ver0.5!$A$128:$A$773,SUBSTITUTE($A155,"AHUB{N}",G$22),SSC_Ontology_Ver0.5!$C$128:$C$773,$B155,SSC_Ontology_Ver0.5!$D$128:$D$773,SUBSTITUTE($C155,"AHUB{N}",G$22))</f>
        <v>1</v>
      </c>
      <c r="H155" s="19">
        <f>COUNTIFS(SSC_Ontology_Ver0.5!$A$128:$A$773,SUBSTITUTE($A155,"AHUB{N}",H$22),SSC_Ontology_Ver0.5!$C$128:$C$773,$B155,SSC_Ontology_Ver0.5!$D$128:$D$773,SUBSTITUTE($C155,"AHUB{N}",H$22))</f>
        <v>0</v>
      </c>
      <c r="I155" s="15" t="str">
        <f>IF($B155="rec:locatedIn","Excluded - location varies by unit",IF(AND(MIN(D155:H155)=MAX(D155:H155),MAX(D155:H155)=1),"OK",IF(MIN(D155:H155)=0,"Not on all units","Duplicated")))</f>
        <v>Excluded - location varies by unit</v>
      </c>
    </row>
    <row r="156" spans="1:9" x14ac:dyDescent="0.3">
      <c r="A156" s="13" t="s">
        <v>4750</v>
      </c>
      <c r="B156" s="14" t="s">
        <v>11</v>
      </c>
      <c r="C156" s="14" t="s">
        <v>12</v>
      </c>
      <c r="D156" s="19">
        <f>COUNTIFS(SSC_Ontology_Ver0.5!$A$128:$A$773,SUBSTITUTE($A156,"AHUB{N}",D$22),SSC_Ontology_Ver0.5!$C$128:$C$773,$B156,SSC_Ontology_Ver0.5!$D$128:$D$773,SUBSTITUTE($C156,"AHUB{N}",D$22))</f>
        <v>0</v>
      </c>
      <c r="E156" s="19">
        <f>COUNTIFS(SSC_Ontology_Ver0.5!$A$128:$A$773,SUBSTITUTE($A156,"AHUB{N}",E$22),SSC_Ontology_Ver0.5!$C$128:$C$773,$B156,SSC_Ontology_Ver0.5!$D$128:$D$773,SUBSTITUTE($C156,"AHUB{N}",E$22))</f>
        <v>0</v>
      </c>
      <c r="F156" s="19">
        <f>COUNTIFS(SSC_Ontology_Ver0.5!$A$128:$A$773,SUBSTITUTE($A156,"AHUB{N}",F$22),SSC_Ontology_Ver0.5!$C$128:$C$773,$B156,SSC_Ontology_Ver0.5!$D$128:$D$773,SUBSTITUTE($C156,"AHUB{N}",F$22))</f>
        <v>0</v>
      </c>
      <c r="G156" s="19">
        <f>COUNTIFS(SSC_Ontology_Ver0.5!$A$128:$A$773,SUBSTITUTE($A156,"AHUB{N}",G$22),SSC_Ontology_Ver0.5!$C$128:$C$773,$B156,SSC_Ontology_Ver0.5!$D$128:$D$773,SUBSTITUTE($C156,"AHUB{N}",G$22))</f>
        <v>1</v>
      </c>
      <c r="H156" s="19">
        <f>COUNTIFS(SSC_Ontology_Ver0.5!$A$128:$A$773,SUBSTITUTE($A156,"AHUB{N}",H$22),SSC_Ontology_Ver0.5!$C$128:$C$773,$B156,SSC_Ontology_Ver0.5!$D$128:$D$773,SUBSTITUTE($C156,"AHUB{N}",H$22))</f>
        <v>0</v>
      </c>
      <c r="I156" s="15" t="str">
        <f>IF($B156="rec:locatedIn","Excluded - location varies by unit",IF(AND(MIN(D156:H156)=MAX(D156:H156),MAX(D156:H156)=1),"OK",IF(MIN(D156:H156)=0,"Not on all units","Duplicated")))</f>
        <v>Not on all units</v>
      </c>
    </row>
    <row r="157" spans="1:9" x14ac:dyDescent="0.3">
      <c r="A157" s="16" t="s">
        <v>4751</v>
      </c>
      <c r="B157" s="17" t="s">
        <v>11</v>
      </c>
      <c r="C157" s="17" t="s">
        <v>12</v>
      </c>
      <c r="D157" s="20">
        <f>COUNTIFS(SSC_Ontology_Ver0.5!$A$128:$A$773,SUBSTITUTE($A157,"AHUB{N}",D$22),SSC_Ontology_Ver0.5!$C$128:$C$773,$B157,SSC_Ontology_Ver0.5!$D$128:$D$773,SUBSTITUTE($C157,"AHUB{N}",D$22))</f>
        <v>0</v>
      </c>
      <c r="E157" s="20">
        <f>COUNTIFS(SSC_Ontology_Ver0.5!$A$128:$A$773,SUBSTITUTE($A157,"AHUB{N}",E$22),SSC_Ontology_Ver0.5!$C$128:$C$773,$B157,SSC_Ontology_Ver0.5!$D$128:$D$773,SUBSTITUTE($C157,"AHUB{N}",E$22))</f>
        <v>0</v>
      </c>
      <c r="F157" s="20">
        <f>COUNTIFS(SSC_Ontology_Ver0.5!$A$128:$A$773,SUBSTITUTE($A157,"AHUB{N}",F$22),SSC_Ontology_Ver0.5!$C$128:$C$773,$B157,SSC_Ontology_Ver0.5!$D$128:$D$773,SUBSTITUTE($C157,"AHUB{N}",F$22))</f>
        <v>0</v>
      </c>
      <c r="G157" s="20">
        <f>COUNTIFS(SSC_Ontology_Ver0.5!$A$128:$A$773,SUBSTITUTE($A157,"AHUB{N}",G$22),SSC_Ontology_Ver0.5!$C$128:$C$773,$B157,SSC_Ontology_Ver0.5!$D$128:$D$773,SUBSTITUTE($C157,"AHUB{N}",G$22))</f>
        <v>1</v>
      </c>
      <c r="H157" s="20">
        <f>COUNTIFS(SSC_Ontology_Ver0.5!$A$128:$A$773,SUBSTITUTE($A157,"AHUB{N}",H$22),SSC_Ontology_Ver0.5!$C$128:$C$773,$B157,SSC_Ontology_Ver0.5!$D$128:$D$773,SUBSTITUTE($C157,"AHUB{N}",H$22))</f>
        <v>0</v>
      </c>
      <c r="I157" s="18" t="str">
        <f>IF($B157="rec:locatedIn","Excluded - location varies by unit",IF(AND(MIN(D157:H157)=MAX(D157:H157),MAX(D157:H157)=1),"OK",IF(MIN(D157:H157)=0,"Not on all units","Duplicated")))</f>
        <v>Not on all units</v>
      </c>
    </row>
  </sheetData>
  <phoneticPr fontId="8" type="noConversion"/>
  <conditionalFormatting sqref="A23:I157">
    <cfRule type="expression" dxfId="9" priority="1">
      <formula>AND($I23&lt;&gt;"OK",LEFT($I23,8)&lt;&gt;"Excluded")</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7F926-6141-440D-984D-83D55BBEB9E6}">
  <dimension ref="A1:H36"/>
  <sheetViews>
    <sheetView workbookViewId="0">
      <pane ySplit="17" topLeftCell="A18" activePane="bottomLeft" state="frozen"/>
      <selection pane="bottomLeft"/>
    </sheetView>
  </sheetViews>
  <sheetFormatPr defaultRowHeight="14.4" x14ac:dyDescent="0.3"/>
  <cols>
    <col min="1" max="3" width="46.33203125" customWidth="1"/>
    <col min="4" max="7" width="13.88671875" customWidth="1"/>
    <col min="8" max="8" width="25.88671875" customWidth="1"/>
  </cols>
  <sheetData>
    <row r="1" spans="1:6" ht="18" x14ac:dyDescent="0.35">
      <c r="A1" s="7" t="s">
        <v>4887</v>
      </c>
    </row>
    <row r="2" spans="1:6" x14ac:dyDescent="0.3">
      <c r="A2" s="8" t="s">
        <v>4888</v>
      </c>
    </row>
    <row r="4" spans="1:6" x14ac:dyDescent="0.3">
      <c r="A4" s="6" t="s">
        <v>4889</v>
      </c>
    </row>
    <row r="5" spans="1:6" x14ac:dyDescent="0.3">
      <c r="A5" s="10" t="s">
        <v>4733</v>
      </c>
      <c r="B5" s="11" t="s">
        <v>4890</v>
      </c>
      <c r="C5" s="11" t="s">
        <v>4891</v>
      </c>
      <c r="D5" s="11" t="s">
        <v>4892</v>
      </c>
      <c r="E5" s="11" t="s">
        <v>4893</v>
      </c>
      <c r="F5" s="12" t="s">
        <v>4894</v>
      </c>
    </row>
    <row r="6" spans="1:6" x14ac:dyDescent="0.3">
      <c r="A6" s="13" t="s">
        <v>4739</v>
      </c>
      <c r="B6" s="19">
        <f>COUNTIF(SSC_Ontology_Ver0.5!$A$1347:$A$1422,"*"&amp;"CHWP01"&amp;"*")</f>
        <v>19</v>
      </c>
      <c r="C6" s="19">
        <f>COUNTIF(SSC_Ontology_Ver0.5!$A$1347:$A$1422,"*"&amp;"CHWP02"&amp;"*")</f>
        <v>19</v>
      </c>
      <c r="D6" s="19">
        <f>COUNTIF(SSC_Ontology_Ver0.5!$A$1347:$A$1422,"*"&amp;"CHWP03"&amp;"*")</f>
        <v>19</v>
      </c>
      <c r="E6" s="19">
        <f>COUNTIF(SSC_Ontology_Ver0.5!$A$1347:$A$1422,"*"&amp;"CHWP04"&amp;"*")</f>
        <v>19</v>
      </c>
      <c r="F6" s="25" t="str">
        <f>IF(MIN(B6:E6)=MAX(B6:E6),"YES","NO")</f>
        <v>YES</v>
      </c>
    </row>
    <row r="7" spans="1:6" x14ac:dyDescent="0.3">
      <c r="A7" s="16" t="s">
        <v>4895</v>
      </c>
      <c r="B7" s="20">
        <f>0</f>
        <v>0</v>
      </c>
      <c r="C7" s="20">
        <f>C6-$B$6</f>
        <v>0</v>
      </c>
      <c r="D7" s="20">
        <f>D6-$B$6</f>
        <v>0</v>
      </c>
      <c r="E7" s="20">
        <f>E6-$B$6</f>
        <v>0</v>
      </c>
      <c r="F7" s="26"/>
    </row>
    <row r="9" spans="1:6" x14ac:dyDescent="0.3">
      <c r="A9" s="6" t="s">
        <v>4845</v>
      </c>
    </row>
    <row r="10" spans="1:6" x14ac:dyDescent="0.3">
      <c r="A10" t="s">
        <v>4896</v>
      </c>
    </row>
    <row r="11" spans="1:6" x14ac:dyDescent="0.3">
      <c r="A11" t="s">
        <v>4897</v>
      </c>
    </row>
    <row r="12" spans="1:6" x14ac:dyDescent="0.3">
      <c r="A12" t="s">
        <v>4898</v>
      </c>
    </row>
    <row r="13" spans="1:6" x14ac:dyDescent="0.3">
      <c r="A13" t="s">
        <v>4899</v>
      </c>
    </row>
    <row r="14" spans="1:6" x14ac:dyDescent="0.3">
      <c r="A14" t="s">
        <v>4900</v>
      </c>
    </row>
    <row r="16" spans="1:6" x14ac:dyDescent="0.3">
      <c r="A16" s="6" t="s">
        <v>4901</v>
      </c>
    </row>
    <row r="17" spans="1:8" x14ac:dyDescent="0.3">
      <c r="A17" s="10" t="s">
        <v>4741</v>
      </c>
      <c r="B17" s="11" t="s">
        <v>4742</v>
      </c>
      <c r="C17" s="11" t="s">
        <v>4743</v>
      </c>
      <c r="D17" s="11" t="s">
        <v>4890</v>
      </c>
      <c r="E17" s="11" t="s">
        <v>4891</v>
      </c>
      <c r="F17" s="11" t="s">
        <v>4892</v>
      </c>
      <c r="G17" s="11" t="s">
        <v>4893</v>
      </c>
      <c r="H17" s="12" t="s">
        <v>4760</v>
      </c>
    </row>
    <row r="18" spans="1:8" x14ac:dyDescent="0.3">
      <c r="A18" s="13" t="s">
        <v>4902</v>
      </c>
      <c r="B18" s="14" t="s">
        <v>280</v>
      </c>
      <c r="C18" s="14" t="s">
        <v>4903</v>
      </c>
      <c r="D18" s="19">
        <f>COUNTIFS(SSC_Ontology_Ver0.5!$A$1347:$A$1422,SUBSTITUTE($A18,"{P}",D$17),SSC_Ontology_Ver0.5!$C$1347:$C$1422,$B18,SSC_Ontology_Ver0.5!$D$1347:$D$1422,SUBSTITUTE($C18,"{P}",D$17))</f>
        <v>1</v>
      </c>
      <c r="E18" s="19">
        <f>COUNTIFS(SSC_Ontology_Ver0.5!$A$1347:$A$1422,SUBSTITUTE($A18,"{P}",E$17),SSC_Ontology_Ver0.5!$C$1347:$C$1422,$B18,SSC_Ontology_Ver0.5!$D$1347:$D$1422,SUBSTITUTE($C18,"{P}",E$17))</f>
        <v>1</v>
      </c>
      <c r="F18" s="19">
        <f>COUNTIFS(SSC_Ontology_Ver0.5!$A$1347:$A$1422,SUBSTITUTE($A18,"{P}",F$17),SSC_Ontology_Ver0.5!$C$1347:$C$1422,$B18,SSC_Ontology_Ver0.5!$D$1347:$D$1422,SUBSTITUTE($C18,"{P}",F$17))</f>
        <v>1</v>
      </c>
      <c r="G18" s="19">
        <f>COUNTIFS(SSC_Ontology_Ver0.5!$A$1347:$A$1422,SUBSTITUTE($A18,"{P}",G$17),SSC_Ontology_Ver0.5!$C$1347:$C$1422,$B18,SSC_Ontology_Ver0.5!$D$1347:$D$1422,SUBSTITUTE($C18,"{P}",G$17))</f>
        <v>1</v>
      </c>
      <c r="H18" s="15" t="str">
        <f>IF(AND(MIN(D18:G18)=MAX(D18:G18),MAX(D18:G18)=1),"OK",IF(MIN(D18:G18)=0,"Not on all pumps","Duplicated"))</f>
        <v>OK</v>
      </c>
    </row>
    <row r="19" spans="1:8" x14ac:dyDescent="0.3">
      <c r="A19" s="13" t="s">
        <v>4902</v>
      </c>
      <c r="B19" s="14" t="s">
        <v>280</v>
      </c>
      <c r="C19" s="14" t="s">
        <v>4904</v>
      </c>
      <c r="D19" s="19">
        <f>COUNTIFS(SSC_Ontology_Ver0.5!$A$1347:$A$1422,SUBSTITUTE($A19,"{P}",D$17),SSC_Ontology_Ver0.5!$C$1347:$C$1422,$B19,SSC_Ontology_Ver0.5!$D$1347:$D$1422,SUBSTITUTE($C19,"{P}",D$17))</f>
        <v>1</v>
      </c>
      <c r="E19" s="19">
        <f>COUNTIFS(SSC_Ontology_Ver0.5!$A$1347:$A$1422,SUBSTITUTE($A19,"{P}",E$17),SSC_Ontology_Ver0.5!$C$1347:$C$1422,$B19,SSC_Ontology_Ver0.5!$D$1347:$D$1422,SUBSTITUTE($C19,"{P}",E$17))</f>
        <v>1</v>
      </c>
      <c r="F19" s="19">
        <f>COUNTIFS(SSC_Ontology_Ver0.5!$A$1347:$A$1422,SUBSTITUTE($A19,"{P}",F$17),SSC_Ontology_Ver0.5!$C$1347:$C$1422,$B19,SSC_Ontology_Ver0.5!$D$1347:$D$1422,SUBSTITUTE($C19,"{P}",F$17))</f>
        <v>1</v>
      </c>
      <c r="G19" s="19">
        <f>COUNTIFS(SSC_Ontology_Ver0.5!$A$1347:$A$1422,SUBSTITUTE($A19,"{P}",G$17),SSC_Ontology_Ver0.5!$C$1347:$C$1422,$B19,SSC_Ontology_Ver0.5!$D$1347:$D$1422,SUBSTITUTE($C19,"{P}",G$17))</f>
        <v>1</v>
      </c>
      <c r="H19" s="15" t="str">
        <f>IF(AND(MIN(D19:G19)=MAX(D19:G19),MAX(D19:G19)=1),"OK",IF(MIN(D19:G19)=0,"Not on all pumps","Duplicated"))</f>
        <v>OK</v>
      </c>
    </row>
    <row r="20" spans="1:8" x14ac:dyDescent="0.3">
      <c r="A20" s="13" t="s">
        <v>4902</v>
      </c>
      <c r="B20" s="14" t="s">
        <v>280</v>
      </c>
      <c r="C20" s="14" t="s">
        <v>4905</v>
      </c>
      <c r="D20" s="19">
        <f>COUNTIFS(SSC_Ontology_Ver0.5!$A$1347:$A$1422,SUBSTITUTE($A20,"{P}",D$17),SSC_Ontology_Ver0.5!$C$1347:$C$1422,$B20,SSC_Ontology_Ver0.5!$D$1347:$D$1422,SUBSTITUTE($C20,"{P}",D$17))</f>
        <v>1</v>
      </c>
      <c r="E20" s="19">
        <f>COUNTIFS(SSC_Ontology_Ver0.5!$A$1347:$A$1422,SUBSTITUTE($A20,"{P}",E$17),SSC_Ontology_Ver0.5!$C$1347:$C$1422,$B20,SSC_Ontology_Ver0.5!$D$1347:$D$1422,SUBSTITUTE($C20,"{P}",E$17))</f>
        <v>1</v>
      </c>
      <c r="F20" s="19">
        <f>COUNTIFS(SSC_Ontology_Ver0.5!$A$1347:$A$1422,SUBSTITUTE($A20,"{P}",F$17),SSC_Ontology_Ver0.5!$C$1347:$C$1422,$B20,SSC_Ontology_Ver0.5!$D$1347:$D$1422,SUBSTITUTE($C20,"{P}",F$17))</f>
        <v>1</v>
      </c>
      <c r="G20" s="19">
        <f>COUNTIFS(SSC_Ontology_Ver0.5!$A$1347:$A$1422,SUBSTITUTE($A20,"{P}",G$17),SSC_Ontology_Ver0.5!$C$1347:$C$1422,$B20,SSC_Ontology_Ver0.5!$D$1347:$D$1422,SUBSTITUTE($C20,"{P}",G$17))</f>
        <v>1</v>
      </c>
      <c r="H20" s="15" t="str">
        <f>IF(AND(MIN(D20:G20)=MAX(D20:G20),MAX(D20:G20)=1),"OK",IF(MIN(D20:G20)=0,"Not on all pumps","Duplicated"))</f>
        <v>OK</v>
      </c>
    </row>
    <row r="21" spans="1:8" x14ac:dyDescent="0.3">
      <c r="A21" s="13" t="s">
        <v>4902</v>
      </c>
      <c r="B21" s="14" t="s">
        <v>308</v>
      </c>
      <c r="C21" s="14" t="s">
        <v>4906</v>
      </c>
      <c r="D21" s="19">
        <f>COUNTIFS(SSC_Ontology_Ver0.5!$A$1347:$A$1422,SUBSTITUTE($A21,"{P}",D$17),SSC_Ontology_Ver0.5!$C$1347:$C$1422,$B21,SSC_Ontology_Ver0.5!$D$1347:$D$1422,SUBSTITUTE($C21,"{P}",D$17))</f>
        <v>1</v>
      </c>
      <c r="E21" s="19">
        <f>COUNTIFS(SSC_Ontology_Ver0.5!$A$1347:$A$1422,SUBSTITUTE($A21,"{P}",E$17),SSC_Ontology_Ver0.5!$C$1347:$C$1422,$B21,SSC_Ontology_Ver0.5!$D$1347:$D$1422,SUBSTITUTE($C21,"{P}",E$17))</f>
        <v>1</v>
      </c>
      <c r="F21" s="19">
        <f>COUNTIFS(SSC_Ontology_Ver0.5!$A$1347:$A$1422,SUBSTITUTE($A21,"{P}",F$17),SSC_Ontology_Ver0.5!$C$1347:$C$1422,$B21,SSC_Ontology_Ver0.5!$D$1347:$D$1422,SUBSTITUTE($C21,"{P}",F$17))</f>
        <v>1</v>
      </c>
      <c r="G21" s="19">
        <f>COUNTIFS(SSC_Ontology_Ver0.5!$A$1347:$A$1422,SUBSTITUTE($A21,"{P}",G$17),SSC_Ontology_Ver0.5!$C$1347:$C$1422,$B21,SSC_Ontology_Ver0.5!$D$1347:$D$1422,SUBSTITUTE($C21,"{P}",G$17))</f>
        <v>1</v>
      </c>
      <c r="H21" s="15" t="str">
        <f>IF(AND(MIN(D21:G21)=MAX(D21:G21),MAX(D21:G21)=1),"OK",IF(MIN(D21:G21)=0,"Not on all pumps","Duplicated"))</f>
        <v>OK</v>
      </c>
    </row>
    <row r="22" spans="1:8" x14ac:dyDescent="0.3">
      <c r="A22" s="13" t="s">
        <v>4902</v>
      </c>
      <c r="B22" s="14" t="s">
        <v>308</v>
      </c>
      <c r="C22" s="14" t="s">
        <v>4907</v>
      </c>
      <c r="D22" s="19">
        <f>COUNTIFS(SSC_Ontology_Ver0.5!$A$1347:$A$1422,SUBSTITUTE($A22,"{P}",D$17),SSC_Ontology_Ver0.5!$C$1347:$C$1422,$B22,SSC_Ontology_Ver0.5!$D$1347:$D$1422,SUBSTITUTE($C22,"{P}",D$17))</f>
        <v>1</v>
      </c>
      <c r="E22" s="19">
        <f>COUNTIFS(SSC_Ontology_Ver0.5!$A$1347:$A$1422,SUBSTITUTE($A22,"{P}",E$17),SSC_Ontology_Ver0.5!$C$1347:$C$1422,$B22,SSC_Ontology_Ver0.5!$D$1347:$D$1422,SUBSTITUTE($C22,"{P}",E$17))</f>
        <v>1</v>
      </c>
      <c r="F22" s="19">
        <f>COUNTIFS(SSC_Ontology_Ver0.5!$A$1347:$A$1422,SUBSTITUTE($A22,"{P}",F$17),SSC_Ontology_Ver0.5!$C$1347:$C$1422,$B22,SSC_Ontology_Ver0.5!$D$1347:$D$1422,SUBSTITUTE($C22,"{P}",F$17))</f>
        <v>1</v>
      </c>
      <c r="G22" s="19">
        <f>COUNTIFS(SSC_Ontology_Ver0.5!$A$1347:$A$1422,SUBSTITUTE($A22,"{P}",G$17),SSC_Ontology_Ver0.5!$C$1347:$C$1422,$B22,SSC_Ontology_Ver0.5!$D$1347:$D$1422,SUBSTITUTE($C22,"{P}",G$17))</f>
        <v>1</v>
      </c>
      <c r="H22" s="15" t="str">
        <f>IF(AND(MIN(D22:G22)=MAX(D22:G22),MAX(D22:G22)=1),"OK",IF(MIN(D22:G22)=0,"Not on all pumps","Duplicated"))</f>
        <v>OK</v>
      </c>
    </row>
    <row r="23" spans="1:8" x14ac:dyDescent="0.3">
      <c r="A23" s="13" t="s">
        <v>4902</v>
      </c>
      <c r="B23" s="14" t="s">
        <v>22</v>
      </c>
      <c r="C23" s="14" t="s">
        <v>20</v>
      </c>
      <c r="D23" s="19">
        <f>COUNTIFS(SSC_Ontology_Ver0.5!$A$1347:$A$1422,SUBSTITUTE($A23,"{P}",D$17),SSC_Ontology_Ver0.5!$C$1347:$C$1422,$B23,SSC_Ontology_Ver0.5!$D$1347:$D$1422,SUBSTITUTE($C23,"{P}",D$17))</f>
        <v>1</v>
      </c>
      <c r="E23" s="19">
        <f>COUNTIFS(SSC_Ontology_Ver0.5!$A$1347:$A$1422,SUBSTITUTE($A23,"{P}",E$17),SSC_Ontology_Ver0.5!$C$1347:$C$1422,$B23,SSC_Ontology_Ver0.5!$D$1347:$D$1422,SUBSTITUTE($C23,"{P}",E$17))</f>
        <v>1</v>
      </c>
      <c r="F23" s="19">
        <f>COUNTIFS(SSC_Ontology_Ver0.5!$A$1347:$A$1422,SUBSTITUTE($A23,"{P}",F$17),SSC_Ontology_Ver0.5!$C$1347:$C$1422,$B23,SSC_Ontology_Ver0.5!$D$1347:$D$1422,SUBSTITUTE($C23,"{P}",F$17))</f>
        <v>1</v>
      </c>
      <c r="G23" s="19">
        <f>COUNTIFS(SSC_Ontology_Ver0.5!$A$1347:$A$1422,SUBSTITUTE($A23,"{P}",G$17),SSC_Ontology_Ver0.5!$C$1347:$C$1422,$B23,SSC_Ontology_Ver0.5!$D$1347:$D$1422,SUBSTITUTE($C23,"{P}",G$17))</f>
        <v>1</v>
      </c>
      <c r="H23" s="15" t="str">
        <f>IF(AND(MIN(D23:G23)=MAX(D23:G23),MAX(D23:G23)=1),"OK",IF(MIN(D23:G23)=0,"Not on all pumps","Duplicated"))</f>
        <v>OK</v>
      </c>
    </row>
    <row r="24" spans="1:8" x14ac:dyDescent="0.3">
      <c r="A24" s="13" t="s">
        <v>4902</v>
      </c>
      <c r="B24" s="14" t="s">
        <v>1692</v>
      </c>
      <c r="C24" s="14" t="s">
        <v>9</v>
      </c>
      <c r="D24" s="19">
        <f>COUNTIFS(SSC_Ontology_Ver0.5!$A$1347:$A$1422,SUBSTITUTE($A24,"{P}",D$17),SSC_Ontology_Ver0.5!$C$1347:$C$1422,$B24,SSC_Ontology_Ver0.5!$D$1347:$D$1422,SUBSTITUTE($C24,"{P}",D$17))</f>
        <v>1</v>
      </c>
      <c r="E24" s="19">
        <f>COUNTIFS(SSC_Ontology_Ver0.5!$A$1347:$A$1422,SUBSTITUTE($A24,"{P}",E$17),SSC_Ontology_Ver0.5!$C$1347:$C$1422,$B24,SSC_Ontology_Ver0.5!$D$1347:$D$1422,SUBSTITUTE($C24,"{P}",E$17))</f>
        <v>1</v>
      </c>
      <c r="F24" s="19">
        <f>COUNTIFS(SSC_Ontology_Ver0.5!$A$1347:$A$1422,SUBSTITUTE($A24,"{P}",F$17),SSC_Ontology_Ver0.5!$C$1347:$C$1422,$B24,SSC_Ontology_Ver0.5!$D$1347:$D$1422,SUBSTITUTE($C24,"{P}",F$17))</f>
        <v>1</v>
      </c>
      <c r="G24" s="19">
        <f>COUNTIFS(SSC_Ontology_Ver0.5!$A$1347:$A$1422,SUBSTITUTE($A24,"{P}",G$17),SSC_Ontology_Ver0.5!$C$1347:$C$1422,$B24,SSC_Ontology_Ver0.5!$D$1347:$D$1422,SUBSTITUTE($C24,"{P}",G$17))</f>
        <v>1</v>
      </c>
      <c r="H24" s="15" t="str">
        <f>IF(AND(MIN(D24:G24)=MAX(D24:G24),MAX(D24:G24)=1),"OK",IF(MIN(D24:G24)=0,"Not on all pumps","Duplicated"))</f>
        <v>OK</v>
      </c>
    </row>
    <row r="25" spans="1:8" x14ac:dyDescent="0.3">
      <c r="A25" s="13" t="s">
        <v>4902</v>
      </c>
      <c r="B25" s="14" t="s">
        <v>16</v>
      </c>
      <c r="C25" s="14" t="s">
        <v>587</v>
      </c>
      <c r="D25" s="19">
        <f>COUNTIFS(SSC_Ontology_Ver0.5!$A$1347:$A$1422,SUBSTITUTE($A25,"{P}",D$17),SSC_Ontology_Ver0.5!$C$1347:$C$1422,$B25,SSC_Ontology_Ver0.5!$D$1347:$D$1422,SUBSTITUTE($C25,"{P}",D$17))</f>
        <v>1</v>
      </c>
      <c r="E25" s="19">
        <f>COUNTIFS(SSC_Ontology_Ver0.5!$A$1347:$A$1422,SUBSTITUTE($A25,"{P}",E$17),SSC_Ontology_Ver0.5!$C$1347:$C$1422,$B25,SSC_Ontology_Ver0.5!$D$1347:$D$1422,SUBSTITUTE($C25,"{P}",E$17))</f>
        <v>1</v>
      </c>
      <c r="F25" s="19">
        <f>COUNTIFS(SSC_Ontology_Ver0.5!$A$1347:$A$1422,SUBSTITUTE($A25,"{P}",F$17),SSC_Ontology_Ver0.5!$C$1347:$C$1422,$B25,SSC_Ontology_Ver0.5!$D$1347:$D$1422,SUBSTITUTE($C25,"{P}",F$17))</f>
        <v>1</v>
      </c>
      <c r="G25" s="19">
        <f>COUNTIFS(SSC_Ontology_Ver0.5!$A$1347:$A$1422,SUBSTITUTE($A25,"{P}",G$17),SSC_Ontology_Ver0.5!$C$1347:$C$1422,$B25,SSC_Ontology_Ver0.5!$D$1347:$D$1422,SUBSTITUTE($C25,"{P}",G$17))</f>
        <v>1</v>
      </c>
      <c r="H25" s="15" t="str">
        <f>IF(AND(MIN(D25:G25)=MAX(D25:G25),MAX(D25:G25)=1),"OK",IF(MIN(D25:G25)=0,"Not on all pumps","Duplicated"))</f>
        <v>OK</v>
      </c>
    </row>
    <row r="26" spans="1:8" x14ac:dyDescent="0.3">
      <c r="A26" s="13" t="s">
        <v>4902</v>
      </c>
      <c r="B26" s="14" t="s">
        <v>11</v>
      </c>
      <c r="C26" s="14" t="s">
        <v>12</v>
      </c>
      <c r="D26" s="19">
        <f>COUNTIFS(SSC_Ontology_Ver0.5!$A$1347:$A$1422,SUBSTITUTE($A26,"{P}",D$17),SSC_Ontology_Ver0.5!$C$1347:$C$1422,$B26,SSC_Ontology_Ver0.5!$D$1347:$D$1422,SUBSTITUTE($C26,"{P}",D$17))</f>
        <v>1</v>
      </c>
      <c r="E26" s="19">
        <f>COUNTIFS(SSC_Ontology_Ver0.5!$A$1347:$A$1422,SUBSTITUTE($A26,"{P}",E$17),SSC_Ontology_Ver0.5!$C$1347:$C$1422,$B26,SSC_Ontology_Ver0.5!$D$1347:$D$1422,SUBSTITUTE($C26,"{P}",E$17))</f>
        <v>1</v>
      </c>
      <c r="F26" s="19">
        <f>COUNTIFS(SSC_Ontology_Ver0.5!$A$1347:$A$1422,SUBSTITUTE($A26,"{P}",F$17),SSC_Ontology_Ver0.5!$C$1347:$C$1422,$B26,SSC_Ontology_Ver0.5!$D$1347:$D$1422,SUBSTITUTE($C26,"{P}",F$17))</f>
        <v>1</v>
      </c>
      <c r="G26" s="19">
        <f>COUNTIFS(SSC_Ontology_Ver0.5!$A$1347:$A$1422,SUBSTITUTE($A26,"{P}",G$17),SSC_Ontology_Ver0.5!$C$1347:$C$1422,$B26,SSC_Ontology_Ver0.5!$D$1347:$D$1422,SUBSTITUTE($C26,"{P}",G$17))</f>
        <v>1</v>
      </c>
      <c r="H26" s="15" t="str">
        <f>IF(AND(MIN(D26:G26)=MAX(D26:G26),MAX(D26:G26)=1),"OK",IF(MIN(D26:G26)=0,"Not on all pumps","Duplicated"))</f>
        <v>OK</v>
      </c>
    </row>
    <row r="27" spans="1:8" x14ac:dyDescent="0.3">
      <c r="A27" s="13" t="s">
        <v>4904</v>
      </c>
      <c r="B27" s="14" t="s">
        <v>308</v>
      </c>
      <c r="C27" s="14" t="s">
        <v>4908</v>
      </c>
      <c r="D27" s="19">
        <f>COUNTIFS(SSC_Ontology_Ver0.5!$A$1347:$A$1422,SUBSTITUTE($A27,"{P}",D$17),SSC_Ontology_Ver0.5!$C$1347:$C$1422,$B27,SSC_Ontology_Ver0.5!$D$1347:$D$1422,SUBSTITUTE($C27,"{P}",D$17))</f>
        <v>1</v>
      </c>
      <c r="E27" s="19">
        <f>COUNTIFS(SSC_Ontology_Ver0.5!$A$1347:$A$1422,SUBSTITUTE($A27,"{P}",E$17),SSC_Ontology_Ver0.5!$C$1347:$C$1422,$B27,SSC_Ontology_Ver0.5!$D$1347:$D$1422,SUBSTITUTE($C27,"{P}",E$17))</f>
        <v>1</v>
      </c>
      <c r="F27" s="19">
        <f>COUNTIFS(SSC_Ontology_Ver0.5!$A$1347:$A$1422,SUBSTITUTE($A27,"{P}",F$17),SSC_Ontology_Ver0.5!$C$1347:$C$1422,$B27,SSC_Ontology_Ver0.5!$D$1347:$D$1422,SUBSTITUTE($C27,"{P}",F$17))</f>
        <v>1</v>
      </c>
      <c r="G27" s="19">
        <f>COUNTIFS(SSC_Ontology_Ver0.5!$A$1347:$A$1422,SUBSTITUTE($A27,"{P}",G$17),SSC_Ontology_Ver0.5!$C$1347:$C$1422,$B27,SSC_Ontology_Ver0.5!$D$1347:$D$1422,SUBSTITUTE($C27,"{P}",G$17))</f>
        <v>1</v>
      </c>
      <c r="H27" s="15" t="str">
        <f>IF(AND(MIN(D27:G27)=MAX(D27:G27),MAX(D27:G27)=1),"OK",IF(MIN(D27:G27)=0,"Not on all pumps","Duplicated"))</f>
        <v>OK</v>
      </c>
    </row>
    <row r="28" spans="1:8" x14ac:dyDescent="0.3">
      <c r="A28" s="13" t="s">
        <v>4903</v>
      </c>
      <c r="B28" s="14" t="s">
        <v>308</v>
      </c>
      <c r="C28" s="14" t="s">
        <v>4909</v>
      </c>
      <c r="D28" s="19">
        <f>COUNTIFS(SSC_Ontology_Ver0.5!$A$1347:$A$1422,SUBSTITUTE($A28,"{P}",D$17),SSC_Ontology_Ver0.5!$C$1347:$C$1422,$B28,SSC_Ontology_Ver0.5!$D$1347:$D$1422,SUBSTITUTE($C28,"{P}",D$17))</f>
        <v>1</v>
      </c>
      <c r="E28" s="19">
        <f>COUNTIFS(SSC_Ontology_Ver0.5!$A$1347:$A$1422,SUBSTITUTE($A28,"{P}",E$17),SSC_Ontology_Ver0.5!$C$1347:$C$1422,$B28,SSC_Ontology_Ver0.5!$D$1347:$D$1422,SUBSTITUTE($C28,"{P}",E$17))</f>
        <v>1</v>
      </c>
      <c r="F28" s="19">
        <f>COUNTIFS(SSC_Ontology_Ver0.5!$A$1347:$A$1422,SUBSTITUTE($A28,"{P}",F$17),SSC_Ontology_Ver0.5!$C$1347:$C$1422,$B28,SSC_Ontology_Ver0.5!$D$1347:$D$1422,SUBSTITUTE($C28,"{P}",F$17))</f>
        <v>1</v>
      </c>
      <c r="G28" s="19">
        <f>COUNTIFS(SSC_Ontology_Ver0.5!$A$1347:$A$1422,SUBSTITUTE($A28,"{P}",G$17),SSC_Ontology_Ver0.5!$C$1347:$C$1422,$B28,SSC_Ontology_Ver0.5!$D$1347:$D$1422,SUBSTITUTE($C28,"{P}",G$17))</f>
        <v>1</v>
      </c>
      <c r="H28" s="15" t="str">
        <f>IF(AND(MIN(D28:G28)=MAX(D28:G28),MAX(D28:G28)=1),"OK",IF(MIN(D28:G28)=0,"Not on all pumps","Duplicated"))</f>
        <v>OK</v>
      </c>
    </row>
    <row r="29" spans="1:8" x14ac:dyDescent="0.3">
      <c r="A29" s="13" t="s">
        <v>4903</v>
      </c>
      <c r="B29" s="14" t="s">
        <v>308</v>
      </c>
      <c r="C29" s="14" t="s">
        <v>4910</v>
      </c>
      <c r="D29" s="19">
        <f>COUNTIFS(SSC_Ontology_Ver0.5!$A$1347:$A$1422,SUBSTITUTE($A29,"{P}",D$17),SSC_Ontology_Ver0.5!$C$1347:$C$1422,$B29,SSC_Ontology_Ver0.5!$D$1347:$D$1422,SUBSTITUTE($C29,"{P}",D$17))</f>
        <v>1</v>
      </c>
      <c r="E29" s="19">
        <f>COUNTIFS(SSC_Ontology_Ver0.5!$A$1347:$A$1422,SUBSTITUTE($A29,"{P}",E$17),SSC_Ontology_Ver0.5!$C$1347:$C$1422,$B29,SSC_Ontology_Ver0.5!$D$1347:$D$1422,SUBSTITUTE($C29,"{P}",E$17))</f>
        <v>1</v>
      </c>
      <c r="F29" s="19">
        <f>COUNTIFS(SSC_Ontology_Ver0.5!$A$1347:$A$1422,SUBSTITUTE($A29,"{P}",F$17),SSC_Ontology_Ver0.5!$C$1347:$C$1422,$B29,SSC_Ontology_Ver0.5!$D$1347:$D$1422,SUBSTITUTE($C29,"{P}",F$17))</f>
        <v>1</v>
      </c>
      <c r="G29" s="19">
        <f>COUNTIFS(SSC_Ontology_Ver0.5!$A$1347:$A$1422,SUBSTITUTE($A29,"{P}",G$17),SSC_Ontology_Ver0.5!$C$1347:$C$1422,$B29,SSC_Ontology_Ver0.5!$D$1347:$D$1422,SUBSTITUTE($C29,"{P}",G$17))</f>
        <v>1</v>
      </c>
      <c r="H29" s="15" t="str">
        <f>IF(AND(MIN(D29:G29)=MAX(D29:G29),MAX(D29:G29)=1),"OK",IF(MIN(D29:G29)=0,"Not on all pumps","Duplicated"))</f>
        <v>OK</v>
      </c>
    </row>
    <row r="30" spans="1:8" x14ac:dyDescent="0.3">
      <c r="A30" s="13" t="s">
        <v>4908</v>
      </c>
      <c r="B30" s="14" t="s">
        <v>11</v>
      </c>
      <c r="C30" s="14" t="s">
        <v>12</v>
      </c>
      <c r="D30" s="19">
        <f>COUNTIFS(SSC_Ontology_Ver0.5!$A$1347:$A$1422,SUBSTITUTE($A30,"{P}",D$17),SSC_Ontology_Ver0.5!$C$1347:$C$1422,$B30,SSC_Ontology_Ver0.5!$D$1347:$D$1422,SUBSTITUTE($C30,"{P}",D$17))</f>
        <v>1</v>
      </c>
      <c r="E30" s="19">
        <f>COUNTIFS(SSC_Ontology_Ver0.5!$A$1347:$A$1422,SUBSTITUTE($A30,"{P}",E$17),SSC_Ontology_Ver0.5!$C$1347:$C$1422,$B30,SSC_Ontology_Ver0.5!$D$1347:$D$1422,SUBSTITUTE($C30,"{P}",E$17))</f>
        <v>1</v>
      </c>
      <c r="F30" s="19">
        <f>COUNTIFS(SSC_Ontology_Ver0.5!$A$1347:$A$1422,SUBSTITUTE($A30,"{P}",F$17),SSC_Ontology_Ver0.5!$C$1347:$C$1422,$B30,SSC_Ontology_Ver0.5!$D$1347:$D$1422,SUBSTITUTE($C30,"{P}",F$17))</f>
        <v>1</v>
      </c>
      <c r="G30" s="19">
        <f>COUNTIFS(SSC_Ontology_Ver0.5!$A$1347:$A$1422,SUBSTITUTE($A30,"{P}",G$17),SSC_Ontology_Ver0.5!$C$1347:$C$1422,$B30,SSC_Ontology_Ver0.5!$D$1347:$D$1422,SUBSTITUTE($C30,"{P}",G$17))</f>
        <v>1</v>
      </c>
      <c r="H30" s="15" t="str">
        <f>IF(AND(MIN(D30:G30)=MAX(D30:G30),MAX(D30:G30)=1),"OK",IF(MIN(D30:G30)=0,"Not on all pumps","Duplicated"))</f>
        <v>OK</v>
      </c>
    </row>
    <row r="31" spans="1:8" x14ac:dyDescent="0.3">
      <c r="A31" s="13" t="s">
        <v>4906</v>
      </c>
      <c r="B31" s="14" t="s">
        <v>11</v>
      </c>
      <c r="C31" s="14" t="s">
        <v>12</v>
      </c>
      <c r="D31" s="19">
        <f>COUNTIFS(SSC_Ontology_Ver0.5!$A$1347:$A$1422,SUBSTITUTE($A31,"{P}",D$17),SSC_Ontology_Ver0.5!$C$1347:$C$1422,$B31,SSC_Ontology_Ver0.5!$D$1347:$D$1422,SUBSTITUTE($C31,"{P}",D$17))</f>
        <v>1</v>
      </c>
      <c r="E31" s="19">
        <f>COUNTIFS(SSC_Ontology_Ver0.5!$A$1347:$A$1422,SUBSTITUTE($A31,"{P}",E$17),SSC_Ontology_Ver0.5!$C$1347:$C$1422,$B31,SSC_Ontology_Ver0.5!$D$1347:$D$1422,SUBSTITUTE($C31,"{P}",E$17))</f>
        <v>1</v>
      </c>
      <c r="F31" s="19">
        <f>COUNTIFS(SSC_Ontology_Ver0.5!$A$1347:$A$1422,SUBSTITUTE($A31,"{P}",F$17),SSC_Ontology_Ver0.5!$C$1347:$C$1422,$B31,SSC_Ontology_Ver0.5!$D$1347:$D$1422,SUBSTITUTE($C31,"{P}",F$17))</f>
        <v>1</v>
      </c>
      <c r="G31" s="19">
        <f>COUNTIFS(SSC_Ontology_Ver0.5!$A$1347:$A$1422,SUBSTITUTE($A31,"{P}",G$17),SSC_Ontology_Ver0.5!$C$1347:$C$1422,$B31,SSC_Ontology_Ver0.5!$D$1347:$D$1422,SUBSTITUTE($C31,"{P}",G$17))</f>
        <v>1</v>
      </c>
      <c r="H31" s="15" t="str">
        <f>IF(AND(MIN(D31:G31)=MAX(D31:G31),MAX(D31:G31)=1),"OK",IF(MIN(D31:G31)=0,"Not on all pumps","Duplicated"))</f>
        <v>OK</v>
      </c>
    </row>
    <row r="32" spans="1:8" x14ac:dyDescent="0.3">
      <c r="A32" s="13" t="s">
        <v>4909</v>
      </c>
      <c r="B32" s="14" t="s">
        <v>11</v>
      </c>
      <c r="C32" s="14" t="s">
        <v>12</v>
      </c>
      <c r="D32" s="19">
        <f>COUNTIFS(SSC_Ontology_Ver0.5!$A$1347:$A$1422,SUBSTITUTE($A32,"{P}",D$17),SSC_Ontology_Ver0.5!$C$1347:$C$1422,$B32,SSC_Ontology_Ver0.5!$D$1347:$D$1422,SUBSTITUTE($C32,"{P}",D$17))</f>
        <v>1</v>
      </c>
      <c r="E32" s="19">
        <f>COUNTIFS(SSC_Ontology_Ver0.5!$A$1347:$A$1422,SUBSTITUTE($A32,"{P}",E$17),SSC_Ontology_Ver0.5!$C$1347:$C$1422,$B32,SSC_Ontology_Ver0.5!$D$1347:$D$1422,SUBSTITUTE($C32,"{P}",E$17))</f>
        <v>1</v>
      </c>
      <c r="F32" s="19">
        <f>COUNTIFS(SSC_Ontology_Ver0.5!$A$1347:$A$1422,SUBSTITUTE($A32,"{P}",F$17),SSC_Ontology_Ver0.5!$C$1347:$C$1422,$B32,SSC_Ontology_Ver0.5!$D$1347:$D$1422,SUBSTITUTE($C32,"{P}",F$17))</f>
        <v>1</v>
      </c>
      <c r="G32" s="19">
        <f>COUNTIFS(SSC_Ontology_Ver0.5!$A$1347:$A$1422,SUBSTITUTE($A32,"{P}",G$17),SSC_Ontology_Ver0.5!$C$1347:$C$1422,$B32,SSC_Ontology_Ver0.5!$D$1347:$D$1422,SUBSTITUTE($C32,"{P}",G$17))</f>
        <v>1</v>
      </c>
      <c r="H32" s="15" t="str">
        <f>IF(AND(MIN(D32:G32)=MAX(D32:G32),MAX(D32:G32)=1),"OK",IF(MIN(D32:G32)=0,"Not on all pumps","Duplicated"))</f>
        <v>OK</v>
      </c>
    </row>
    <row r="33" spans="1:8" x14ac:dyDescent="0.3">
      <c r="A33" s="13" t="s">
        <v>4910</v>
      </c>
      <c r="B33" s="14" t="s">
        <v>11</v>
      </c>
      <c r="C33" s="14" t="s">
        <v>12</v>
      </c>
      <c r="D33" s="19">
        <f>COUNTIFS(SSC_Ontology_Ver0.5!$A$1347:$A$1422,SUBSTITUTE($A33,"{P}",D$17),SSC_Ontology_Ver0.5!$C$1347:$C$1422,$B33,SSC_Ontology_Ver0.5!$D$1347:$D$1422,SUBSTITUTE($C33,"{P}",D$17))</f>
        <v>1</v>
      </c>
      <c r="E33" s="19">
        <f>COUNTIFS(SSC_Ontology_Ver0.5!$A$1347:$A$1422,SUBSTITUTE($A33,"{P}",E$17),SSC_Ontology_Ver0.5!$C$1347:$C$1422,$B33,SSC_Ontology_Ver0.5!$D$1347:$D$1422,SUBSTITUTE($C33,"{P}",E$17))</f>
        <v>1</v>
      </c>
      <c r="F33" s="19">
        <f>COUNTIFS(SSC_Ontology_Ver0.5!$A$1347:$A$1422,SUBSTITUTE($A33,"{P}",F$17),SSC_Ontology_Ver0.5!$C$1347:$C$1422,$B33,SSC_Ontology_Ver0.5!$D$1347:$D$1422,SUBSTITUTE($C33,"{P}",F$17))</f>
        <v>1</v>
      </c>
      <c r="G33" s="19">
        <f>COUNTIFS(SSC_Ontology_Ver0.5!$A$1347:$A$1422,SUBSTITUTE($A33,"{P}",G$17),SSC_Ontology_Ver0.5!$C$1347:$C$1422,$B33,SSC_Ontology_Ver0.5!$D$1347:$D$1422,SUBSTITUTE($C33,"{P}",G$17))</f>
        <v>1</v>
      </c>
      <c r="H33" s="15" t="str">
        <f>IF(AND(MIN(D33:G33)=MAX(D33:G33),MAX(D33:G33)=1),"OK",IF(MIN(D33:G33)=0,"Not on all pumps","Duplicated"))</f>
        <v>OK</v>
      </c>
    </row>
    <row r="34" spans="1:8" x14ac:dyDescent="0.3">
      <c r="A34" s="13" t="s">
        <v>4905</v>
      </c>
      <c r="B34" s="14" t="s">
        <v>308</v>
      </c>
      <c r="C34" s="14" t="s">
        <v>4911</v>
      </c>
      <c r="D34" s="19">
        <f>COUNTIFS(SSC_Ontology_Ver0.5!$A$1347:$A$1422,SUBSTITUTE($A34,"{P}",D$17),SSC_Ontology_Ver0.5!$C$1347:$C$1422,$B34,SSC_Ontology_Ver0.5!$D$1347:$D$1422,SUBSTITUTE($C34,"{P}",D$17))</f>
        <v>1</v>
      </c>
      <c r="E34" s="19">
        <f>COUNTIFS(SSC_Ontology_Ver0.5!$A$1347:$A$1422,SUBSTITUTE($A34,"{P}",E$17),SSC_Ontology_Ver0.5!$C$1347:$C$1422,$B34,SSC_Ontology_Ver0.5!$D$1347:$D$1422,SUBSTITUTE($C34,"{P}",E$17))</f>
        <v>1</v>
      </c>
      <c r="F34" s="19">
        <f>COUNTIFS(SSC_Ontology_Ver0.5!$A$1347:$A$1422,SUBSTITUTE($A34,"{P}",F$17),SSC_Ontology_Ver0.5!$C$1347:$C$1422,$B34,SSC_Ontology_Ver0.5!$D$1347:$D$1422,SUBSTITUTE($C34,"{P}",F$17))</f>
        <v>1</v>
      </c>
      <c r="G34" s="19">
        <f>COUNTIFS(SSC_Ontology_Ver0.5!$A$1347:$A$1422,SUBSTITUTE($A34,"{P}",G$17),SSC_Ontology_Ver0.5!$C$1347:$C$1422,$B34,SSC_Ontology_Ver0.5!$D$1347:$D$1422,SUBSTITUTE($C34,"{P}",G$17))</f>
        <v>1</v>
      </c>
      <c r="H34" s="15" t="str">
        <f>IF(AND(MIN(D34:G34)=MAX(D34:G34),MAX(D34:G34)=1),"OK",IF(MIN(D34:G34)=0,"Not on all pumps","Duplicated"))</f>
        <v>OK</v>
      </c>
    </row>
    <row r="35" spans="1:8" x14ac:dyDescent="0.3">
      <c r="A35" s="13" t="s">
        <v>4911</v>
      </c>
      <c r="B35" s="14" t="s">
        <v>11</v>
      </c>
      <c r="C35" s="14" t="s">
        <v>12</v>
      </c>
      <c r="D35" s="19">
        <f>COUNTIFS(SSC_Ontology_Ver0.5!$A$1347:$A$1422,SUBSTITUTE($A35,"{P}",D$17),SSC_Ontology_Ver0.5!$C$1347:$C$1422,$B35,SSC_Ontology_Ver0.5!$D$1347:$D$1422,SUBSTITUTE($C35,"{P}",D$17))</f>
        <v>1</v>
      </c>
      <c r="E35" s="19">
        <f>COUNTIFS(SSC_Ontology_Ver0.5!$A$1347:$A$1422,SUBSTITUTE($A35,"{P}",E$17),SSC_Ontology_Ver0.5!$C$1347:$C$1422,$B35,SSC_Ontology_Ver0.5!$D$1347:$D$1422,SUBSTITUTE($C35,"{P}",E$17))</f>
        <v>1</v>
      </c>
      <c r="F35" s="19">
        <f>COUNTIFS(SSC_Ontology_Ver0.5!$A$1347:$A$1422,SUBSTITUTE($A35,"{P}",F$17),SSC_Ontology_Ver0.5!$C$1347:$C$1422,$B35,SSC_Ontology_Ver0.5!$D$1347:$D$1422,SUBSTITUTE($C35,"{P}",F$17))</f>
        <v>1</v>
      </c>
      <c r="G35" s="19">
        <f>COUNTIFS(SSC_Ontology_Ver0.5!$A$1347:$A$1422,SUBSTITUTE($A35,"{P}",G$17),SSC_Ontology_Ver0.5!$C$1347:$C$1422,$B35,SSC_Ontology_Ver0.5!$D$1347:$D$1422,SUBSTITUTE($C35,"{P}",G$17))</f>
        <v>1</v>
      </c>
      <c r="H35" s="15" t="str">
        <f>IF(AND(MIN(D35:G35)=MAX(D35:G35),MAX(D35:G35)=1),"OK",IF(MIN(D35:G35)=0,"Not on all pumps","Duplicated"))</f>
        <v>OK</v>
      </c>
    </row>
    <row r="36" spans="1:8" x14ac:dyDescent="0.3">
      <c r="A36" s="16" t="s">
        <v>4907</v>
      </c>
      <c r="B36" s="17" t="s">
        <v>11</v>
      </c>
      <c r="C36" s="17" t="s">
        <v>12</v>
      </c>
      <c r="D36" s="20">
        <f>COUNTIFS(SSC_Ontology_Ver0.5!$A$1347:$A$1422,SUBSTITUTE($A36,"{P}",D$17),SSC_Ontology_Ver0.5!$C$1347:$C$1422,$B36,SSC_Ontology_Ver0.5!$D$1347:$D$1422,SUBSTITUTE($C36,"{P}",D$17))</f>
        <v>1</v>
      </c>
      <c r="E36" s="20">
        <f>COUNTIFS(SSC_Ontology_Ver0.5!$A$1347:$A$1422,SUBSTITUTE($A36,"{P}",E$17),SSC_Ontology_Ver0.5!$C$1347:$C$1422,$B36,SSC_Ontology_Ver0.5!$D$1347:$D$1422,SUBSTITUTE($C36,"{P}",E$17))</f>
        <v>1</v>
      </c>
      <c r="F36" s="20">
        <f>COUNTIFS(SSC_Ontology_Ver0.5!$A$1347:$A$1422,SUBSTITUTE($A36,"{P}",F$17),SSC_Ontology_Ver0.5!$C$1347:$C$1422,$B36,SSC_Ontology_Ver0.5!$D$1347:$D$1422,SUBSTITUTE($C36,"{P}",F$17))</f>
        <v>1</v>
      </c>
      <c r="G36" s="20">
        <f>COUNTIFS(SSC_Ontology_Ver0.5!$A$1347:$A$1422,SUBSTITUTE($A36,"{P}",G$17),SSC_Ontology_Ver0.5!$C$1347:$C$1422,$B36,SSC_Ontology_Ver0.5!$D$1347:$D$1422,SUBSTITUTE($C36,"{P}",G$17))</f>
        <v>1</v>
      </c>
      <c r="H36" s="18" t="str">
        <f>IF(AND(MIN(D36:G36)=MAX(D36:G36),MAX(D36:G36)=1),"OK",IF(MIN(D36:G36)=0,"Not on all pumps","Duplicated"))</f>
        <v>OK</v>
      </c>
    </row>
  </sheetData>
  <conditionalFormatting sqref="A18:H36">
    <cfRule type="expression" dxfId="8" priority="1">
      <formula>$H18&lt;&gt;"OK"</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04926-0B00-4C86-BA79-8992A33D1C62}">
  <dimension ref="A1:I61"/>
  <sheetViews>
    <sheetView workbookViewId="0">
      <pane ySplit="29" topLeftCell="A30" activePane="bottomLeft" state="frozen"/>
      <selection pane="bottomLeft"/>
    </sheetView>
  </sheetViews>
  <sheetFormatPr defaultRowHeight="14.4" x14ac:dyDescent="0.3"/>
  <cols>
    <col min="1" max="3" width="53.6640625" customWidth="1"/>
    <col min="4" max="8" width="11.44140625" customWidth="1"/>
    <col min="9" max="9" width="29.6640625" customWidth="1"/>
  </cols>
  <sheetData>
    <row r="1" spans="1:7" ht="18" x14ac:dyDescent="0.35">
      <c r="A1" s="7" t="s">
        <v>4916</v>
      </c>
    </row>
    <row r="2" spans="1:7" x14ac:dyDescent="0.3">
      <c r="A2" s="8" t="s">
        <v>4917</v>
      </c>
    </row>
    <row r="4" spans="1:7" x14ac:dyDescent="0.3">
      <c r="A4" s="6" t="s">
        <v>4918</v>
      </c>
    </row>
    <row r="5" spans="1:7" x14ac:dyDescent="0.3">
      <c r="A5" s="10" t="s">
        <v>4733</v>
      </c>
      <c r="B5" s="11" t="s">
        <v>4919</v>
      </c>
      <c r="C5" s="11" t="s">
        <v>4920</v>
      </c>
      <c r="D5" s="11" t="s">
        <v>4921</v>
      </c>
      <c r="E5" s="11" t="s">
        <v>4922</v>
      </c>
      <c r="F5" s="11" t="s">
        <v>4923</v>
      </c>
      <c r="G5" s="12" t="s">
        <v>4894</v>
      </c>
    </row>
    <row r="6" spans="1:7" x14ac:dyDescent="0.3">
      <c r="A6" s="13" t="s">
        <v>4739</v>
      </c>
      <c r="B6" s="19">
        <f>COUNTIF(SSC_Ontology_Ver0.5!$A$1423:$A$1572,"*"&amp;"HE01"&amp;"*")</f>
        <v>32</v>
      </c>
      <c r="C6" s="19">
        <f>COUNTIF(SSC_Ontology_Ver0.5!$A$1423:$A$1572,"*"&amp;"HE02"&amp;"*")</f>
        <v>32</v>
      </c>
      <c r="D6" s="19">
        <f>COUNTIF(SSC_Ontology_Ver0.5!$A$1423:$A$1572,"*"&amp;"HE03"&amp;"*")</f>
        <v>32</v>
      </c>
      <c r="E6" s="19">
        <f>COUNTIF(SSC_Ontology_Ver0.5!$A$1423:$A$1572,"*"&amp;"HE04"&amp;"*")</f>
        <v>32</v>
      </c>
      <c r="F6" s="19">
        <f>COUNTIF(SSC_Ontology_Ver0.5!$A$1423:$A$1572,"*"&amp;"HE05"&amp;"*")</f>
        <v>22</v>
      </c>
      <c r="G6" s="25" t="str">
        <f>IF(MIN(B6:F6)=MAX(B6:F6),"YES","NO")</f>
        <v>NO</v>
      </c>
    </row>
    <row r="7" spans="1:7" x14ac:dyDescent="0.3">
      <c r="A7" s="16" t="s">
        <v>4924</v>
      </c>
      <c r="B7" s="20">
        <f>0</f>
        <v>0</v>
      </c>
      <c r="C7" s="20">
        <f>C6-$B$6</f>
        <v>0</v>
      </c>
      <c r="D7" s="20">
        <f>D6-$B$6</f>
        <v>0</v>
      </c>
      <c r="E7" s="20">
        <f>E6-$B$6</f>
        <v>0</v>
      </c>
      <c r="F7" s="20">
        <f>F6-$B$6</f>
        <v>-10</v>
      </c>
      <c r="G7" s="26"/>
    </row>
    <row r="9" spans="1:7" x14ac:dyDescent="0.3">
      <c r="A9" s="6" t="s">
        <v>4845</v>
      </c>
    </row>
    <row r="10" spans="1:7" x14ac:dyDescent="0.3">
      <c r="A10" t="s">
        <v>4925</v>
      </c>
    </row>
    <row r="11" spans="1:7" x14ac:dyDescent="0.3">
      <c r="A11" t="s">
        <v>4926</v>
      </c>
    </row>
    <row r="12" spans="1:7" x14ac:dyDescent="0.3">
      <c r="A12" t="s">
        <v>4927</v>
      </c>
    </row>
    <row r="13" spans="1:7" x14ac:dyDescent="0.3">
      <c r="A13" t="s">
        <v>4928</v>
      </c>
    </row>
    <row r="14" spans="1:7" x14ac:dyDescent="0.3">
      <c r="A14" t="s">
        <v>4929</v>
      </c>
    </row>
    <row r="16" spans="1:7" x14ac:dyDescent="0.3">
      <c r="A16" s="6" t="s">
        <v>4930</v>
      </c>
    </row>
    <row r="17" spans="1:9" x14ac:dyDescent="0.3">
      <c r="A17" s="27" t="s">
        <v>4741</v>
      </c>
      <c r="B17" s="28" t="s">
        <v>4742</v>
      </c>
      <c r="C17" s="28" t="s">
        <v>4743</v>
      </c>
      <c r="D17" s="28" t="s">
        <v>4919</v>
      </c>
      <c r="E17" s="28" t="s">
        <v>4920</v>
      </c>
      <c r="F17" s="28" t="s">
        <v>4921</v>
      </c>
      <c r="G17" s="28" t="s">
        <v>4922</v>
      </c>
      <c r="H17" s="28" t="s">
        <v>4923</v>
      </c>
      <c r="I17" s="29" t="s">
        <v>4744</v>
      </c>
    </row>
    <row r="18" spans="1:9" x14ac:dyDescent="0.3">
      <c r="A18" s="13" t="s">
        <v>4931</v>
      </c>
      <c r="B18" s="14" t="s">
        <v>308</v>
      </c>
      <c r="C18" s="14" t="s">
        <v>4932</v>
      </c>
      <c r="D18" s="19">
        <f>COUNTIFS(SSC_Ontology_Ver0.5!$A$1423:$A$1572,SUBSTITUTE($A18,"{H}",D$17),SSC_Ontology_Ver0.5!$C$1423:$C$1572,$B18,SSC_Ontology_Ver0.5!$D$1423:$D$1572,SUBSTITUTE($C18,"{H}",D$17))</f>
        <v>1</v>
      </c>
      <c r="E18" s="19">
        <f>COUNTIFS(SSC_Ontology_Ver0.5!$A$1423:$A$1572,SUBSTITUTE($A18,"{H}",E$17),SSC_Ontology_Ver0.5!$C$1423:$C$1572,$B18,SSC_Ontology_Ver0.5!$D$1423:$D$1572,SUBSTITUTE($C18,"{H}",E$17))</f>
        <v>1</v>
      </c>
      <c r="F18" s="19">
        <f>COUNTIFS(SSC_Ontology_Ver0.5!$A$1423:$A$1572,SUBSTITUTE($A18,"{H}",F$17),SSC_Ontology_Ver0.5!$C$1423:$C$1572,$B18,SSC_Ontology_Ver0.5!$D$1423:$D$1572,SUBSTITUTE($C18,"{H}",F$17))</f>
        <v>1</v>
      </c>
      <c r="G18" s="19">
        <f>COUNTIFS(SSC_Ontology_Ver0.5!$A$1423:$A$1572,SUBSTITUTE($A18,"{H}",G$17),SSC_Ontology_Ver0.5!$C$1423:$C$1572,$B18,SSC_Ontology_Ver0.5!$D$1423:$D$1572,SUBSTITUTE($C18,"{H}",G$17))</f>
        <v>1</v>
      </c>
      <c r="H18" s="19">
        <f>COUNTIFS(SSC_Ontology_Ver0.5!$A$1423:$A$1572,SUBSTITUTE($A18,"{H}",H$17),SSC_Ontology_Ver0.5!$C$1423:$C$1572,$B18,SSC_Ontology_Ver0.5!$D$1423:$D$1572,SUBSTITUTE($C18,"{H}",H$17))</f>
        <v>0</v>
      </c>
      <c r="I18" s="15" t="s">
        <v>4937</v>
      </c>
    </row>
    <row r="19" spans="1:9" x14ac:dyDescent="0.3">
      <c r="A19" s="13" t="s">
        <v>4931</v>
      </c>
      <c r="B19" s="14" t="s">
        <v>308</v>
      </c>
      <c r="C19" s="14" t="s">
        <v>4933</v>
      </c>
      <c r="D19" s="19">
        <f>COUNTIFS(SSC_Ontology_Ver0.5!$A$1423:$A$1572,SUBSTITUTE($A19,"{H}",D$17),SSC_Ontology_Ver0.5!$C$1423:$C$1572,$B19,SSC_Ontology_Ver0.5!$D$1423:$D$1572,SUBSTITUTE($C19,"{H}",D$17))</f>
        <v>1</v>
      </c>
      <c r="E19" s="19">
        <f>COUNTIFS(SSC_Ontology_Ver0.5!$A$1423:$A$1572,SUBSTITUTE($A19,"{H}",E$17),SSC_Ontology_Ver0.5!$C$1423:$C$1572,$B19,SSC_Ontology_Ver0.5!$D$1423:$D$1572,SUBSTITUTE($C19,"{H}",E$17))</f>
        <v>1</v>
      </c>
      <c r="F19" s="19">
        <f>COUNTIFS(SSC_Ontology_Ver0.5!$A$1423:$A$1572,SUBSTITUTE($A19,"{H}",F$17),SSC_Ontology_Ver0.5!$C$1423:$C$1572,$B19,SSC_Ontology_Ver0.5!$D$1423:$D$1572,SUBSTITUTE($C19,"{H}",F$17))</f>
        <v>1</v>
      </c>
      <c r="G19" s="19">
        <f>COUNTIFS(SSC_Ontology_Ver0.5!$A$1423:$A$1572,SUBSTITUTE($A19,"{H}",G$17),SSC_Ontology_Ver0.5!$C$1423:$C$1572,$B19,SSC_Ontology_Ver0.5!$D$1423:$D$1572,SUBSTITUTE($C19,"{H}",G$17))</f>
        <v>1</v>
      </c>
      <c r="H19" s="19">
        <f>COUNTIFS(SSC_Ontology_Ver0.5!$A$1423:$A$1572,SUBSTITUTE($A19,"{H}",H$17),SSC_Ontology_Ver0.5!$C$1423:$C$1572,$B19,SSC_Ontology_Ver0.5!$D$1423:$D$1572,SUBSTITUTE($C19,"{H}",H$17))</f>
        <v>0</v>
      </c>
      <c r="I19" s="15" t="s">
        <v>4937</v>
      </c>
    </row>
    <row r="20" spans="1:9" x14ac:dyDescent="0.3">
      <c r="A20" s="13" t="s">
        <v>4931</v>
      </c>
      <c r="B20" s="14" t="s">
        <v>308</v>
      </c>
      <c r="C20" s="14" t="s">
        <v>4934</v>
      </c>
      <c r="D20" s="19">
        <f>COUNTIFS(SSC_Ontology_Ver0.5!$A$1423:$A$1572,SUBSTITUTE($A20,"{H}",D$17),SSC_Ontology_Ver0.5!$C$1423:$C$1572,$B20,SSC_Ontology_Ver0.5!$D$1423:$D$1572,SUBSTITUTE($C20,"{H}",D$17))</f>
        <v>1</v>
      </c>
      <c r="E20" s="19">
        <f>COUNTIFS(SSC_Ontology_Ver0.5!$A$1423:$A$1572,SUBSTITUTE($A20,"{H}",E$17),SSC_Ontology_Ver0.5!$C$1423:$C$1572,$B20,SSC_Ontology_Ver0.5!$D$1423:$D$1572,SUBSTITUTE($C20,"{H}",E$17))</f>
        <v>1</v>
      </c>
      <c r="F20" s="19">
        <f>COUNTIFS(SSC_Ontology_Ver0.5!$A$1423:$A$1572,SUBSTITUTE($A20,"{H}",F$17),SSC_Ontology_Ver0.5!$C$1423:$C$1572,$B20,SSC_Ontology_Ver0.5!$D$1423:$D$1572,SUBSTITUTE($C20,"{H}",F$17))</f>
        <v>1</v>
      </c>
      <c r="G20" s="19">
        <f>COUNTIFS(SSC_Ontology_Ver0.5!$A$1423:$A$1572,SUBSTITUTE($A20,"{H}",G$17),SSC_Ontology_Ver0.5!$C$1423:$C$1572,$B20,SSC_Ontology_Ver0.5!$D$1423:$D$1572,SUBSTITUTE($C20,"{H}",G$17))</f>
        <v>1</v>
      </c>
      <c r="H20" s="19">
        <f>COUNTIFS(SSC_Ontology_Ver0.5!$A$1423:$A$1572,SUBSTITUTE($A20,"{H}",H$17),SSC_Ontology_Ver0.5!$C$1423:$C$1572,$B20,SSC_Ontology_Ver0.5!$D$1423:$D$1572,SUBSTITUTE($C20,"{H}",H$17))</f>
        <v>0</v>
      </c>
      <c r="I20" s="15" t="s">
        <v>4937</v>
      </c>
    </row>
    <row r="21" spans="1:9" x14ac:dyDescent="0.3">
      <c r="A21" s="13" t="s">
        <v>4931</v>
      </c>
      <c r="B21" s="14" t="s">
        <v>308</v>
      </c>
      <c r="C21" s="14" t="s">
        <v>4935</v>
      </c>
      <c r="D21" s="19">
        <f>COUNTIFS(SSC_Ontology_Ver0.5!$A$1423:$A$1572,SUBSTITUTE($A21,"{H}",D$17),SSC_Ontology_Ver0.5!$C$1423:$C$1572,$B21,SSC_Ontology_Ver0.5!$D$1423:$D$1572,SUBSTITUTE($C21,"{H}",D$17))</f>
        <v>1</v>
      </c>
      <c r="E21" s="19">
        <f>COUNTIFS(SSC_Ontology_Ver0.5!$A$1423:$A$1572,SUBSTITUTE($A21,"{H}",E$17),SSC_Ontology_Ver0.5!$C$1423:$C$1572,$B21,SSC_Ontology_Ver0.5!$D$1423:$D$1572,SUBSTITUTE($C21,"{H}",E$17))</f>
        <v>1</v>
      </c>
      <c r="F21" s="19">
        <f>COUNTIFS(SSC_Ontology_Ver0.5!$A$1423:$A$1572,SUBSTITUTE($A21,"{H}",F$17),SSC_Ontology_Ver0.5!$C$1423:$C$1572,$B21,SSC_Ontology_Ver0.5!$D$1423:$D$1572,SUBSTITUTE($C21,"{H}",F$17))</f>
        <v>1</v>
      </c>
      <c r="G21" s="19">
        <f>COUNTIFS(SSC_Ontology_Ver0.5!$A$1423:$A$1572,SUBSTITUTE($A21,"{H}",G$17),SSC_Ontology_Ver0.5!$C$1423:$C$1572,$B21,SSC_Ontology_Ver0.5!$D$1423:$D$1572,SUBSTITUTE($C21,"{H}",G$17))</f>
        <v>1</v>
      </c>
      <c r="H21" s="19">
        <f>COUNTIFS(SSC_Ontology_Ver0.5!$A$1423:$A$1572,SUBSTITUTE($A21,"{H}",H$17),SSC_Ontology_Ver0.5!$C$1423:$C$1572,$B21,SSC_Ontology_Ver0.5!$D$1423:$D$1572,SUBSTITUTE($C21,"{H}",H$17))</f>
        <v>0</v>
      </c>
      <c r="I21" s="15" t="s">
        <v>4937</v>
      </c>
    </row>
    <row r="22" spans="1:9" x14ac:dyDescent="0.3">
      <c r="A22" s="13" t="s">
        <v>4931</v>
      </c>
      <c r="B22" s="14" t="s">
        <v>308</v>
      </c>
      <c r="C22" s="14" t="s">
        <v>4936</v>
      </c>
      <c r="D22" s="19">
        <f>COUNTIFS(SSC_Ontology_Ver0.5!$A$1423:$A$1572,SUBSTITUTE($A22,"{H}",D$17),SSC_Ontology_Ver0.5!$C$1423:$C$1572,$B22,SSC_Ontology_Ver0.5!$D$1423:$D$1572,SUBSTITUTE($C22,"{H}",D$17))</f>
        <v>1</v>
      </c>
      <c r="E22" s="19">
        <f>COUNTIFS(SSC_Ontology_Ver0.5!$A$1423:$A$1572,SUBSTITUTE($A22,"{H}",E$17),SSC_Ontology_Ver0.5!$C$1423:$C$1572,$B22,SSC_Ontology_Ver0.5!$D$1423:$D$1572,SUBSTITUTE($C22,"{H}",E$17))</f>
        <v>1</v>
      </c>
      <c r="F22" s="19">
        <f>COUNTIFS(SSC_Ontology_Ver0.5!$A$1423:$A$1572,SUBSTITUTE($A22,"{H}",F$17),SSC_Ontology_Ver0.5!$C$1423:$C$1572,$B22,SSC_Ontology_Ver0.5!$D$1423:$D$1572,SUBSTITUTE($C22,"{H}",F$17))</f>
        <v>1</v>
      </c>
      <c r="G22" s="19">
        <f>COUNTIFS(SSC_Ontology_Ver0.5!$A$1423:$A$1572,SUBSTITUTE($A22,"{H}",G$17),SSC_Ontology_Ver0.5!$C$1423:$C$1572,$B22,SSC_Ontology_Ver0.5!$D$1423:$D$1572,SUBSTITUTE($C22,"{H}",G$17))</f>
        <v>1</v>
      </c>
      <c r="H22" s="19">
        <f>COUNTIFS(SSC_Ontology_Ver0.5!$A$1423:$A$1572,SUBSTITUTE($A22,"{H}",H$17),SSC_Ontology_Ver0.5!$C$1423:$C$1572,$B22,SSC_Ontology_Ver0.5!$D$1423:$D$1572,SUBSTITUTE($C22,"{H}",H$17))</f>
        <v>0</v>
      </c>
      <c r="I22" s="15" t="s">
        <v>4937</v>
      </c>
    </row>
    <row r="23" spans="1:9" x14ac:dyDescent="0.3">
      <c r="A23" s="13" t="s">
        <v>4932</v>
      </c>
      <c r="B23" s="14" t="s">
        <v>11</v>
      </c>
      <c r="C23" s="14" t="s">
        <v>12</v>
      </c>
      <c r="D23" s="19">
        <f>COUNTIFS(SSC_Ontology_Ver0.5!$A$1423:$A$1572,SUBSTITUTE($A23,"{H}",D$17),SSC_Ontology_Ver0.5!$C$1423:$C$1572,$B23,SSC_Ontology_Ver0.5!$D$1423:$D$1572,SUBSTITUTE($C23,"{H}",D$17))</f>
        <v>1</v>
      </c>
      <c r="E23" s="19">
        <f>COUNTIFS(SSC_Ontology_Ver0.5!$A$1423:$A$1572,SUBSTITUTE($A23,"{H}",E$17),SSC_Ontology_Ver0.5!$C$1423:$C$1572,$B23,SSC_Ontology_Ver0.5!$D$1423:$D$1572,SUBSTITUTE($C23,"{H}",E$17))</f>
        <v>1</v>
      </c>
      <c r="F23" s="19">
        <f>COUNTIFS(SSC_Ontology_Ver0.5!$A$1423:$A$1572,SUBSTITUTE($A23,"{H}",F$17),SSC_Ontology_Ver0.5!$C$1423:$C$1572,$B23,SSC_Ontology_Ver0.5!$D$1423:$D$1572,SUBSTITUTE($C23,"{H}",F$17))</f>
        <v>1</v>
      </c>
      <c r="G23" s="19">
        <f>COUNTIFS(SSC_Ontology_Ver0.5!$A$1423:$A$1572,SUBSTITUTE($A23,"{H}",G$17),SSC_Ontology_Ver0.5!$C$1423:$C$1572,$B23,SSC_Ontology_Ver0.5!$D$1423:$D$1572,SUBSTITUTE($C23,"{H}",G$17))</f>
        <v>1</v>
      </c>
      <c r="H23" s="19">
        <f>COUNTIFS(SSC_Ontology_Ver0.5!$A$1423:$A$1572,SUBSTITUTE($A23,"{H}",H$17),SSC_Ontology_Ver0.5!$C$1423:$C$1572,$B23,SSC_Ontology_Ver0.5!$D$1423:$D$1572,SUBSTITUTE($C23,"{H}",H$17))</f>
        <v>0</v>
      </c>
      <c r="I23" s="15" t="s">
        <v>4937</v>
      </c>
    </row>
    <row r="24" spans="1:9" x14ac:dyDescent="0.3">
      <c r="A24" s="13" t="s">
        <v>4934</v>
      </c>
      <c r="B24" s="14" t="s">
        <v>11</v>
      </c>
      <c r="C24" s="14" t="s">
        <v>12</v>
      </c>
      <c r="D24" s="19">
        <f>COUNTIFS(SSC_Ontology_Ver0.5!$A$1423:$A$1572,SUBSTITUTE($A24,"{H}",D$17),SSC_Ontology_Ver0.5!$C$1423:$C$1572,$B24,SSC_Ontology_Ver0.5!$D$1423:$D$1572,SUBSTITUTE($C24,"{H}",D$17))</f>
        <v>1</v>
      </c>
      <c r="E24" s="19">
        <f>COUNTIFS(SSC_Ontology_Ver0.5!$A$1423:$A$1572,SUBSTITUTE($A24,"{H}",E$17),SSC_Ontology_Ver0.5!$C$1423:$C$1572,$B24,SSC_Ontology_Ver0.5!$D$1423:$D$1572,SUBSTITUTE($C24,"{H}",E$17))</f>
        <v>1</v>
      </c>
      <c r="F24" s="19">
        <f>COUNTIFS(SSC_Ontology_Ver0.5!$A$1423:$A$1572,SUBSTITUTE($A24,"{H}",F$17),SSC_Ontology_Ver0.5!$C$1423:$C$1572,$B24,SSC_Ontology_Ver0.5!$D$1423:$D$1572,SUBSTITUTE($C24,"{H}",F$17))</f>
        <v>1</v>
      </c>
      <c r="G24" s="19">
        <f>COUNTIFS(SSC_Ontology_Ver0.5!$A$1423:$A$1572,SUBSTITUTE($A24,"{H}",G$17),SSC_Ontology_Ver0.5!$C$1423:$C$1572,$B24,SSC_Ontology_Ver0.5!$D$1423:$D$1572,SUBSTITUTE($C24,"{H}",G$17))</f>
        <v>1</v>
      </c>
      <c r="H24" s="19">
        <f>COUNTIFS(SSC_Ontology_Ver0.5!$A$1423:$A$1572,SUBSTITUTE($A24,"{H}",H$17),SSC_Ontology_Ver0.5!$C$1423:$C$1572,$B24,SSC_Ontology_Ver0.5!$D$1423:$D$1572,SUBSTITUTE($C24,"{H}",H$17))</f>
        <v>0</v>
      </c>
      <c r="I24" s="15" t="s">
        <v>4937</v>
      </c>
    </row>
    <row r="25" spans="1:9" x14ac:dyDescent="0.3">
      <c r="A25" s="13" t="s">
        <v>4933</v>
      </c>
      <c r="B25" s="14" t="s">
        <v>11</v>
      </c>
      <c r="C25" s="14" t="s">
        <v>12</v>
      </c>
      <c r="D25" s="19">
        <f>COUNTIFS(SSC_Ontology_Ver0.5!$A$1423:$A$1572,SUBSTITUTE($A25,"{H}",D$17),SSC_Ontology_Ver0.5!$C$1423:$C$1572,$B25,SSC_Ontology_Ver0.5!$D$1423:$D$1572,SUBSTITUTE($C25,"{H}",D$17))</f>
        <v>1</v>
      </c>
      <c r="E25" s="19">
        <f>COUNTIFS(SSC_Ontology_Ver0.5!$A$1423:$A$1572,SUBSTITUTE($A25,"{H}",E$17),SSC_Ontology_Ver0.5!$C$1423:$C$1572,$B25,SSC_Ontology_Ver0.5!$D$1423:$D$1572,SUBSTITUTE($C25,"{H}",E$17))</f>
        <v>1</v>
      </c>
      <c r="F25" s="19">
        <f>COUNTIFS(SSC_Ontology_Ver0.5!$A$1423:$A$1572,SUBSTITUTE($A25,"{H}",F$17),SSC_Ontology_Ver0.5!$C$1423:$C$1572,$B25,SSC_Ontology_Ver0.5!$D$1423:$D$1572,SUBSTITUTE($C25,"{H}",F$17))</f>
        <v>1</v>
      </c>
      <c r="G25" s="19">
        <f>COUNTIFS(SSC_Ontology_Ver0.5!$A$1423:$A$1572,SUBSTITUTE($A25,"{H}",G$17),SSC_Ontology_Ver0.5!$C$1423:$C$1572,$B25,SSC_Ontology_Ver0.5!$D$1423:$D$1572,SUBSTITUTE($C25,"{H}",G$17))</f>
        <v>1</v>
      </c>
      <c r="H25" s="19">
        <f>COUNTIFS(SSC_Ontology_Ver0.5!$A$1423:$A$1572,SUBSTITUTE($A25,"{H}",H$17),SSC_Ontology_Ver0.5!$C$1423:$C$1572,$B25,SSC_Ontology_Ver0.5!$D$1423:$D$1572,SUBSTITUTE($C25,"{H}",H$17))</f>
        <v>0</v>
      </c>
      <c r="I25" s="15" t="s">
        <v>4937</v>
      </c>
    </row>
    <row r="26" spans="1:9" x14ac:dyDescent="0.3">
      <c r="A26" s="13" t="s">
        <v>4935</v>
      </c>
      <c r="B26" s="14" t="s">
        <v>11</v>
      </c>
      <c r="C26" s="14" t="s">
        <v>12</v>
      </c>
      <c r="D26" s="19">
        <f>COUNTIFS(SSC_Ontology_Ver0.5!$A$1423:$A$1572,SUBSTITUTE($A26,"{H}",D$17),SSC_Ontology_Ver0.5!$C$1423:$C$1572,$B26,SSC_Ontology_Ver0.5!$D$1423:$D$1572,SUBSTITUTE($C26,"{H}",D$17))</f>
        <v>1</v>
      </c>
      <c r="E26" s="19">
        <f>COUNTIFS(SSC_Ontology_Ver0.5!$A$1423:$A$1572,SUBSTITUTE($A26,"{H}",E$17),SSC_Ontology_Ver0.5!$C$1423:$C$1572,$B26,SSC_Ontology_Ver0.5!$D$1423:$D$1572,SUBSTITUTE($C26,"{H}",E$17))</f>
        <v>1</v>
      </c>
      <c r="F26" s="19">
        <f>COUNTIFS(SSC_Ontology_Ver0.5!$A$1423:$A$1572,SUBSTITUTE($A26,"{H}",F$17),SSC_Ontology_Ver0.5!$C$1423:$C$1572,$B26,SSC_Ontology_Ver0.5!$D$1423:$D$1572,SUBSTITUTE($C26,"{H}",F$17))</f>
        <v>1</v>
      </c>
      <c r="G26" s="19">
        <f>COUNTIFS(SSC_Ontology_Ver0.5!$A$1423:$A$1572,SUBSTITUTE($A26,"{H}",G$17),SSC_Ontology_Ver0.5!$C$1423:$C$1572,$B26,SSC_Ontology_Ver0.5!$D$1423:$D$1572,SUBSTITUTE($C26,"{H}",G$17))</f>
        <v>1</v>
      </c>
      <c r="H26" s="19">
        <f>COUNTIFS(SSC_Ontology_Ver0.5!$A$1423:$A$1572,SUBSTITUTE($A26,"{H}",H$17),SSC_Ontology_Ver0.5!$C$1423:$C$1572,$B26,SSC_Ontology_Ver0.5!$D$1423:$D$1572,SUBSTITUTE($C26,"{H}",H$17))</f>
        <v>0</v>
      </c>
      <c r="I26" s="15" t="s">
        <v>4937</v>
      </c>
    </row>
    <row r="27" spans="1:9" x14ac:dyDescent="0.3">
      <c r="A27" s="16" t="s">
        <v>4936</v>
      </c>
      <c r="B27" s="17" t="s">
        <v>11</v>
      </c>
      <c r="C27" s="17" t="s">
        <v>12</v>
      </c>
      <c r="D27" s="20">
        <f>COUNTIFS(SSC_Ontology_Ver0.5!$A$1423:$A$1572,SUBSTITUTE($A27,"{H}",D$17),SSC_Ontology_Ver0.5!$C$1423:$C$1572,$B27,SSC_Ontology_Ver0.5!$D$1423:$D$1572,SUBSTITUTE($C27,"{H}",D$17))</f>
        <v>1</v>
      </c>
      <c r="E27" s="20">
        <f>COUNTIFS(SSC_Ontology_Ver0.5!$A$1423:$A$1572,SUBSTITUTE($A27,"{H}",E$17),SSC_Ontology_Ver0.5!$C$1423:$C$1572,$B27,SSC_Ontology_Ver0.5!$D$1423:$D$1572,SUBSTITUTE($C27,"{H}",E$17))</f>
        <v>1</v>
      </c>
      <c r="F27" s="20">
        <f>COUNTIFS(SSC_Ontology_Ver0.5!$A$1423:$A$1572,SUBSTITUTE($A27,"{H}",F$17),SSC_Ontology_Ver0.5!$C$1423:$C$1572,$B27,SSC_Ontology_Ver0.5!$D$1423:$D$1572,SUBSTITUTE($C27,"{H}",F$17))</f>
        <v>1</v>
      </c>
      <c r="G27" s="20">
        <f>COUNTIFS(SSC_Ontology_Ver0.5!$A$1423:$A$1572,SUBSTITUTE($A27,"{H}",G$17),SSC_Ontology_Ver0.5!$C$1423:$C$1572,$B27,SSC_Ontology_Ver0.5!$D$1423:$D$1572,SUBSTITUTE($C27,"{H}",G$17))</f>
        <v>1</v>
      </c>
      <c r="H27" s="20">
        <f>COUNTIFS(SSC_Ontology_Ver0.5!$A$1423:$A$1572,SUBSTITUTE($A27,"{H}",H$17),SSC_Ontology_Ver0.5!$C$1423:$C$1572,$B27,SSC_Ontology_Ver0.5!$D$1423:$D$1572,SUBSTITUTE($C27,"{H}",H$17))</f>
        <v>0</v>
      </c>
      <c r="I27" s="18" t="s">
        <v>4937</v>
      </c>
    </row>
    <row r="28" spans="1:9" x14ac:dyDescent="0.3">
      <c r="A28" s="30" t="s">
        <v>4938</v>
      </c>
    </row>
    <row r="29" spans="1:9" x14ac:dyDescent="0.3">
      <c r="A29" s="10" t="s">
        <v>4741</v>
      </c>
      <c r="B29" s="11" t="s">
        <v>4742</v>
      </c>
      <c r="C29" s="11" t="s">
        <v>4743</v>
      </c>
      <c r="D29" s="11" t="s">
        <v>4919</v>
      </c>
      <c r="E29" s="11" t="s">
        <v>4920</v>
      </c>
      <c r="F29" s="11" t="s">
        <v>4921</v>
      </c>
      <c r="G29" s="11" t="s">
        <v>4922</v>
      </c>
      <c r="H29" s="11" t="s">
        <v>4923</v>
      </c>
      <c r="I29" s="12" t="s">
        <v>4760</v>
      </c>
    </row>
    <row r="30" spans="1:9" x14ac:dyDescent="0.3">
      <c r="A30" s="13" t="s">
        <v>4939</v>
      </c>
      <c r="B30" s="14" t="s">
        <v>280</v>
      </c>
      <c r="C30" s="14" t="s">
        <v>4940</v>
      </c>
      <c r="D30" s="19">
        <f>COUNTIFS(SSC_Ontology_Ver0.5!$A$1423:$A$1572,SUBSTITUTE($A30,"{H}",D$29),SSC_Ontology_Ver0.5!$C$1423:$C$1572,$B30,SSC_Ontology_Ver0.5!$D$1423:$D$1572,SUBSTITUTE($C30,"{H}",D$29))</f>
        <v>1</v>
      </c>
      <c r="E30" s="19">
        <f>COUNTIFS(SSC_Ontology_Ver0.5!$A$1423:$A$1572,SUBSTITUTE($A30,"{H}",E$29),SSC_Ontology_Ver0.5!$C$1423:$C$1572,$B30,SSC_Ontology_Ver0.5!$D$1423:$D$1572,SUBSTITUTE($C30,"{H}",E$29))</f>
        <v>1</v>
      </c>
      <c r="F30" s="19">
        <f>COUNTIFS(SSC_Ontology_Ver0.5!$A$1423:$A$1572,SUBSTITUTE($A30,"{H}",F$29),SSC_Ontology_Ver0.5!$C$1423:$C$1572,$B30,SSC_Ontology_Ver0.5!$D$1423:$D$1572,SUBSTITUTE($C30,"{H}",F$29))</f>
        <v>1</v>
      </c>
      <c r="G30" s="19">
        <f>COUNTIFS(SSC_Ontology_Ver0.5!$A$1423:$A$1572,SUBSTITUTE($A30,"{H}",G$29),SSC_Ontology_Ver0.5!$C$1423:$C$1572,$B30,SSC_Ontology_Ver0.5!$D$1423:$D$1572,SUBSTITUTE($C30,"{H}",G$29))</f>
        <v>1</v>
      </c>
      <c r="H30" s="19">
        <f>COUNTIFS(SSC_Ontology_Ver0.5!$A$1423:$A$1572,SUBSTITUTE($A30,"{H}",H$29),SSC_Ontology_Ver0.5!$C$1423:$C$1572,$B30,SSC_Ontology_Ver0.5!$D$1423:$D$1572,SUBSTITUTE($C30,"{H}",H$29))</f>
        <v>1</v>
      </c>
      <c r="I30" s="15" t="str">
        <f>IF(AND(MIN(D30:H30)=MAX(D30:H30),MAX(D30:H30)=1),"OK",IF(MIN(D30:H30)=0,"Not on all units","Duplicated"))</f>
        <v>OK</v>
      </c>
    </row>
    <row r="31" spans="1:9" x14ac:dyDescent="0.3">
      <c r="A31" s="13" t="s">
        <v>4939</v>
      </c>
      <c r="B31" s="14" t="s">
        <v>280</v>
      </c>
      <c r="C31" s="14" t="s">
        <v>4931</v>
      </c>
      <c r="D31" s="19">
        <f>COUNTIFS(SSC_Ontology_Ver0.5!$A$1423:$A$1572,SUBSTITUTE($A31,"{H}",D$29),SSC_Ontology_Ver0.5!$C$1423:$C$1572,$B31,SSC_Ontology_Ver0.5!$D$1423:$D$1572,SUBSTITUTE($C31,"{H}",D$29))</f>
        <v>1</v>
      </c>
      <c r="E31" s="19">
        <f>COUNTIFS(SSC_Ontology_Ver0.5!$A$1423:$A$1572,SUBSTITUTE($A31,"{H}",E$29),SSC_Ontology_Ver0.5!$C$1423:$C$1572,$B31,SSC_Ontology_Ver0.5!$D$1423:$D$1572,SUBSTITUTE($C31,"{H}",E$29))</f>
        <v>1</v>
      </c>
      <c r="F31" s="19">
        <f>COUNTIFS(SSC_Ontology_Ver0.5!$A$1423:$A$1572,SUBSTITUTE($A31,"{H}",F$29),SSC_Ontology_Ver0.5!$C$1423:$C$1572,$B31,SSC_Ontology_Ver0.5!$D$1423:$D$1572,SUBSTITUTE($C31,"{H}",F$29))</f>
        <v>1</v>
      </c>
      <c r="G31" s="19">
        <f>COUNTIFS(SSC_Ontology_Ver0.5!$A$1423:$A$1572,SUBSTITUTE($A31,"{H}",G$29),SSC_Ontology_Ver0.5!$C$1423:$C$1572,$B31,SSC_Ontology_Ver0.5!$D$1423:$D$1572,SUBSTITUTE($C31,"{H}",G$29))</f>
        <v>1</v>
      </c>
      <c r="H31" s="19">
        <f>COUNTIFS(SSC_Ontology_Ver0.5!$A$1423:$A$1572,SUBSTITUTE($A31,"{H}",H$29),SSC_Ontology_Ver0.5!$C$1423:$C$1572,$B31,SSC_Ontology_Ver0.5!$D$1423:$D$1572,SUBSTITUTE($C31,"{H}",H$29))</f>
        <v>1</v>
      </c>
      <c r="I31" s="15" t="str">
        <f>IF(AND(MIN(D31:H31)=MAX(D31:H31),MAX(D31:H31)=1),"OK",IF(MIN(D31:H31)=0,"Not on all units","Duplicated"))</f>
        <v>OK</v>
      </c>
    </row>
    <row r="32" spans="1:9" x14ac:dyDescent="0.3">
      <c r="A32" s="13" t="s">
        <v>4939</v>
      </c>
      <c r="B32" s="14" t="s">
        <v>22</v>
      </c>
      <c r="C32" s="14" t="s">
        <v>20</v>
      </c>
      <c r="D32" s="19">
        <f>COUNTIFS(SSC_Ontology_Ver0.5!$A$1423:$A$1572,SUBSTITUTE($A32,"{H}",D$29),SSC_Ontology_Ver0.5!$C$1423:$C$1572,$B32,SSC_Ontology_Ver0.5!$D$1423:$D$1572,SUBSTITUTE($C32,"{H}",D$29))</f>
        <v>1</v>
      </c>
      <c r="E32" s="19">
        <f>COUNTIFS(SSC_Ontology_Ver0.5!$A$1423:$A$1572,SUBSTITUTE($A32,"{H}",E$29),SSC_Ontology_Ver0.5!$C$1423:$C$1572,$B32,SSC_Ontology_Ver0.5!$D$1423:$D$1572,SUBSTITUTE($C32,"{H}",E$29))</f>
        <v>1</v>
      </c>
      <c r="F32" s="19">
        <f>COUNTIFS(SSC_Ontology_Ver0.5!$A$1423:$A$1572,SUBSTITUTE($A32,"{H}",F$29),SSC_Ontology_Ver0.5!$C$1423:$C$1572,$B32,SSC_Ontology_Ver0.5!$D$1423:$D$1572,SUBSTITUTE($C32,"{H}",F$29))</f>
        <v>1</v>
      </c>
      <c r="G32" s="19">
        <f>COUNTIFS(SSC_Ontology_Ver0.5!$A$1423:$A$1572,SUBSTITUTE($A32,"{H}",G$29),SSC_Ontology_Ver0.5!$C$1423:$C$1572,$B32,SSC_Ontology_Ver0.5!$D$1423:$D$1572,SUBSTITUTE($C32,"{H}",G$29))</f>
        <v>1</v>
      </c>
      <c r="H32" s="19">
        <f>COUNTIFS(SSC_Ontology_Ver0.5!$A$1423:$A$1572,SUBSTITUTE($A32,"{H}",H$29),SSC_Ontology_Ver0.5!$C$1423:$C$1572,$B32,SSC_Ontology_Ver0.5!$D$1423:$D$1572,SUBSTITUTE($C32,"{H}",H$29))</f>
        <v>1</v>
      </c>
      <c r="I32" s="15" t="str">
        <f>IF(AND(MIN(D32:H32)=MAX(D32:H32),MAX(D32:H32)=1),"OK",IF(MIN(D32:H32)=0,"Not on all units","Duplicated"))</f>
        <v>OK</v>
      </c>
    </row>
    <row r="33" spans="1:9" x14ac:dyDescent="0.3">
      <c r="A33" s="13" t="s">
        <v>4939</v>
      </c>
      <c r="B33" s="14" t="s">
        <v>16</v>
      </c>
      <c r="C33" s="14" t="s">
        <v>587</v>
      </c>
      <c r="D33" s="19">
        <f>COUNTIFS(SSC_Ontology_Ver0.5!$A$1423:$A$1572,SUBSTITUTE($A33,"{H}",D$29),SSC_Ontology_Ver0.5!$C$1423:$C$1572,$B33,SSC_Ontology_Ver0.5!$D$1423:$D$1572,SUBSTITUTE($C33,"{H}",D$29))</f>
        <v>1</v>
      </c>
      <c r="E33" s="19">
        <f>COUNTIFS(SSC_Ontology_Ver0.5!$A$1423:$A$1572,SUBSTITUTE($A33,"{H}",E$29),SSC_Ontology_Ver0.5!$C$1423:$C$1572,$B33,SSC_Ontology_Ver0.5!$D$1423:$D$1572,SUBSTITUTE($C33,"{H}",E$29))</f>
        <v>1</v>
      </c>
      <c r="F33" s="19">
        <f>COUNTIFS(SSC_Ontology_Ver0.5!$A$1423:$A$1572,SUBSTITUTE($A33,"{H}",F$29),SSC_Ontology_Ver0.5!$C$1423:$C$1572,$B33,SSC_Ontology_Ver0.5!$D$1423:$D$1572,SUBSTITUTE($C33,"{H}",F$29))</f>
        <v>1</v>
      </c>
      <c r="G33" s="19">
        <f>COUNTIFS(SSC_Ontology_Ver0.5!$A$1423:$A$1572,SUBSTITUTE($A33,"{H}",G$29),SSC_Ontology_Ver0.5!$C$1423:$C$1572,$B33,SSC_Ontology_Ver0.5!$D$1423:$D$1572,SUBSTITUTE($C33,"{H}",G$29))</f>
        <v>1</v>
      </c>
      <c r="H33" s="19">
        <f>COUNTIFS(SSC_Ontology_Ver0.5!$A$1423:$A$1572,SUBSTITUTE($A33,"{H}",H$29),SSC_Ontology_Ver0.5!$C$1423:$C$1572,$B33,SSC_Ontology_Ver0.5!$D$1423:$D$1572,SUBSTITUTE($C33,"{H}",H$29))</f>
        <v>1</v>
      </c>
      <c r="I33" s="15" t="str">
        <f>IF(AND(MIN(D33:H33)=MAX(D33:H33),MAX(D33:H33)=1),"OK",IF(MIN(D33:H33)=0,"Not on all units","Duplicated"))</f>
        <v>OK</v>
      </c>
    </row>
    <row r="34" spans="1:9" x14ac:dyDescent="0.3">
      <c r="A34" s="13" t="s">
        <v>4939</v>
      </c>
      <c r="B34" s="14" t="s">
        <v>11</v>
      </c>
      <c r="C34" s="14" t="s">
        <v>12</v>
      </c>
      <c r="D34" s="19">
        <f>COUNTIFS(SSC_Ontology_Ver0.5!$A$1423:$A$1572,SUBSTITUTE($A34,"{H}",D$29),SSC_Ontology_Ver0.5!$C$1423:$C$1572,$B34,SSC_Ontology_Ver0.5!$D$1423:$D$1572,SUBSTITUTE($C34,"{H}",D$29))</f>
        <v>1</v>
      </c>
      <c r="E34" s="19">
        <f>COUNTIFS(SSC_Ontology_Ver0.5!$A$1423:$A$1572,SUBSTITUTE($A34,"{H}",E$29),SSC_Ontology_Ver0.5!$C$1423:$C$1572,$B34,SSC_Ontology_Ver0.5!$D$1423:$D$1572,SUBSTITUTE($C34,"{H}",E$29))</f>
        <v>1</v>
      </c>
      <c r="F34" s="19">
        <f>COUNTIFS(SSC_Ontology_Ver0.5!$A$1423:$A$1572,SUBSTITUTE($A34,"{H}",F$29),SSC_Ontology_Ver0.5!$C$1423:$C$1572,$B34,SSC_Ontology_Ver0.5!$D$1423:$D$1572,SUBSTITUTE($C34,"{H}",F$29))</f>
        <v>1</v>
      </c>
      <c r="G34" s="19">
        <f>COUNTIFS(SSC_Ontology_Ver0.5!$A$1423:$A$1572,SUBSTITUTE($A34,"{H}",G$29),SSC_Ontology_Ver0.5!$C$1423:$C$1572,$B34,SSC_Ontology_Ver0.5!$D$1423:$D$1572,SUBSTITUTE($C34,"{H}",G$29))</f>
        <v>1</v>
      </c>
      <c r="H34" s="19">
        <f>COUNTIFS(SSC_Ontology_Ver0.5!$A$1423:$A$1572,SUBSTITUTE($A34,"{H}",H$29),SSC_Ontology_Ver0.5!$C$1423:$C$1572,$B34,SSC_Ontology_Ver0.5!$D$1423:$D$1572,SUBSTITUTE($C34,"{H}",H$29))</f>
        <v>1</v>
      </c>
      <c r="I34" s="15" t="str">
        <f>IF(AND(MIN(D34:H34)=MAX(D34:H34),MAX(D34:H34)=1),"OK",IF(MIN(D34:H34)=0,"Not on all units","Duplicated"))</f>
        <v>OK</v>
      </c>
    </row>
    <row r="35" spans="1:9" x14ac:dyDescent="0.3">
      <c r="A35" s="13" t="s">
        <v>4940</v>
      </c>
      <c r="B35" s="14" t="s">
        <v>280</v>
      </c>
      <c r="C35" s="14" t="s">
        <v>4941</v>
      </c>
      <c r="D35" s="19">
        <f>COUNTIFS(SSC_Ontology_Ver0.5!$A$1423:$A$1572,SUBSTITUTE($A35,"{H}",D$29),SSC_Ontology_Ver0.5!$C$1423:$C$1572,$B35,SSC_Ontology_Ver0.5!$D$1423:$D$1572,SUBSTITUTE($C35,"{H}",D$29))</f>
        <v>1</v>
      </c>
      <c r="E35" s="19">
        <f>COUNTIFS(SSC_Ontology_Ver0.5!$A$1423:$A$1572,SUBSTITUTE($A35,"{H}",E$29),SSC_Ontology_Ver0.5!$C$1423:$C$1572,$B35,SSC_Ontology_Ver0.5!$D$1423:$D$1572,SUBSTITUTE($C35,"{H}",E$29))</f>
        <v>1</v>
      </c>
      <c r="F35" s="19">
        <f>COUNTIFS(SSC_Ontology_Ver0.5!$A$1423:$A$1572,SUBSTITUTE($A35,"{H}",F$29),SSC_Ontology_Ver0.5!$C$1423:$C$1572,$B35,SSC_Ontology_Ver0.5!$D$1423:$D$1572,SUBSTITUTE($C35,"{H}",F$29))</f>
        <v>1</v>
      </c>
      <c r="G35" s="19">
        <f>COUNTIFS(SSC_Ontology_Ver0.5!$A$1423:$A$1572,SUBSTITUTE($A35,"{H}",G$29),SSC_Ontology_Ver0.5!$C$1423:$C$1572,$B35,SSC_Ontology_Ver0.5!$D$1423:$D$1572,SUBSTITUTE($C35,"{H}",G$29))</f>
        <v>1</v>
      </c>
      <c r="H35" s="19">
        <f>COUNTIFS(SSC_Ontology_Ver0.5!$A$1423:$A$1572,SUBSTITUTE($A35,"{H}",H$29),SSC_Ontology_Ver0.5!$C$1423:$C$1572,$B35,SSC_Ontology_Ver0.5!$D$1423:$D$1572,SUBSTITUTE($C35,"{H}",H$29))</f>
        <v>1</v>
      </c>
      <c r="I35" s="15" t="str">
        <f>IF(AND(MIN(D35:H35)=MAX(D35:H35),MAX(D35:H35)=1),"OK",IF(MIN(D35:H35)=0,"Not on all units","Duplicated"))</f>
        <v>OK</v>
      </c>
    </row>
    <row r="36" spans="1:9" x14ac:dyDescent="0.3">
      <c r="A36" s="13" t="s">
        <v>4940</v>
      </c>
      <c r="B36" s="14" t="s">
        <v>308</v>
      </c>
      <c r="C36" s="14" t="s">
        <v>4942</v>
      </c>
      <c r="D36" s="19">
        <f>COUNTIFS(SSC_Ontology_Ver0.5!$A$1423:$A$1572,SUBSTITUTE($A36,"{H}",D$29),SSC_Ontology_Ver0.5!$C$1423:$C$1572,$B36,SSC_Ontology_Ver0.5!$D$1423:$D$1572,SUBSTITUTE($C36,"{H}",D$29))</f>
        <v>1</v>
      </c>
      <c r="E36" s="19">
        <f>COUNTIFS(SSC_Ontology_Ver0.5!$A$1423:$A$1572,SUBSTITUTE($A36,"{H}",E$29),SSC_Ontology_Ver0.5!$C$1423:$C$1572,$B36,SSC_Ontology_Ver0.5!$D$1423:$D$1572,SUBSTITUTE($C36,"{H}",E$29))</f>
        <v>1</v>
      </c>
      <c r="F36" s="19">
        <f>COUNTIFS(SSC_Ontology_Ver0.5!$A$1423:$A$1572,SUBSTITUTE($A36,"{H}",F$29),SSC_Ontology_Ver0.5!$C$1423:$C$1572,$B36,SSC_Ontology_Ver0.5!$D$1423:$D$1572,SUBSTITUTE($C36,"{H}",F$29))</f>
        <v>1</v>
      </c>
      <c r="G36" s="19">
        <f>COUNTIFS(SSC_Ontology_Ver0.5!$A$1423:$A$1572,SUBSTITUTE($A36,"{H}",G$29),SSC_Ontology_Ver0.5!$C$1423:$C$1572,$B36,SSC_Ontology_Ver0.5!$D$1423:$D$1572,SUBSTITUTE($C36,"{H}",G$29))</f>
        <v>1</v>
      </c>
      <c r="H36" s="19">
        <f>COUNTIFS(SSC_Ontology_Ver0.5!$A$1423:$A$1572,SUBSTITUTE($A36,"{H}",H$29),SSC_Ontology_Ver0.5!$C$1423:$C$1572,$B36,SSC_Ontology_Ver0.5!$D$1423:$D$1572,SUBSTITUTE($C36,"{H}",H$29))</f>
        <v>1</v>
      </c>
      <c r="I36" s="15" t="str">
        <f>IF(AND(MIN(D36:H36)=MAX(D36:H36),MAX(D36:H36)=1),"OK",IF(MIN(D36:H36)=0,"Not on all units","Duplicated"))</f>
        <v>OK</v>
      </c>
    </row>
    <row r="37" spans="1:9" x14ac:dyDescent="0.3">
      <c r="A37" s="13" t="s">
        <v>4940</v>
      </c>
      <c r="B37" s="14" t="s">
        <v>308</v>
      </c>
      <c r="C37" s="14" t="s">
        <v>4943</v>
      </c>
      <c r="D37" s="19">
        <f>COUNTIFS(SSC_Ontology_Ver0.5!$A$1423:$A$1572,SUBSTITUTE($A37,"{H}",D$29),SSC_Ontology_Ver0.5!$C$1423:$C$1572,$B37,SSC_Ontology_Ver0.5!$D$1423:$D$1572,SUBSTITUTE($C37,"{H}",D$29))</f>
        <v>1</v>
      </c>
      <c r="E37" s="19">
        <f>COUNTIFS(SSC_Ontology_Ver0.5!$A$1423:$A$1572,SUBSTITUTE($A37,"{H}",E$29),SSC_Ontology_Ver0.5!$C$1423:$C$1572,$B37,SSC_Ontology_Ver0.5!$D$1423:$D$1572,SUBSTITUTE($C37,"{H}",E$29))</f>
        <v>1</v>
      </c>
      <c r="F37" s="19">
        <f>COUNTIFS(SSC_Ontology_Ver0.5!$A$1423:$A$1572,SUBSTITUTE($A37,"{H}",F$29),SSC_Ontology_Ver0.5!$C$1423:$C$1572,$B37,SSC_Ontology_Ver0.5!$D$1423:$D$1572,SUBSTITUTE($C37,"{H}",F$29))</f>
        <v>1</v>
      </c>
      <c r="G37" s="19">
        <f>COUNTIFS(SSC_Ontology_Ver0.5!$A$1423:$A$1572,SUBSTITUTE($A37,"{H}",G$29),SSC_Ontology_Ver0.5!$C$1423:$C$1572,$B37,SSC_Ontology_Ver0.5!$D$1423:$D$1572,SUBSTITUTE($C37,"{H}",G$29))</f>
        <v>1</v>
      </c>
      <c r="H37" s="19">
        <f>COUNTIFS(SSC_Ontology_Ver0.5!$A$1423:$A$1572,SUBSTITUTE($A37,"{H}",H$29),SSC_Ontology_Ver0.5!$C$1423:$C$1572,$B37,SSC_Ontology_Ver0.5!$D$1423:$D$1572,SUBSTITUTE($C37,"{H}",H$29))</f>
        <v>1</v>
      </c>
      <c r="I37" s="15" t="str">
        <f>IF(AND(MIN(D37:H37)=MAX(D37:H37),MAX(D37:H37)=1),"OK",IF(MIN(D37:H37)=0,"Not on all units","Duplicated"))</f>
        <v>OK</v>
      </c>
    </row>
    <row r="38" spans="1:9" x14ac:dyDescent="0.3">
      <c r="A38" s="13" t="s">
        <v>4940</v>
      </c>
      <c r="B38" s="14" t="s">
        <v>308</v>
      </c>
      <c r="C38" s="14" t="s">
        <v>4944</v>
      </c>
      <c r="D38" s="19">
        <f>COUNTIFS(SSC_Ontology_Ver0.5!$A$1423:$A$1572,SUBSTITUTE($A38,"{H}",D$29),SSC_Ontology_Ver0.5!$C$1423:$C$1572,$B38,SSC_Ontology_Ver0.5!$D$1423:$D$1572,SUBSTITUTE($C38,"{H}",D$29))</f>
        <v>1</v>
      </c>
      <c r="E38" s="19">
        <f>COUNTIFS(SSC_Ontology_Ver0.5!$A$1423:$A$1572,SUBSTITUTE($A38,"{H}",E$29),SSC_Ontology_Ver0.5!$C$1423:$C$1572,$B38,SSC_Ontology_Ver0.5!$D$1423:$D$1572,SUBSTITUTE($C38,"{H}",E$29))</f>
        <v>1</v>
      </c>
      <c r="F38" s="19">
        <f>COUNTIFS(SSC_Ontology_Ver0.5!$A$1423:$A$1572,SUBSTITUTE($A38,"{H}",F$29),SSC_Ontology_Ver0.5!$C$1423:$C$1572,$B38,SSC_Ontology_Ver0.5!$D$1423:$D$1572,SUBSTITUTE($C38,"{H}",F$29))</f>
        <v>1</v>
      </c>
      <c r="G38" s="19">
        <f>COUNTIFS(SSC_Ontology_Ver0.5!$A$1423:$A$1572,SUBSTITUTE($A38,"{H}",G$29),SSC_Ontology_Ver0.5!$C$1423:$C$1572,$B38,SSC_Ontology_Ver0.5!$D$1423:$D$1572,SUBSTITUTE($C38,"{H}",G$29))</f>
        <v>1</v>
      </c>
      <c r="H38" s="19">
        <f>COUNTIFS(SSC_Ontology_Ver0.5!$A$1423:$A$1572,SUBSTITUTE($A38,"{H}",H$29),SSC_Ontology_Ver0.5!$C$1423:$C$1572,$B38,SSC_Ontology_Ver0.5!$D$1423:$D$1572,SUBSTITUTE($C38,"{H}",H$29))</f>
        <v>1</v>
      </c>
      <c r="I38" s="15" t="str">
        <f>IF(AND(MIN(D38:H38)=MAX(D38:H38),MAX(D38:H38)=1),"OK",IF(MIN(D38:H38)=0,"Not on all units","Duplicated"))</f>
        <v>OK</v>
      </c>
    </row>
    <row r="39" spans="1:9" x14ac:dyDescent="0.3">
      <c r="A39" s="13" t="s">
        <v>4940</v>
      </c>
      <c r="B39" s="14" t="s">
        <v>308</v>
      </c>
      <c r="C39" s="14" t="s">
        <v>4945</v>
      </c>
      <c r="D39" s="19">
        <f>COUNTIFS(SSC_Ontology_Ver0.5!$A$1423:$A$1572,SUBSTITUTE($A39,"{H}",D$29),SSC_Ontology_Ver0.5!$C$1423:$C$1572,$B39,SSC_Ontology_Ver0.5!$D$1423:$D$1572,SUBSTITUTE($C39,"{H}",D$29))</f>
        <v>1</v>
      </c>
      <c r="E39" s="19">
        <f>COUNTIFS(SSC_Ontology_Ver0.5!$A$1423:$A$1572,SUBSTITUTE($A39,"{H}",E$29),SSC_Ontology_Ver0.5!$C$1423:$C$1572,$B39,SSC_Ontology_Ver0.5!$D$1423:$D$1572,SUBSTITUTE($C39,"{H}",E$29))</f>
        <v>1</v>
      </c>
      <c r="F39" s="19">
        <f>COUNTIFS(SSC_Ontology_Ver0.5!$A$1423:$A$1572,SUBSTITUTE($A39,"{H}",F$29),SSC_Ontology_Ver0.5!$C$1423:$C$1572,$B39,SSC_Ontology_Ver0.5!$D$1423:$D$1572,SUBSTITUTE($C39,"{H}",F$29))</f>
        <v>1</v>
      </c>
      <c r="G39" s="19">
        <f>COUNTIFS(SSC_Ontology_Ver0.5!$A$1423:$A$1572,SUBSTITUTE($A39,"{H}",G$29),SSC_Ontology_Ver0.5!$C$1423:$C$1572,$B39,SSC_Ontology_Ver0.5!$D$1423:$D$1572,SUBSTITUTE($C39,"{H}",G$29))</f>
        <v>1</v>
      </c>
      <c r="H39" s="19">
        <f>COUNTIFS(SSC_Ontology_Ver0.5!$A$1423:$A$1572,SUBSTITUTE($A39,"{H}",H$29),SSC_Ontology_Ver0.5!$C$1423:$C$1572,$B39,SSC_Ontology_Ver0.5!$D$1423:$D$1572,SUBSTITUTE($C39,"{H}",H$29))</f>
        <v>1</v>
      </c>
      <c r="I39" s="15" t="str">
        <f>IF(AND(MIN(D39:H39)=MAX(D39:H39),MAX(D39:H39)=1),"OK",IF(MIN(D39:H39)=0,"Not on all units","Duplicated"))</f>
        <v>OK</v>
      </c>
    </row>
    <row r="40" spans="1:9" x14ac:dyDescent="0.3">
      <c r="A40" s="13" t="s">
        <v>4940</v>
      </c>
      <c r="B40" s="14" t="s">
        <v>308</v>
      </c>
      <c r="C40" s="14" t="s">
        <v>4946</v>
      </c>
      <c r="D40" s="19">
        <f>COUNTIFS(SSC_Ontology_Ver0.5!$A$1423:$A$1572,SUBSTITUTE($A40,"{H}",D$29),SSC_Ontology_Ver0.5!$C$1423:$C$1572,$B40,SSC_Ontology_Ver0.5!$D$1423:$D$1572,SUBSTITUTE($C40,"{H}",D$29))</f>
        <v>1</v>
      </c>
      <c r="E40" s="19">
        <f>COUNTIFS(SSC_Ontology_Ver0.5!$A$1423:$A$1572,SUBSTITUTE($A40,"{H}",E$29),SSC_Ontology_Ver0.5!$C$1423:$C$1572,$B40,SSC_Ontology_Ver0.5!$D$1423:$D$1572,SUBSTITUTE($C40,"{H}",E$29))</f>
        <v>1</v>
      </c>
      <c r="F40" s="19">
        <f>COUNTIFS(SSC_Ontology_Ver0.5!$A$1423:$A$1572,SUBSTITUTE($A40,"{H}",F$29),SSC_Ontology_Ver0.5!$C$1423:$C$1572,$B40,SSC_Ontology_Ver0.5!$D$1423:$D$1572,SUBSTITUTE($C40,"{H}",F$29))</f>
        <v>1</v>
      </c>
      <c r="G40" s="19">
        <f>COUNTIFS(SSC_Ontology_Ver0.5!$A$1423:$A$1572,SUBSTITUTE($A40,"{H}",G$29),SSC_Ontology_Ver0.5!$C$1423:$C$1572,$B40,SSC_Ontology_Ver0.5!$D$1423:$D$1572,SUBSTITUTE($C40,"{H}",G$29))</f>
        <v>1</v>
      </c>
      <c r="H40" s="19">
        <f>COUNTIFS(SSC_Ontology_Ver0.5!$A$1423:$A$1572,SUBSTITUTE($A40,"{H}",H$29),SSC_Ontology_Ver0.5!$C$1423:$C$1572,$B40,SSC_Ontology_Ver0.5!$D$1423:$D$1572,SUBSTITUTE($C40,"{H}",H$29))</f>
        <v>1</v>
      </c>
      <c r="I40" s="15" t="str">
        <f>IF(AND(MIN(D40:H40)=MAX(D40:H40),MAX(D40:H40)=1),"OK",IF(MIN(D40:H40)=0,"Not on all units","Duplicated"))</f>
        <v>OK</v>
      </c>
    </row>
    <row r="41" spans="1:9" x14ac:dyDescent="0.3">
      <c r="A41" s="13" t="s">
        <v>4943</v>
      </c>
      <c r="B41" s="14" t="s">
        <v>11</v>
      </c>
      <c r="C41" s="14" t="s">
        <v>12</v>
      </c>
      <c r="D41" s="19">
        <f>COUNTIFS(SSC_Ontology_Ver0.5!$A$1423:$A$1572,SUBSTITUTE($A41,"{H}",D$29),SSC_Ontology_Ver0.5!$C$1423:$C$1572,$B41,SSC_Ontology_Ver0.5!$D$1423:$D$1572,SUBSTITUTE($C41,"{H}",D$29))</f>
        <v>1</v>
      </c>
      <c r="E41" s="19">
        <f>COUNTIFS(SSC_Ontology_Ver0.5!$A$1423:$A$1572,SUBSTITUTE($A41,"{H}",E$29),SSC_Ontology_Ver0.5!$C$1423:$C$1572,$B41,SSC_Ontology_Ver0.5!$D$1423:$D$1572,SUBSTITUTE($C41,"{H}",E$29))</f>
        <v>1</v>
      </c>
      <c r="F41" s="19">
        <f>COUNTIFS(SSC_Ontology_Ver0.5!$A$1423:$A$1572,SUBSTITUTE($A41,"{H}",F$29),SSC_Ontology_Ver0.5!$C$1423:$C$1572,$B41,SSC_Ontology_Ver0.5!$D$1423:$D$1572,SUBSTITUTE($C41,"{H}",F$29))</f>
        <v>1</v>
      </c>
      <c r="G41" s="19">
        <f>COUNTIFS(SSC_Ontology_Ver0.5!$A$1423:$A$1572,SUBSTITUTE($A41,"{H}",G$29),SSC_Ontology_Ver0.5!$C$1423:$C$1572,$B41,SSC_Ontology_Ver0.5!$D$1423:$D$1572,SUBSTITUTE($C41,"{H}",G$29))</f>
        <v>1</v>
      </c>
      <c r="H41" s="19">
        <f>COUNTIFS(SSC_Ontology_Ver0.5!$A$1423:$A$1572,SUBSTITUTE($A41,"{H}",H$29),SSC_Ontology_Ver0.5!$C$1423:$C$1572,$B41,SSC_Ontology_Ver0.5!$D$1423:$D$1572,SUBSTITUTE($C41,"{H}",H$29))</f>
        <v>1</v>
      </c>
      <c r="I41" s="15" t="str">
        <f>IF(AND(MIN(D41:H41)=MAX(D41:H41),MAX(D41:H41)=1),"OK",IF(MIN(D41:H41)=0,"Not on all units","Duplicated"))</f>
        <v>OK</v>
      </c>
    </row>
    <row r="42" spans="1:9" x14ac:dyDescent="0.3">
      <c r="A42" s="13" t="s">
        <v>4941</v>
      </c>
      <c r="B42" s="14" t="s">
        <v>308</v>
      </c>
      <c r="C42" s="14" t="s">
        <v>4947</v>
      </c>
      <c r="D42" s="19">
        <f>COUNTIFS(SSC_Ontology_Ver0.5!$A$1423:$A$1572,SUBSTITUTE($A42,"{H}",D$29),SSC_Ontology_Ver0.5!$C$1423:$C$1572,$B42,SSC_Ontology_Ver0.5!$D$1423:$D$1572,SUBSTITUTE($C42,"{H}",D$29))</f>
        <v>1</v>
      </c>
      <c r="E42" s="19">
        <f>COUNTIFS(SSC_Ontology_Ver0.5!$A$1423:$A$1572,SUBSTITUTE($A42,"{H}",E$29),SSC_Ontology_Ver0.5!$C$1423:$C$1572,$B42,SSC_Ontology_Ver0.5!$D$1423:$D$1572,SUBSTITUTE($C42,"{H}",E$29))</f>
        <v>1</v>
      </c>
      <c r="F42" s="19">
        <f>COUNTIFS(SSC_Ontology_Ver0.5!$A$1423:$A$1572,SUBSTITUTE($A42,"{H}",F$29),SSC_Ontology_Ver0.5!$C$1423:$C$1572,$B42,SSC_Ontology_Ver0.5!$D$1423:$D$1572,SUBSTITUTE($C42,"{H}",F$29))</f>
        <v>1</v>
      </c>
      <c r="G42" s="19">
        <f>COUNTIFS(SSC_Ontology_Ver0.5!$A$1423:$A$1572,SUBSTITUTE($A42,"{H}",G$29),SSC_Ontology_Ver0.5!$C$1423:$C$1572,$B42,SSC_Ontology_Ver0.5!$D$1423:$D$1572,SUBSTITUTE($C42,"{H}",G$29))</f>
        <v>1</v>
      </c>
      <c r="H42" s="19">
        <f>COUNTIFS(SSC_Ontology_Ver0.5!$A$1423:$A$1572,SUBSTITUTE($A42,"{H}",H$29),SSC_Ontology_Ver0.5!$C$1423:$C$1572,$B42,SSC_Ontology_Ver0.5!$D$1423:$D$1572,SUBSTITUTE($C42,"{H}",H$29))</f>
        <v>1</v>
      </c>
      <c r="I42" s="15" t="str">
        <f>IF(AND(MIN(D42:H42)=MAX(D42:H42),MAX(D42:H42)=1),"OK",IF(MIN(D42:H42)=0,"Not on all units","Duplicated"))</f>
        <v>OK</v>
      </c>
    </row>
    <row r="43" spans="1:9" x14ac:dyDescent="0.3">
      <c r="A43" s="13" t="s">
        <v>4941</v>
      </c>
      <c r="B43" s="14" t="s">
        <v>308</v>
      </c>
      <c r="C43" s="14" t="s">
        <v>4948</v>
      </c>
      <c r="D43" s="19">
        <f>COUNTIFS(SSC_Ontology_Ver0.5!$A$1423:$A$1572,SUBSTITUTE($A43,"{H}",D$29),SSC_Ontology_Ver0.5!$C$1423:$C$1572,$B43,SSC_Ontology_Ver0.5!$D$1423:$D$1572,SUBSTITUTE($C43,"{H}",D$29))</f>
        <v>1</v>
      </c>
      <c r="E43" s="19">
        <f>COUNTIFS(SSC_Ontology_Ver0.5!$A$1423:$A$1572,SUBSTITUTE($A43,"{H}",E$29),SSC_Ontology_Ver0.5!$C$1423:$C$1572,$B43,SSC_Ontology_Ver0.5!$D$1423:$D$1572,SUBSTITUTE($C43,"{H}",E$29))</f>
        <v>1</v>
      </c>
      <c r="F43" s="19">
        <f>COUNTIFS(SSC_Ontology_Ver0.5!$A$1423:$A$1572,SUBSTITUTE($A43,"{H}",F$29),SSC_Ontology_Ver0.5!$C$1423:$C$1572,$B43,SSC_Ontology_Ver0.5!$D$1423:$D$1572,SUBSTITUTE($C43,"{H}",F$29))</f>
        <v>1</v>
      </c>
      <c r="G43" s="19">
        <f>COUNTIFS(SSC_Ontology_Ver0.5!$A$1423:$A$1572,SUBSTITUTE($A43,"{H}",G$29),SSC_Ontology_Ver0.5!$C$1423:$C$1572,$B43,SSC_Ontology_Ver0.5!$D$1423:$D$1572,SUBSTITUTE($C43,"{H}",G$29))</f>
        <v>1</v>
      </c>
      <c r="H43" s="19">
        <f>COUNTIFS(SSC_Ontology_Ver0.5!$A$1423:$A$1572,SUBSTITUTE($A43,"{H}",H$29),SSC_Ontology_Ver0.5!$C$1423:$C$1572,$B43,SSC_Ontology_Ver0.5!$D$1423:$D$1572,SUBSTITUTE($C43,"{H}",H$29))</f>
        <v>1</v>
      </c>
      <c r="I43" s="15" t="str">
        <f>IF(AND(MIN(D43:H43)=MAX(D43:H43),MAX(D43:H43)=1),"OK",IF(MIN(D43:H43)=0,"Not on all units","Duplicated"))</f>
        <v>OK</v>
      </c>
    </row>
    <row r="44" spans="1:9" x14ac:dyDescent="0.3">
      <c r="A44" s="13" t="s">
        <v>4947</v>
      </c>
      <c r="B44" s="14" t="s">
        <v>11</v>
      </c>
      <c r="C44" s="14" t="s">
        <v>12</v>
      </c>
      <c r="D44" s="19">
        <f>COUNTIFS(SSC_Ontology_Ver0.5!$A$1423:$A$1572,SUBSTITUTE($A44,"{H}",D$29),SSC_Ontology_Ver0.5!$C$1423:$C$1572,$B44,SSC_Ontology_Ver0.5!$D$1423:$D$1572,SUBSTITUTE($C44,"{H}",D$29))</f>
        <v>1</v>
      </c>
      <c r="E44" s="19">
        <f>COUNTIFS(SSC_Ontology_Ver0.5!$A$1423:$A$1572,SUBSTITUTE($A44,"{H}",E$29),SSC_Ontology_Ver0.5!$C$1423:$C$1572,$B44,SSC_Ontology_Ver0.5!$D$1423:$D$1572,SUBSTITUTE($C44,"{H}",E$29))</f>
        <v>1</v>
      </c>
      <c r="F44" s="19">
        <f>COUNTIFS(SSC_Ontology_Ver0.5!$A$1423:$A$1572,SUBSTITUTE($A44,"{H}",F$29),SSC_Ontology_Ver0.5!$C$1423:$C$1572,$B44,SSC_Ontology_Ver0.5!$D$1423:$D$1572,SUBSTITUTE($C44,"{H}",F$29))</f>
        <v>1</v>
      </c>
      <c r="G44" s="19">
        <f>COUNTIFS(SSC_Ontology_Ver0.5!$A$1423:$A$1572,SUBSTITUTE($A44,"{H}",G$29),SSC_Ontology_Ver0.5!$C$1423:$C$1572,$B44,SSC_Ontology_Ver0.5!$D$1423:$D$1572,SUBSTITUTE($C44,"{H}",G$29))</f>
        <v>1</v>
      </c>
      <c r="H44" s="19">
        <f>COUNTIFS(SSC_Ontology_Ver0.5!$A$1423:$A$1572,SUBSTITUTE($A44,"{H}",H$29),SSC_Ontology_Ver0.5!$C$1423:$C$1572,$B44,SSC_Ontology_Ver0.5!$D$1423:$D$1572,SUBSTITUTE($C44,"{H}",H$29))</f>
        <v>1</v>
      </c>
      <c r="I44" s="15" t="str">
        <f>IF(AND(MIN(D44:H44)=MAX(D44:H44),MAX(D44:H44)=1),"OK",IF(MIN(D44:H44)=0,"Not on all units","Duplicated"))</f>
        <v>OK</v>
      </c>
    </row>
    <row r="45" spans="1:9" x14ac:dyDescent="0.3">
      <c r="A45" s="13" t="s">
        <v>4948</v>
      </c>
      <c r="B45" s="14" t="s">
        <v>11</v>
      </c>
      <c r="C45" s="14" t="s">
        <v>12</v>
      </c>
      <c r="D45" s="19">
        <f>COUNTIFS(SSC_Ontology_Ver0.5!$A$1423:$A$1572,SUBSTITUTE($A45,"{H}",D$29),SSC_Ontology_Ver0.5!$C$1423:$C$1572,$B45,SSC_Ontology_Ver0.5!$D$1423:$D$1572,SUBSTITUTE($C45,"{H}",D$29))</f>
        <v>1</v>
      </c>
      <c r="E45" s="19">
        <f>COUNTIFS(SSC_Ontology_Ver0.5!$A$1423:$A$1572,SUBSTITUTE($A45,"{H}",E$29),SSC_Ontology_Ver0.5!$C$1423:$C$1572,$B45,SSC_Ontology_Ver0.5!$D$1423:$D$1572,SUBSTITUTE($C45,"{H}",E$29))</f>
        <v>1</v>
      </c>
      <c r="F45" s="19">
        <f>COUNTIFS(SSC_Ontology_Ver0.5!$A$1423:$A$1572,SUBSTITUTE($A45,"{H}",F$29),SSC_Ontology_Ver0.5!$C$1423:$C$1572,$B45,SSC_Ontology_Ver0.5!$D$1423:$D$1572,SUBSTITUTE($C45,"{H}",F$29))</f>
        <v>1</v>
      </c>
      <c r="G45" s="19">
        <f>COUNTIFS(SSC_Ontology_Ver0.5!$A$1423:$A$1572,SUBSTITUTE($A45,"{H}",G$29),SSC_Ontology_Ver0.5!$C$1423:$C$1572,$B45,SSC_Ontology_Ver0.5!$D$1423:$D$1572,SUBSTITUTE($C45,"{H}",G$29))</f>
        <v>1</v>
      </c>
      <c r="H45" s="19">
        <f>COUNTIFS(SSC_Ontology_Ver0.5!$A$1423:$A$1572,SUBSTITUTE($A45,"{H}",H$29),SSC_Ontology_Ver0.5!$C$1423:$C$1572,$B45,SSC_Ontology_Ver0.5!$D$1423:$D$1572,SUBSTITUTE($C45,"{H}",H$29))</f>
        <v>1</v>
      </c>
      <c r="I45" s="15" t="str">
        <f>IF(AND(MIN(D45:H45)=MAX(D45:H45),MAX(D45:H45)=1),"OK",IF(MIN(D45:H45)=0,"Not on all units","Duplicated"))</f>
        <v>OK</v>
      </c>
    </row>
    <row r="46" spans="1:9" x14ac:dyDescent="0.3">
      <c r="A46" s="13" t="s">
        <v>4942</v>
      </c>
      <c r="B46" s="14" t="s">
        <v>11</v>
      </c>
      <c r="C46" s="14" t="s">
        <v>12</v>
      </c>
      <c r="D46" s="19">
        <f>COUNTIFS(SSC_Ontology_Ver0.5!$A$1423:$A$1572,SUBSTITUTE($A46,"{H}",D$29),SSC_Ontology_Ver0.5!$C$1423:$C$1572,$B46,SSC_Ontology_Ver0.5!$D$1423:$D$1572,SUBSTITUTE($C46,"{H}",D$29))</f>
        <v>1</v>
      </c>
      <c r="E46" s="19">
        <f>COUNTIFS(SSC_Ontology_Ver0.5!$A$1423:$A$1572,SUBSTITUTE($A46,"{H}",E$29),SSC_Ontology_Ver0.5!$C$1423:$C$1572,$B46,SSC_Ontology_Ver0.5!$D$1423:$D$1572,SUBSTITUTE($C46,"{H}",E$29))</f>
        <v>1</v>
      </c>
      <c r="F46" s="19">
        <f>COUNTIFS(SSC_Ontology_Ver0.5!$A$1423:$A$1572,SUBSTITUTE($A46,"{H}",F$29),SSC_Ontology_Ver0.5!$C$1423:$C$1572,$B46,SSC_Ontology_Ver0.5!$D$1423:$D$1572,SUBSTITUTE($C46,"{H}",F$29))</f>
        <v>1</v>
      </c>
      <c r="G46" s="19">
        <f>COUNTIFS(SSC_Ontology_Ver0.5!$A$1423:$A$1572,SUBSTITUTE($A46,"{H}",G$29),SSC_Ontology_Ver0.5!$C$1423:$C$1572,$B46,SSC_Ontology_Ver0.5!$D$1423:$D$1572,SUBSTITUTE($C46,"{H}",G$29))</f>
        <v>1</v>
      </c>
      <c r="H46" s="19">
        <f>COUNTIFS(SSC_Ontology_Ver0.5!$A$1423:$A$1572,SUBSTITUTE($A46,"{H}",H$29),SSC_Ontology_Ver0.5!$C$1423:$C$1572,$B46,SSC_Ontology_Ver0.5!$D$1423:$D$1572,SUBSTITUTE($C46,"{H}",H$29))</f>
        <v>1</v>
      </c>
      <c r="I46" s="15" t="str">
        <f>IF(AND(MIN(D46:H46)=MAX(D46:H46),MAX(D46:H46)=1),"OK",IF(MIN(D46:H46)=0,"Not on all units","Duplicated"))</f>
        <v>OK</v>
      </c>
    </row>
    <row r="47" spans="1:9" x14ac:dyDescent="0.3">
      <c r="A47" s="13" t="s">
        <v>4945</v>
      </c>
      <c r="B47" s="14" t="s">
        <v>11</v>
      </c>
      <c r="C47" s="14" t="s">
        <v>12</v>
      </c>
      <c r="D47" s="19">
        <f>COUNTIFS(SSC_Ontology_Ver0.5!$A$1423:$A$1572,SUBSTITUTE($A47,"{H}",D$29),SSC_Ontology_Ver0.5!$C$1423:$C$1572,$B47,SSC_Ontology_Ver0.5!$D$1423:$D$1572,SUBSTITUTE($C47,"{H}",D$29))</f>
        <v>1</v>
      </c>
      <c r="E47" s="19">
        <f>COUNTIFS(SSC_Ontology_Ver0.5!$A$1423:$A$1572,SUBSTITUTE($A47,"{H}",E$29),SSC_Ontology_Ver0.5!$C$1423:$C$1572,$B47,SSC_Ontology_Ver0.5!$D$1423:$D$1572,SUBSTITUTE($C47,"{H}",E$29))</f>
        <v>1</v>
      </c>
      <c r="F47" s="19">
        <f>COUNTIFS(SSC_Ontology_Ver0.5!$A$1423:$A$1572,SUBSTITUTE($A47,"{H}",F$29),SSC_Ontology_Ver0.5!$C$1423:$C$1572,$B47,SSC_Ontology_Ver0.5!$D$1423:$D$1572,SUBSTITUTE($C47,"{H}",F$29))</f>
        <v>1</v>
      </c>
      <c r="G47" s="19">
        <f>COUNTIFS(SSC_Ontology_Ver0.5!$A$1423:$A$1572,SUBSTITUTE($A47,"{H}",G$29),SSC_Ontology_Ver0.5!$C$1423:$C$1572,$B47,SSC_Ontology_Ver0.5!$D$1423:$D$1572,SUBSTITUTE($C47,"{H}",G$29))</f>
        <v>1</v>
      </c>
      <c r="H47" s="19">
        <f>COUNTIFS(SSC_Ontology_Ver0.5!$A$1423:$A$1572,SUBSTITUTE($A47,"{H}",H$29),SSC_Ontology_Ver0.5!$C$1423:$C$1572,$B47,SSC_Ontology_Ver0.5!$D$1423:$D$1572,SUBSTITUTE($C47,"{H}",H$29))</f>
        <v>1</v>
      </c>
      <c r="I47" s="15" t="str">
        <f>IF(AND(MIN(D47:H47)=MAX(D47:H47),MAX(D47:H47)=1),"OK",IF(MIN(D47:H47)=0,"Not on all units","Duplicated"))</f>
        <v>OK</v>
      </c>
    </row>
    <row r="48" spans="1:9" x14ac:dyDescent="0.3">
      <c r="A48" s="13" t="s">
        <v>4944</v>
      </c>
      <c r="B48" s="14" t="s">
        <v>11</v>
      </c>
      <c r="C48" s="14" t="s">
        <v>12</v>
      </c>
      <c r="D48" s="19">
        <f>COUNTIFS(SSC_Ontology_Ver0.5!$A$1423:$A$1572,SUBSTITUTE($A48,"{H}",D$29),SSC_Ontology_Ver0.5!$C$1423:$C$1572,$B48,SSC_Ontology_Ver0.5!$D$1423:$D$1572,SUBSTITUTE($C48,"{H}",D$29))</f>
        <v>1</v>
      </c>
      <c r="E48" s="19">
        <f>COUNTIFS(SSC_Ontology_Ver0.5!$A$1423:$A$1572,SUBSTITUTE($A48,"{H}",E$29),SSC_Ontology_Ver0.5!$C$1423:$C$1572,$B48,SSC_Ontology_Ver0.5!$D$1423:$D$1572,SUBSTITUTE($C48,"{H}",E$29))</f>
        <v>1</v>
      </c>
      <c r="F48" s="19">
        <f>COUNTIFS(SSC_Ontology_Ver0.5!$A$1423:$A$1572,SUBSTITUTE($A48,"{H}",F$29),SSC_Ontology_Ver0.5!$C$1423:$C$1572,$B48,SSC_Ontology_Ver0.5!$D$1423:$D$1572,SUBSTITUTE($C48,"{H}",F$29))</f>
        <v>1</v>
      </c>
      <c r="G48" s="19">
        <f>COUNTIFS(SSC_Ontology_Ver0.5!$A$1423:$A$1572,SUBSTITUTE($A48,"{H}",G$29),SSC_Ontology_Ver0.5!$C$1423:$C$1572,$B48,SSC_Ontology_Ver0.5!$D$1423:$D$1572,SUBSTITUTE($C48,"{H}",G$29))</f>
        <v>1</v>
      </c>
      <c r="H48" s="19">
        <f>COUNTIFS(SSC_Ontology_Ver0.5!$A$1423:$A$1572,SUBSTITUTE($A48,"{H}",H$29),SSC_Ontology_Ver0.5!$C$1423:$C$1572,$B48,SSC_Ontology_Ver0.5!$D$1423:$D$1572,SUBSTITUTE($C48,"{H}",H$29))</f>
        <v>1</v>
      </c>
      <c r="I48" s="15" t="str">
        <f>IF(AND(MIN(D48:H48)=MAX(D48:H48),MAX(D48:H48)=1),"OK",IF(MIN(D48:H48)=0,"Not on all units","Duplicated"))</f>
        <v>OK</v>
      </c>
    </row>
    <row r="49" spans="1:9" x14ac:dyDescent="0.3">
      <c r="A49" s="13" t="s">
        <v>4946</v>
      </c>
      <c r="B49" s="14" t="s">
        <v>11</v>
      </c>
      <c r="C49" s="14" t="s">
        <v>12</v>
      </c>
      <c r="D49" s="19">
        <f>COUNTIFS(SSC_Ontology_Ver0.5!$A$1423:$A$1572,SUBSTITUTE($A49,"{H}",D$29),SSC_Ontology_Ver0.5!$C$1423:$C$1572,$B49,SSC_Ontology_Ver0.5!$D$1423:$D$1572,SUBSTITUTE($C49,"{H}",D$29))</f>
        <v>1</v>
      </c>
      <c r="E49" s="19">
        <f>COUNTIFS(SSC_Ontology_Ver0.5!$A$1423:$A$1572,SUBSTITUTE($A49,"{H}",E$29),SSC_Ontology_Ver0.5!$C$1423:$C$1572,$B49,SSC_Ontology_Ver0.5!$D$1423:$D$1572,SUBSTITUTE($C49,"{H}",E$29))</f>
        <v>1</v>
      </c>
      <c r="F49" s="19">
        <f>COUNTIFS(SSC_Ontology_Ver0.5!$A$1423:$A$1572,SUBSTITUTE($A49,"{H}",F$29),SSC_Ontology_Ver0.5!$C$1423:$C$1572,$B49,SSC_Ontology_Ver0.5!$D$1423:$D$1572,SUBSTITUTE($C49,"{H}",F$29))</f>
        <v>1</v>
      </c>
      <c r="G49" s="19">
        <f>COUNTIFS(SSC_Ontology_Ver0.5!$A$1423:$A$1572,SUBSTITUTE($A49,"{H}",G$29),SSC_Ontology_Ver0.5!$C$1423:$C$1572,$B49,SSC_Ontology_Ver0.5!$D$1423:$D$1572,SUBSTITUTE($C49,"{H}",G$29))</f>
        <v>1</v>
      </c>
      <c r="H49" s="19">
        <f>COUNTIFS(SSC_Ontology_Ver0.5!$A$1423:$A$1572,SUBSTITUTE($A49,"{H}",H$29),SSC_Ontology_Ver0.5!$C$1423:$C$1572,$B49,SSC_Ontology_Ver0.5!$D$1423:$D$1572,SUBSTITUTE($C49,"{H}",H$29))</f>
        <v>1</v>
      </c>
      <c r="I49" s="15" t="str">
        <f>IF(AND(MIN(D49:H49)=MAX(D49:H49),MAX(D49:H49)=1),"OK",IF(MIN(D49:H49)=0,"Not on all units","Duplicated"))</f>
        <v>OK</v>
      </c>
    </row>
    <row r="50" spans="1:9" x14ac:dyDescent="0.3">
      <c r="A50" s="13" t="s">
        <v>4931</v>
      </c>
      <c r="B50" s="14" t="s">
        <v>308</v>
      </c>
      <c r="C50" s="14" t="s">
        <v>4932</v>
      </c>
      <c r="D50" s="19">
        <f>COUNTIFS(SSC_Ontology_Ver0.5!$A$1423:$A$1572,SUBSTITUTE($A50,"{H}",D$29),SSC_Ontology_Ver0.5!$C$1423:$C$1572,$B50,SSC_Ontology_Ver0.5!$D$1423:$D$1572,SUBSTITUTE($C50,"{H}",D$29))</f>
        <v>1</v>
      </c>
      <c r="E50" s="19">
        <f>COUNTIFS(SSC_Ontology_Ver0.5!$A$1423:$A$1572,SUBSTITUTE($A50,"{H}",E$29),SSC_Ontology_Ver0.5!$C$1423:$C$1572,$B50,SSC_Ontology_Ver0.5!$D$1423:$D$1572,SUBSTITUTE($C50,"{H}",E$29))</f>
        <v>1</v>
      </c>
      <c r="F50" s="19">
        <f>COUNTIFS(SSC_Ontology_Ver0.5!$A$1423:$A$1572,SUBSTITUTE($A50,"{H}",F$29),SSC_Ontology_Ver0.5!$C$1423:$C$1572,$B50,SSC_Ontology_Ver0.5!$D$1423:$D$1572,SUBSTITUTE($C50,"{H}",F$29))</f>
        <v>1</v>
      </c>
      <c r="G50" s="19">
        <f>COUNTIFS(SSC_Ontology_Ver0.5!$A$1423:$A$1572,SUBSTITUTE($A50,"{H}",G$29),SSC_Ontology_Ver0.5!$C$1423:$C$1572,$B50,SSC_Ontology_Ver0.5!$D$1423:$D$1572,SUBSTITUTE($C50,"{H}",G$29))</f>
        <v>1</v>
      </c>
      <c r="H50" s="19">
        <f>COUNTIFS(SSC_Ontology_Ver0.5!$A$1423:$A$1572,SUBSTITUTE($A50,"{H}",H$29),SSC_Ontology_Ver0.5!$C$1423:$C$1572,$B50,SSC_Ontology_Ver0.5!$D$1423:$D$1572,SUBSTITUTE($C50,"{H}",H$29))</f>
        <v>0</v>
      </c>
      <c r="I50" s="15" t="str">
        <f>IF(AND(MIN(D50:H50)=MAX(D50:H50),MAX(D50:H50)=1),"OK",IF(MIN(D50:H50)=0,"Not on all units","Duplicated"))</f>
        <v>Not on all units</v>
      </c>
    </row>
    <row r="51" spans="1:9" x14ac:dyDescent="0.3">
      <c r="A51" s="13" t="s">
        <v>4931</v>
      </c>
      <c r="B51" s="14" t="s">
        <v>308</v>
      </c>
      <c r="C51" s="14" t="s">
        <v>4933</v>
      </c>
      <c r="D51" s="19">
        <f>COUNTIFS(SSC_Ontology_Ver0.5!$A$1423:$A$1572,SUBSTITUTE($A51,"{H}",D$29),SSC_Ontology_Ver0.5!$C$1423:$C$1572,$B51,SSC_Ontology_Ver0.5!$D$1423:$D$1572,SUBSTITUTE($C51,"{H}",D$29))</f>
        <v>1</v>
      </c>
      <c r="E51" s="19">
        <f>COUNTIFS(SSC_Ontology_Ver0.5!$A$1423:$A$1572,SUBSTITUTE($A51,"{H}",E$29),SSC_Ontology_Ver0.5!$C$1423:$C$1572,$B51,SSC_Ontology_Ver0.5!$D$1423:$D$1572,SUBSTITUTE($C51,"{H}",E$29))</f>
        <v>1</v>
      </c>
      <c r="F51" s="19">
        <f>COUNTIFS(SSC_Ontology_Ver0.5!$A$1423:$A$1572,SUBSTITUTE($A51,"{H}",F$29),SSC_Ontology_Ver0.5!$C$1423:$C$1572,$B51,SSC_Ontology_Ver0.5!$D$1423:$D$1572,SUBSTITUTE($C51,"{H}",F$29))</f>
        <v>1</v>
      </c>
      <c r="G51" s="19">
        <f>COUNTIFS(SSC_Ontology_Ver0.5!$A$1423:$A$1572,SUBSTITUTE($A51,"{H}",G$29),SSC_Ontology_Ver0.5!$C$1423:$C$1572,$B51,SSC_Ontology_Ver0.5!$D$1423:$D$1572,SUBSTITUTE($C51,"{H}",G$29))</f>
        <v>1</v>
      </c>
      <c r="H51" s="19">
        <f>COUNTIFS(SSC_Ontology_Ver0.5!$A$1423:$A$1572,SUBSTITUTE($A51,"{H}",H$29),SSC_Ontology_Ver0.5!$C$1423:$C$1572,$B51,SSC_Ontology_Ver0.5!$D$1423:$D$1572,SUBSTITUTE($C51,"{H}",H$29))</f>
        <v>0</v>
      </c>
      <c r="I51" s="15" t="str">
        <f>IF(AND(MIN(D51:H51)=MAX(D51:H51),MAX(D51:H51)=1),"OK",IF(MIN(D51:H51)=0,"Not on all units","Duplicated"))</f>
        <v>Not on all units</v>
      </c>
    </row>
    <row r="52" spans="1:9" x14ac:dyDescent="0.3">
      <c r="A52" s="13" t="s">
        <v>4931</v>
      </c>
      <c r="B52" s="14" t="s">
        <v>308</v>
      </c>
      <c r="C52" s="14" t="s">
        <v>4934</v>
      </c>
      <c r="D52" s="19">
        <f>COUNTIFS(SSC_Ontology_Ver0.5!$A$1423:$A$1572,SUBSTITUTE($A52,"{H}",D$29),SSC_Ontology_Ver0.5!$C$1423:$C$1572,$B52,SSC_Ontology_Ver0.5!$D$1423:$D$1572,SUBSTITUTE($C52,"{H}",D$29))</f>
        <v>1</v>
      </c>
      <c r="E52" s="19">
        <f>COUNTIFS(SSC_Ontology_Ver0.5!$A$1423:$A$1572,SUBSTITUTE($A52,"{H}",E$29),SSC_Ontology_Ver0.5!$C$1423:$C$1572,$B52,SSC_Ontology_Ver0.5!$D$1423:$D$1572,SUBSTITUTE($C52,"{H}",E$29))</f>
        <v>1</v>
      </c>
      <c r="F52" s="19">
        <f>COUNTIFS(SSC_Ontology_Ver0.5!$A$1423:$A$1572,SUBSTITUTE($A52,"{H}",F$29),SSC_Ontology_Ver0.5!$C$1423:$C$1572,$B52,SSC_Ontology_Ver0.5!$D$1423:$D$1572,SUBSTITUTE($C52,"{H}",F$29))</f>
        <v>1</v>
      </c>
      <c r="G52" s="19">
        <f>COUNTIFS(SSC_Ontology_Ver0.5!$A$1423:$A$1572,SUBSTITUTE($A52,"{H}",G$29),SSC_Ontology_Ver0.5!$C$1423:$C$1572,$B52,SSC_Ontology_Ver0.5!$D$1423:$D$1572,SUBSTITUTE($C52,"{H}",G$29))</f>
        <v>1</v>
      </c>
      <c r="H52" s="19">
        <f>COUNTIFS(SSC_Ontology_Ver0.5!$A$1423:$A$1572,SUBSTITUTE($A52,"{H}",H$29),SSC_Ontology_Ver0.5!$C$1423:$C$1572,$B52,SSC_Ontology_Ver0.5!$D$1423:$D$1572,SUBSTITUTE($C52,"{H}",H$29))</f>
        <v>0</v>
      </c>
      <c r="I52" s="15" t="str">
        <f>IF(AND(MIN(D52:H52)=MAX(D52:H52),MAX(D52:H52)=1),"OK",IF(MIN(D52:H52)=0,"Not on all units","Duplicated"))</f>
        <v>Not on all units</v>
      </c>
    </row>
    <row r="53" spans="1:9" x14ac:dyDescent="0.3">
      <c r="A53" s="13" t="s">
        <v>4931</v>
      </c>
      <c r="B53" s="14" t="s">
        <v>308</v>
      </c>
      <c r="C53" s="14" t="s">
        <v>4935</v>
      </c>
      <c r="D53" s="19">
        <f>COUNTIFS(SSC_Ontology_Ver0.5!$A$1423:$A$1572,SUBSTITUTE($A53,"{H}",D$29),SSC_Ontology_Ver0.5!$C$1423:$C$1572,$B53,SSC_Ontology_Ver0.5!$D$1423:$D$1572,SUBSTITUTE($C53,"{H}",D$29))</f>
        <v>1</v>
      </c>
      <c r="E53" s="19">
        <f>COUNTIFS(SSC_Ontology_Ver0.5!$A$1423:$A$1572,SUBSTITUTE($A53,"{H}",E$29),SSC_Ontology_Ver0.5!$C$1423:$C$1572,$B53,SSC_Ontology_Ver0.5!$D$1423:$D$1572,SUBSTITUTE($C53,"{H}",E$29))</f>
        <v>1</v>
      </c>
      <c r="F53" s="19">
        <f>COUNTIFS(SSC_Ontology_Ver0.5!$A$1423:$A$1572,SUBSTITUTE($A53,"{H}",F$29),SSC_Ontology_Ver0.5!$C$1423:$C$1572,$B53,SSC_Ontology_Ver0.5!$D$1423:$D$1572,SUBSTITUTE($C53,"{H}",F$29))</f>
        <v>1</v>
      </c>
      <c r="G53" s="19">
        <f>COUNTIFS(SSC_Ontology_Ver0.5!$A$1423:$A$1572,SUBSTITUTE($A53,"{H}",G$29),SSC_Ontology_Ver0.5!$C$1423:$C$1572,$B53,SSC_Ontology_Ver0.5!$D$1423:$D$1572,SUBSTITUTE($C53,"{H}",G$29))</f>
        <v>1</v>
      </c>
      <c r="H53" s="19">
        <f>COUNTIFS(SSC_Ontology_Ver0.5!$A$1423:$A$1572,SUBSTITUTE($A53,"{H}",H$29),SSC_Ontology_Ver0.5!$C$1423:$C$1572,$B53,SSC_Ontology_Ver0.5!$D$1423:$D$1572,SUBSTITUTE($C53,"{H}",H$29))</f>
        <v>0</v>
      </c>
      <c r="I53" s="15" t="str">
        <f>IF(AND(MIN(D53:H53)=MAX(D53:H53),MAX(D53:H53)=1),"OK",IF(MIN(D53:H53)=0,"Not on all units","Duplicated"))</f>
        <v>Not on all units</v>
      </c>
    </row>
    <row r="54" spans="1:9" x14ac:dyDescent="0.3">
      <c r="A54" s="13" t="s">
        <v>4931</v>
      </c>
      <c r="B54" s="14" t="s">
        <v>308</v>
      </c>
      <c r="C54" s="14" t="s">
        <v>4936</v>
      </c>
      <c r="D54" s="19">
        <f>COUNTIFS(SSC_Ontology_Ver0.5!$A$1423:$A$1572,SUBSTITUTE($A54,"{H}",D$29),SSC_Ontology_Ver0.5!$C$1423:$C$1572,$B54,SSC_Ontology_Ver0.5!$D$1423:$D$1572,SUBSTITUTE($C54,"{H}",D$29))</f>
        <v>1</v>
      </c>
      <c r="E54" s="19">
        <f>COUNTIFS(SSC_Ontology_Ver0.5!$A$1423:$A$1572,SUBSTITUTE($A54,"{H}",E$29),SSC_Ontology_Ver0.5!$C$1423:$C$1572,$B54,SSC_Ontology_Ver0.5!$D$1423:$D$1572,SUBSTITUTE($C54,"{H}",E$29))</f>
        <v>1</v>
      </c>
      <c r="F54" s="19">
        <f>COUNTIFS(SSC_Ontology_Ver0.5!$A$1423:$A$1572,SUBSTITUTE($A54,"{H}",F$29),SSC_Ontology_Ver0.5!$C$1423:$C$1572,$B54,SSC_Ontology_Ver0.5!$D$1423:$D$1572,SUBSTITUTE($C54,"{H}",F$29))</f>
        <v>1</v>
      </c>
      <c r="G54" s="19">
        <f>COUNTIFS(SSC_Ontology_Ver0.5!$A$1423:$A$1572,SUBSTITUTE($A54,"{H}",G$29),SSC_Ontology_Ver0.5!$C$1423:$C$1572,$B54,SSC_Ontology_Ver0.5!$D$1423:$D$1572,SUBSTITUTE($C54,"{H}",G$29))</f>
        <v>1</v>
      </c>
      <c r="H54" s="19">
        <f>COUNTIFS(SSC_Ontology_Ver0.5!$A$1423:$A$1572,SUBSTITUTE($A54,"{H}",H$29),SSC_Ontology_Ver0.5!$C$1423:$C$1572,$B54,SSC_Ontology_Ver0.5!$D$1423:$D$1572,SUBSTITUTE($C54,"{H}",H$29))</f>
        <v>0</v>
      </c>
      <c r="I54" s="15" t="str">
        <f>IF(AND(MIN(D54:H54)=MAX(D54:H54),MAX(D54:H54)=1),"OK",IF(MIN(D54:H54)=0,"Not on all units","Duplicated"))</f>
        <v>Not on all units</v>
      </c>
    </row>
    <row r="55" spans="1:9" x14ac:dyDescent="0.3">
      <c r="A55" s="13" t="s">
        <v>4931</v>
      </c>
      <c r="B55" s="14" t="s">
        <v>308</v>
      </c>
      <c r="C55" s="14" t="s">
        <v>4949</v>
      </c>
      <c r="D55" s="19">
        <f>COUNTIFS(SSC_Ontology_Ver0.5!$A$1423:$A$1572,SUBSTITUTE($A55,"{H}",D$29),SSC_Ontology_Ver0.5!$C$1423:$C$1572,$B55,SSC_Ontology_Ver0.5!$D$1423:$D$1572,SUBSTITUTE($C55,"{H}",D$29))</f>
        <v>1</v>
      </c>
      <c r="E55" s="19">
        <f>COUNTIFS(SSC_Ontology_Ver0.5!$A$1423:$A$1572,SUBSTITUTE($A55,"{H}",E$29),SSC_Ontology_Ver0.5!$C$1423:$C$1572,$B55,SSC_Ontology_Ver0.5!$D$1423:$D$1572,SUBSTITUTE($C55,"{H}",E$29))</f>
        <v>1</v>
      </c>
      <c r="F55" s="19">
        <f>COUNTIFS(SSC_Ontology_Ver0.5!$A$1423:$A$1572,SUBSTITUTE($A55,"{H}",F$29),SSC_Ontology_Ver0.5!$C$1423:$C$1572,$B55,SSC_Ontology_Ver0.5!$D$1423:$D$1572,SUBSTITUTE($C55,"{H}",F$29))</f>
        <v>1</v>
      </c>
      <c r="G55" s="19">
        <f>COUNTIFS(SSC_Ontology_Ver0.5!$A$1423:$A$1572,SUBSTITUTE($A55,"{H}",G$29),SSC_Ontology_Ver0.5!$C$1423:$C$1572,$B55,SSC_Ontology_Ver0.5!$D$1423:$D$1572,SUBSTITUTE($C55,"{H}",G$29))</f>
        <v>1</v>
      </c>
      <c r="H55" s="19">
        <f>COUNTIFS(SSC_Ontology_Ver0.5!$A$1423:$A$1572,SUBSTITUTE($A55,"{H}",H$29),SSC_Ontology_Ver0.5!$C$1423:$C$1572,$B55,SSC_Ontology_Ver0.5!$D$1423:$D$1572,SUBSTITUTE($C55,"{H}",H$29))</f>
        <v>1</v>
      </c>
      <c r="I55" s="15" t="str">
        <f>IF(AND(MIN(D55:H55)=MAX(D55:H55),MAX(D55:H55)=1),"OK",IF(MIN(D55:H55)=0,"Not on all units","Duplicated"))</f>
        <v>OK</v>
      </c>
    </row>
    <row r="56" spans="1:9" x14ac:dyDescent="0.3">
      <c r="A56" s="13" t="s">
        <v>4932</v>
      </c>
      <c r="B56" s="14" t="s">
        <v>11</v>
      </c>
      <c r="C56" s="14" t="s">
        <v>12</v>
      </c>
      <c r="D56" s="19">
        <f>COUNTIFS(SSC_Ontology_Ver0.5!$A$1423:$A$1572,SUBSTITUTE($A56,"{H}",D$29),SSC_Ontology_Ver0.5!$C$1423:$C$1572,$B56,SSC_Ontology_Ver0.5!$D$1423:$D$1572,SUBSTITUTE($C56,"{H}",D$29))</f>
        <v>1</v>
      </c>
      <c r="E56" s="19">
        <f>COUNTIFS(SSC_Ontology_Ver0.5!$A$1423:$A$1572,SUBSTITUTE($A56,"{H}",E$29),SSC_Ontology_Ver0.5!$C$1423:$C$1572,$B56,SSC_Ontology_Ver0.5!$D$1423:$D$1572,SUBSTITUTE($C56,"{H}",E$29))</f>
        <v>1</v>
      </c>
      <c r="F56" s="19">
        <f>COUNTIFS(SSC_Ontology_Ver0.5!$A$1423:$A$1572,SUBSTITUTE($A56,"{H}",F$29),SSC_Ontology_Ver0.5!$C$1423:$C$1572,$B56,SSC_Ontology_Ver0.5!$D$1423:$D$1572,SUBSTITUTE($C56,"{H}",F$29))</f>
        <v>1</v>
      </c>
      <c r="G56" s="19">
        <f>COUNTIFS(SSC_Ontology_Ver0.5!$A$1423:$A$1572,SUBSTITUTE($A56,"{H}",G$29),SSC_Ontology_Ver0.5!$C$1423:$C$1572,$B56,SSC_Ontology_Ver0.5!$D$1423:$D$1572,SUBSTITUTE($C56,"{H}",G$29))</f>
        <v>1</v>
      </c>
      <c r="H56" s="19">
        <f>COUNTIFS(SSC_Ontology_Ver0.5!$A$1423:$A$1572,SUBSTITUTE($A56,"{H}",H$29),SSC_Ontology_Ver0.5!$C$1423:$C$1572,$B56,SSC_Ontology_Ver0.5!$D$1423:$D$1572,SUBSTITUTE($C56,"{H}",H$29))</f>
        <v>0</v>
      </c>
      <c r="I56" s="15" t="str">
        <f>IF(AND(MIN(D56:H56)=MAX(D56:H56),MAX(D56:H56)=1),"OK",IF(MIN(D56:H56)=0,"Not on all units","Duplicated"))</f>
        <v>Not on all units</v>
      </c>
    </row>
    <row r="57" spans="1:9" x14ac:dyDescent="0.3">
      <c r="A57" s="13" t="s">
        <v>4934</v>
      </c>
      <c r="B57" s="14" t="s">
        <v>11</v>
      </c>
      <c r="C57" s="14" t="s">
        <v>12</v>
      </c>
      <c r="D57" s="19">
        <f>COUNTIFS(SSC_Ontology_Ver0.5!$A$1423:$A$1572,SUBSTITUTE($A57,"{H}",D$29),SSC_Ontology_Ver0.5!$C$1423:$C$1572,$B57,SSC_Ontology_Ver0.5!$D$1423:$D$1572,SUBSTITUTE($C57,"{H}",D$29))</f>
        <v>1</v>
      </c>
      <c r="E57" s="19">
        <f>COUNTIFS(SSC_Ontology_Ver0.5!$A$1423:$A$1572,SUBSTITUTE($A57,"{H}",E$29),SSC_Ontology_Ver0.5!$C$1423:$C$1572,$B57,SSC_Ontology_Ver0.5!$D$1423:$D$1572,SUBSTITUTE($C57,"{H}",E$29))</f>
        <v>1</v>
      </c>
      <c r="F57" s="19">
        <f>COUNTIFS(SSC_Ontology_Ver0.5!$A$1423:$A$1572,SUBSTITUTE($A57,"{H}",F$29),SSC_Ontology_Ver0.5!$C$1423:$C$1572,$B57,SSC_Ontology_Ver0.5!$D$1423:$D$1572,SUBSTITUTE($C57,"{H}",F$29))</f>
        <v>1</v>
      </c>
      <c r="G57" s="19">
        <f>COUNTIFS(SSC_Ontology_Ver0.5!$A$1423:$A$1572,SUBSTITUTE($A57,"{H}",G$29),SSC_Ontology_Ver0.5!$C$1423:$C$1572,$B57,SSC_Ontology_Ver0.5!$D$1423:$D$1572,SUBSTITUTE($C57,"{H}",G$29))</f>
        <v>1</v>
      </c>
      <c r="H57" s="19">
        <f>COUNTIFS(SSC_Ontology_Ver0.5!$A$1423:$A$1572,SUBSTITUTE($A57,"{H}",H$29),SSC_Ontology_Ver0.5!$C$1423:$C$1572,$B57,SSC_Ontology_Ver0.5!$D$1423:$D$1572,SUBSTITUTE($C57,"{H}",H$29))</f>
        <v>0</v>
      </c>
      <c r="I57" s="15" t="str">
        <f>IF(AND(MIN(D57:H57)=MAX(D57:H57),MAX(D57:H57)=1),"OK",IF(MIN(D57:H57)=0,"Not on all units","Duplicated"))</f>
        <v>Not on all units</v>
      </c>
    </row>
    <row r="58" spans="1:9" x14ac:dyDescent="0.3">
      <c r="A58" s="13" t="s">
        <v>4933</v>
      </c>
      <c r="B58" s="14" t="s">
        <v>11</v>
      </c>
      <c r="C58" s="14" t="s">
        <v>12</v>
      </c>
      <c r="D58" s="19">
        <f>COUNTIFS(SSC_Ontology_Ver0.5!$A$1423:$A$1572,SUBSTITUTE($A58,"{H}",D$29),SSC_Ontology_Ver0.5!$C$1423:$C$1572,$B58,SSC_Ontology_Ver0.5!$D$1423:$D$1572,SUBSTITUTE($C58,"{H}",D$29))</f>
        <v>1</v>
      </c>
      <c r="E58" s="19">
        <f>COUNTIFS(SSC_Ontology_Ver0.5!$A$1423:$A$1572,SUBSTITUTE($A58,"{H}",E$29),SSC_Ontology_Ver0.5!$C$1423:$C$1572,$B58,SSC_Ontology_Ver0.5!$D$1423:$D$1572,SUBSTITUTE($C58,"{H}",E$29))</f>
        <v>1</v>
      </c>
      <c r="F58" s="19">
        <f>COUNTIFS(SSC_Ontology_Ver0.5!$A$1423:$A$1572,SUBSTITUTE($A58,"{H}",F$29),SSC_Ontology_Ver0.5!$C$1423:$C$1572,$B58,SSC_Ontology_Ver0.5!$D$1423:$D$1572,SUBSTITUTE($C58,"{H}",F$29))</f>
        <v>1</v>
      </c>
      <c r="G58" s="19">
        <f>COUNTIFS(SSC_Ontology_Ver0.5!$A$1423:$A$1572,SUBSTITUTE($A58,"{H}",G$29),SSC_Ontology_Ver0.5!$C$1423:$C$1572,$B58,SSC_Ontology_Ver0.5!$D$1423:$D$1572,SUBSTITUTE($C58,"{H}",G$29))</f>
        <v>1</v>
      </c>
      <c r="H58" s="19">
        <f>COUNTIFS(SSC_Ontology_Ver0.5!$A$1423:$A$1572,SUBSTITUTE($A58,"{H}",H$29),SSC_Ontology_Ver0.5!$C$1423:$C$1572,$B58,SSC_Ontology_Ver0.5!$D$1423:$D$1572,SUBSTITUTE($C58,"{H}",H$29))</f>
        <v>0</v>
      </c>
      <c r="I58" s="15" t="str">
        <f>IF(AND(MIN(D58:H58)=MAX(D58:H58),MAX(D58:H58)=1),"OK",IF(MIN(D58:H58)=0,"Not on all units","Duplicated"))</f>
        <v>Not on all units</v>
      </c>
    </row>
    <row r="59" spans="1:9" x14ac:dyDescent="0.3">
      <c r="A59" s="13" t="s">
        <v>4935</v>
      </c>
      <c r="B59" s="14" t="s">
        <v>11</v>
      </c>
      <c r="C59" s="14" t="s">
        <v>12</v>
      </c>
      <c r="D59" s="19">
        <f>COUNTIFS(SSC_Ontology_Ver0.5!$A$1423:$A$1572,SUBSTITUTE($A59,"{H}",D$29),SSC_Ontology_Ver0.5!$C$1423:$C$1572,$B59,SSC_Ontology_Ver0.5!$D$1423:$D$1572,SUBSTITUTE($C59,"{H}",D$29))</f>
        <v>1</v>
      </c>
      <c r="E59" s="19">
        <f>COUNTIFS(SSC_Ontology_Ver0.5!$A$1423:$A$1572,SUBSTITUTE($A59,"{H}",E$29),SSC_Ontology_Ver0.5!$C$1423:$C$1572,$B59,SSC_Ontology_Ver0.5!$D$1423:$D$1572,SUBSTITUTE($C59,"{H}",E$29))</f>
        <v>1</v>
      </c>
      <c r="F59" s="19">
        <f>COUNTIFS(SSC_Ontology_Ver0.5!$A$1423:$A$1572,SUBSTITUTE($A59,"{H}",F$29),SSC_Ontology_Ver0.5!$C$1423:$C$1572,$B59,SSC_Ontology_Ver0.5!$D$1423:$D$1572,SUBSTITUTE($C59,"{H}",F$29))</f>
        <v>1</v>
      </c>
      <c r="G59" s="19">
        <f>COUNTIFS(SSC_Ontology_Ver0.5!$A$1423:$A$1572,SUBSTITUTE($A59,"{H}",G$29),SSC_Ontology_Ver0.5!$C$1423:$C$1572,$B59,SSC_Ontology_Ver0.5!$D$1423:$D$1572,SUBSTITUTE($C59,"{H}",G$29))</f>
        <v>1</v>
      </c>
      <c r="H59" s="19">
        <f>COUNTIFS(SSC_Ontology_Ver0.5!$A$1423:$A$1572,SUBSTITUTE($A59,"{H}",H$29),SSC_Ontology_Ver0.5!$C$1423:$C$1572,$B59,SSC_Ontology_Ver0.5!$D$1423:$D$1572,SUBSTITUTE($C59,"{H}",H$29))</f>
        <v>0</v>
      </c>
      <c r="I59" s="15" t="str">
        <f>IF(AND(MIN(D59:H59)=MAX(D59:H59),MAX(D59:H59)=1),"OK",IF(MIN(D59:H59)=0,"Not on all units","Duplicated"))</f>
        <v>Not on all units</v>
      </c>
    </row>
    <row r="60" spans="1:9" x14ac:dyDescent="0.3">
      <c r="A60" s="13" t="s">
        <v>4936</v>
      </c>
      <c r="B60" s="14" t="s">
        <v>11</v>
      </c>
      <c r="C60" s="14" t="s">
        <v>12</v>
      </c>
      <c r="D60" s="19">
        <f>COUNTIFS(SSC_Ontology_Ver0.5!$A$1423:$A$1572,SUBSTITUTE($A60,"{H}",D$29),SSC_Ontology_Ver0.5!$C$1423:$C$1572,$B60,SSC_Ontology_Ver0.5!$D$1423:$D$1572,SUBSTITUTE($C60,"{H}",D$29))</f>
        <v>1</v>
      </c>
      <c r="E60" s="19">
        <f>COUNTIFS(SSC_Ontology_Ver0.5!$A$1423:$A$1572,SUBSTITUTE($A60,"{H}",E$29),SSC_Ontology_Ver0.5!$C$1423:$C$1572,$B60,SSC_Ontology_Ver0.5!$D$1423:$D$1572,SUBSTITUTE($C60,"{H}",E$29))</f>
        <v>1</v>
      </c>
      <c r="F60" s="19">
        <f>COUNTIFS(SSC_Ontology_Ver0.5!$A$1423:$A$1572,SUBSTITUTE($A60,"{H}",F$29),SSC_Ontology_Ver0.5!$C$1423:$C$1572,$B60,SSC_Ontology_Ver0.5!$D$1423:$D$1572,SUBSTITUTE($C60,"{H}",F$29))</f>
        <v>1</v>
      </c>
      <c r="G60" s="19">
        <f>COUNTIFS(SSC_Ontology_Ver0.5!$A$1423:$A$1572,SUBSTITUTE($A60,"{H}",G$29),SSC_Ontology_Ver0.5!$C$1423:$C$1572,$B60,SSC_Ontology_Ver0.5!$D$1423:$D$1572,SUBSTITUTE($C60,"{H}",G$29))</f>
        <v>1</v>
      </c>
      <c r="H60" s="19">
        <f>COUNTIFS(SSC_Ontology_Ver0.5!$A$1423:$A$1572,SUBSTITUTE($A60,"{H}",H$29),SSC_Ontology_Ver0.5!$C$1423:$C$1572,$B60,SSC_Ontology_Ver0.5!$D$1423:$D$1572,SUBSTITUTE($C60,"{H}",H$29))</f>
        <v>0</v>
      </c>
      <c r="I60" s="15" t="str">
        <f>IF(AND(MIN(D60:H60)=MAX(D60:H60),MAX(D60:H60)=1),"OK",IF(MIN(D60:H60)=0,"Not on all units","Duplicated"))</f>
        <v>Not on all units</v>
      </c>
    </row>
    <row r="61" spans="1:9" x14ac:dyDescent="0.3">
      <c r="A61" s="16" t="s">
        <v>4949</v>
      </c>
      <c r="B61" s="17" t="s">
        <v>11</v>
      </c>
      <c r="C61" s="17" t="s">
        <v>12</v>
      </c>
      <c r="D61" s="20">
        <f>COUNTIFS(SSC_Ontology_Ver0.5!$A$1423:$A$1572,SUBSTITUTE($A61,"{H}",D$29),SSC_Ontology_Ver0.5!$C$1423:$C$1572,$B61,SSC_Ontology_Ver0.5!$D$1423:$D$1572,SUBSTITUTE($C61,"{H}",D$29))</f>
        <v>1</v>
      </c>
      <c r="E61" s="20">
        <f>COUNTIFS(SSC_Ontology_Ver0.5!$A$1423:$A$1572,SUBSTITUTE($A61,"{H}",E$29),SSC_Ontology_Ver0.5!$C$1423:$C$1572,$B61,SSC_Ontology_Ver0.5!$D$1423:$D$1572,SUBSTITUTE($C61,"{H}",E$29))</f>
        <v>1</v>
      </c>
      <c r="F61" s="20">
        <f>COUNTIFS(SSC_Ontology_Ver0.5!$A$1423:$A$1572,SUBSTITUTE($A61,"{H}",F$29),SSC_Ontology_Ver0.5!$C$1423:$C$1572,$B61,SSC_Ontology_Ver0.5!$D$1423:$D$1572,SUBSTITUTE($C61,"{H}",F$29))</f>
        <v>1</v>
      </c>
      <c r="G61" s="20">
        <f>COUNTIFS(SSC_Ontology_Ver0.5!$A$1423:$A$1572,SUBSTITUTE($A61,"{H}",G$29),SSC_Ontology_Ver0.5!$C$1423:$C$1572,$B61,SSC_Ontology_Ver0.5!$D$1423:$D$1572,SUBSTITUTE($C61,"{H}",G$29))</f>
        <v>1</v>
      </c>
      <c r="H61" s="20">
        <f>COUNTIFS(SSC_Ontology_Ver0.5!$A$1423:$A$1572,SUBSTITUTE($A61,"{H}",H$29),SSC_Ontology_Ver0.5!$C$1423:$C$1572,$B61,SSC_Ontology_Ver0.5!$D$1423:$D$1572,SUBSTITUTE($C61,"{H}",H$29))</f>
        <v>1</v>
      </c>
      <c r="I61" s="18" t="str">
        <f>IF(AND(MIN(D61:H61)=MAX(D61:H61),MAX(D61:H61)=1),"OK",IF(MIN(D61:H61)=0,"Not on all units","Duplicated"))</f>
        <v>OK</v>
      </c>
    </row>
  </sheetData>
  <conditionalFormatting sqref="A30:I61">
    <cfRule type="expression" dxfId="7" priority="1">
      <formula>$I30&lt;&gt;"OK"</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B1A05-ECB5-408B-AE53-FF78DC1FC2F8}">
  <dimension ref="A1:N55"/>
  <sheetViews>
    <sheetView workbookViewId="0">
      <pane ySplit="22" topLeftCell="A23" activePane="bottomLeft" state="frozen"/>
      <selection pane="bottomLeft"/>
    </sheetView>
  </sheetViews>
  <sheetFormatPr defaultRowHeight="14.4" x14ac:dyDescent="0.3"/>
  <cols>
    <col min="1" max="3" width="46.33203125" customWidth="1"/>
    <col min="4" max="13" width="12.5546875" customWidth="1"/>
    <col min="14" max="14" width="37" customWidth="1"/>
  </cols>
  <sheetData>
    <row r="1" spans="1:12" ht="18" x14ac:dyDescent="0.35">
      <c r="A1" s="7" t="s">
        <v>4958</v>
      </c>
    </row>
    <row r="2" spans="1:12" x14ac:dyDescent="0.3">
      <c r="A2" s="8" t="s">
        <v>4959</v>
      </c>
    </row>
    <row r="4" spans="1:12" x14ac:dyDescent="0.3">
      <c r="A4" s="6" t="s">
        <v>4960</v>
      </c>
    </row>
    <row r="5" spans="1:12" x14ac:dyDescent="0.3">
      <c r="A5" s="10" t="s">
        <v>4733</v>
      </c>
      <c r="B5" s="11" t="s">
        <v>4961</v>
      </c>
      <c r="C5" s="11" t="s">
        <v>4962</v>
      </c>
      <c r="D5" s="11" t="s">
        <v>4963</v>
      </c>
      <c r="E5" s="11" t="s">
        <v>4964</v>
      </c>
      <c r="F5" s="11" t="s">
        <v>4965</v>
      </c>
      <c r="G5" s="11" t="s">
        <v>4966</v>
      </c>
      <c r="H5" s="11" t="s">
        <v>4967</v>
      </c>
      <c r="I5" s="11" t="s">
        <v>4968</v>
      </c>
      <c r="J5" s="11" t="s">
        <v>4969</v>
      </c>
      <c r="K5" s="11" t="s">
        <v>4970</v>
      </c>
      <c r="L5" s="12" t="s">
        <v>4894</v>
      </c>
    </row>
    <row r="6" spans="1:12" x14ac:dyDescent="0.3">
      <c r="A6" s="13" t="s">
        <v>4739</v>
      </c>
      <c r="B6" s="19">
        <f>COUNTIF(SSC_Ontology_Ver0.5!$A$1573:$A$1680,"*"&amp;"DXB0001"&amp;"*")</f>
        <v>10</v>
      </c>
      <c r="C6" s="19">
        <f>COUNTIF(SSC_Ontology_Ver0.5!$A$1573:$A$1680,"*"&amp;"DXB0002"&amp;"*")</f>
        <v>10</v>
      </c>
      <c r="D6" s="19">
        <f>COUNTIF(SSC_Ontology_Ver0.5!$A$1573:$A$1680,"*"&amp;"DXB0003"&amp;"*")</f>
        <v>10</v>
      </c>
      <c r="E6" s="19">
        <f>COUNTIF(SSC_Ontology_Ver0.5!$A$1573:$A$1680,"*"&amp;"DXB0004"&amp;"*")</f>
        <v>10</v>
      </c>
      <c r="F6" s="19">
        <f>COUNTIF(SSC_Ontology_Ver0.5!$A$1573:$A$1680,"*"&amp;"DXB0005"&amp;"*")</f>
        <v>10</v>
      </c>
      <c r="G6" s="19">
        <f>COUNTIF(SSC_Ontology_Ver0.5!$A$1573:$A$1680,"*"&amp;"DXB0006"&amp;"*")</f>
        <v>10</v>
      </c>
      <c r="H6" s="19">
        <f>COUNTIF(SSC_Ontology_Ver0.5!$A$1573:$A$1680,"*"&amp;"DXB0007"&amp;"*")</f>
        <v>12</v>
      </c>
      <c r="I6" s="19">
        <f>COUNTIF(SSC_Ontology_Ver0.5!$A$1573:$A$1680,"*"&amp;"DXB0008"&amp;"*")</f>
        <v>12</v>
      </c>
      <c r="J6" s="19">
        <f>COUNTIF(SSC_Ontology_Ver0.5!$A$1573:$A$1680,"*"&amp;"DXB0009"&amp;"*")</f>
        <v>12</v>
      </c>
      <c r="K6" s="19">
        <f>COUNTIF(SSC_Ontology_Ver0.5!$A$1573:$A$1680,"*"&amp;"DXB0010"&amp;"*")</f>
        <v>12</v>
      </c>
      <c r="L6" s="25" t="str">
        <f>IF(MIN(B6:K6)=MAX(B6:K6),"YES","NO")</f>
        <v>NO</v>
      </c>
    </row>
    <row r="7" spans="1:12" x14ac:dyDescent="0.3">
      <c r="A7" s="16" t="s">
        <v>4971</v>
      </c>
      <c r="B7" s="20">
        <f>0</f>
        <v>0</v>
      </c>
      <c r="C7" s="20">
        <f>C6-$B$6</f>
        <v>0</v>
      </c>
      <c r="D7" s="20">
        <f>D6-$B$6</f>
        <v>0</v>
      </c>
      <c r="E7" s="20">
        <f>E6-$B$6</f>
        <v>0</v>
      </c>
      <c r="F7" s="20">
        <f>F6-$B$6</f>
        <v>0</v>
      </c>
      <c r="G7" s="20">
        <f>G6-$B$6</f>
        <v>0</v>
      </c>
      <c r="H7" s="20">
        <f>H6-$B$6</f>
        <v>2</v>
      </c>
      <c r="I7" s="20">
        <f>I6-$B$6</f>
        <v>2</v>
      </c>
      <c r="J7" s="20">
        <f>J6-$B$6</f>
        <v>2</v>
      </c>
      <c r="K7" s="20">
        <f>K6-$B$6</f>
        <v>2</v>
      </c>
      <c r="L7" s="26"/>
    </row>
    <row r="9" spans="1:12" x14ac:dyDescent="0.3">
      <c r="A9" s="6" t="s">
        <v>4845</v>
      </c>
    </row>
    <row r="10" spans="1:12" x14ac:dyDescent="0.3">
      <c r="A10" t="s">
        <v>4972</v>
      </c>
    </row>
    <row r="11" spans="1:12" x14ac:dyDescent="0.3">
      <c r="A11" t="s">
        <v>4973</v>
      </c>
    </row>
    <row r="12" spans="1:12" x14ac:dyDescent="0.3">
      <c r="A12" t="s">
        <v>4974</v>
      </c>
    </row>
    <row r="13" spans="1:12" x14ac:dyDescent="0.3">
      <c r="A13" t="s">
        <v>4975</v>
      </c>
    </row>
    <row r="14" spans="1:12" x14ac:dyDescent="0.3">
      <c r="A14" t="s">
        <v>4976</v>
      </c>
    </row>
    <row r="16" spans="1:12" x14ac:dyDescent="0.3">
      <c r="A16" s="6" t="s">
        <v>4977</v>
      </c>
    </row>
    <row r="17" spans="1:14" x14ac:dyDescent="0.3">
      <c r="A17" s="27" t="s">
        <v>4741</v>
      </c>
      <c r="B17" s="28" t="s">
        <v>4742</v>
      </c>
      <c r="C17" s="28" t="s">
        <v>4743</v>
      </c>
      <c r="D17" s="28" t="s">
        <v>4961</v>
      </c>
      <c r="E17" s="28" t="s">
        <v>4962</v>
      </c>
      <c r="F17" s="28" t="s">
        <v>4963</v>
      </c>
      <c r="G17" s="28" t="s">
        <v>4964</v>
      </c>
      <c r="H17" s="28" t="s">
        <v>4965</v>
      </c>
      <c r="I17" s="28" t="s">
        <v>4966</v>
      </c>
      <c r="J17" s="28" t="s">
        <v>4967</v>
      </c>
      <c r="K17" s="28" t="s">
        <v>4968</v>
      </c>
      <c r="L17" s="28" t="s">
        <v>4969</v>
      </c>
      <c r="M17" s="28" t="s">
        <v>4970</v>
      </c>
      <c r="N17" s="29" t="s">
        <v>4744</v>
      </c>
    </row>
    <row r="18" spans="1:14" x14ac:dyDescent="0.3">
      <c r="A18" s="13" t="s">
        <v>4978</v>
      </c>
      <c r="B18" s="14" t="s">
        <v>308</v>
      </c>
      <c r="C18" s="14" t="s">
        <v>4979</v>
      </c>
      <c r="D18" s="19">
        <f>COUNTIFS(SSC_Ontology_Ver0.5!$A$1573:$A$1680,SUBSTITUTE($A18,"{D}",D$17),SSC_Ontology_Ver0.5!$C$1573:$C$1680,$B18,SSC_Ontology_Ver0.5!$D$1573:$D$1680,SUBSTITUTE($C18,"{D}",D$17))</f>
        <v>0</v>
      </c>
      <c r="E18" s="19">
        <f>COUNTIFS(SSC_Ontology_Ver0.5!$A$1573:$A$1680,SUBSTITUTE($A18,"{D}",E$17),SSC_Ontology_Ver0.5!$C$1573:$C$1680,$B18,SSC_Ontology_Ver0.5!$D$1573:$D$1680,SUBSTITUTE($C18,"{D}",E$17))</f>
        <v>0</v>
      </c>
      <c r="F18" s="19">
        <f>COUNTIFS(SSC_Ontology_Ver0.5!$A$1573:$A$1680,SUBSTITUTE($A18,"{D}",F$17),SSC_Ontology_Ver0.5!$C$1573:$C$1680,$B18,SSC_Ontology_Ver0.5!$D$1573:$D$1680,SUBSTITUTE($C18,"{D}",F$17))</f>
        <v>0</v>
      </c>
      <c r="G18" s="19">
        <f>COUNTIFS(SSC_Ontology_Ver0.5!$A$1573:$A$1680,SUBSTITUTE($A18,"{D}",G$17),SSC_Ontology_Ver0.5!$C$1573:$C$1680,$B18,SSC_Ontology_Ver0.5!$D$1573:$D$1680,SUBSTITUTE($C18,"{D}",G$17))</f>
        <v>0</v>
      </c>
      <c r="H18" s="19">
        <f>COUNTIFS(SSC_Ontology_Ver0.5!$A$1573:$A$1680,SUBSTITUTE($A18,"{D}",H$17),SSC_Ontology_Ver0.5!$C$1573:$C$1680,$B18,SSC_Ontology_Ver0.5!$D$1573:$D$1680,SUBSTITUTE($C18,"{D}",H$17))</f>
        <v>0</v>
      </c>
      <c r="I18" s="19">
        <f>COUNTIFS(SSC_Ontology_Ver0.5!$A$1573:$A$1680,SUBSTITUTE($A18,"{D}",I$17),SSC_Ontology_Ver0.5!$C$1573:$C$1680,$B18,SSC_Ontology_Ver0.5!$D$1573:$D$1680,SUBSTITUTE($C18,"{D}",I$17))</f>
        <v>0</v>
      </c>
      <c r="J18" s="19">
        <f>COUNTIFS(SSC_Ontology_Ver0.5!$A$1573:$A$1680,SUBSTITUTE($A18,"{D}",J$17),SSC_Ontology_Ver0.5!$C$1573:$C$1680,$B18,SSC_Ontology_Ver0.5!$D$1573:$D$1680,SUBSTITUTE($C18,"{D}",J$17))</f>
        <v>1</v>
      </c>
      <c r="K18" s="19">
        <f>COUNTIFS(SSC_Ontology_Ver0.5!$A$1573:$A$1680,SUBSTITUTE($A18,"{D}",K$17),SSC_Ontology_Ver0.5!$C$1573:$C$1680,$B18,SSC_Ontology_Ver0.5!$D$1573:$D$1680,SUBSTITUTE($C18,"{D}",K$17))</f>
        <v>1</v>
      </c>
      <c r="L18" s="19">
        <f>COUNTIFS(SSC_Ontology_Ver0.5!$A$1573:$A$1680,SUBSTITUTE($A18,"{D}",L$17),SSC_Ontology_Ver0.5!$C$1573:$C$1680,$B18,SSC_Ontology_Ver0.5!$D$1573:$D$1680,SUBSTITUTE($C18,"{D}",L$17))</f>
        <v>1</v>
      </c>
      <c r="M18" s="19">
        <f>COUNTIFS(SSC_Ontology_Ver0.5!$A$1573:$A$1680,SUBSTITUTE($A18,"{D}",M$17),SSC_Ontology_Ver0.5!$C$1573:$C$1680,$B18,SSC_Ontology_Ver0.5!$D$1573:$D$1680,SUBSTITUTE($C18,"{D}",M$17))</f>
        <v>1</v>
      </c>
      <c r="N18" s="15" t="s">
        <v>4980</v>
      </c>
    </row>
    <row r="19" spans="1:14" x14ac:dyDescent="0.3">
      <c r="A19" s="16" t="s">
        <v>4979</v>
      </c>
      <c r="B19" s="17" t="s">
        <v>11</v>
      </c>
      <c r="C19" s="17" t="s">
        <v>12</v>
      </c>
      <c r="D19" s="20">
        <f>COUNTIFS(SSC_Ontology_Ver0.5!$A$1573:$A$1680,SUBSTITUTE($A19,"{D}",D$17),SSC_Ontology_Ver0.5!$C$1573:$C$1680,$B19,SSC_Ontology_Ver0.5!$D$1573:$D$1680,SUBSTITUTE($C19,"{D}",D$17))</f>
        <v>0</v>
      </c>
      <c r="E19" s="20">
        <f>COUNTIFS(SSC_Ontology_Ver0.5!$A$1573:$A$1680,SUBSTITUTE($A19,"{D}",E$17),SSC_Ontology_Ver0.5!$C$1573:$C$1680,$B19,SSC_Ontology_Ver0.5!$D$1573:$D$1680,SUBSTITUTE($C19,"{D}",E$17))</f>
        <v>0</v>
      </c>
      <c r="F19" s="20">
        <f>COUNTIFS(SSC_Ontology_Ver0.5!$A$1573:$A$1680,SUBSTITUTE($A19,"{D}",F$17),SSC_Ontology_Ver0.5!$C$1573:$C$1680,$B19,SSC_Ontology_Ver0.5!$D$1573:$D$1680,SUBSTITUTE($C19,"{D}",F$17))</f>
        <v>0</v>
      </c>
      <c r="G19" s="20">
        <f>COUNTIFS(SSC_Ontology_Ver0.5!$A$1573:$A$1680,SUBSTITUTE($A19,"{D}",G$17),SSC_Ontology_Ver0.5!$C$1573:$C$1680,$B19,SSC_Ontology_Ver0.5!$D$1573:$D$1680,SUBSTITUTE($C19,"{D}",G$17))</f>
        <v>0</v>
      </c>
      <c r="H19" s="20">
        <f>COUNTIFS(SSC_Ontology_Ver0.5!$A$1573:$A$1680,SUBSTITUTE($A19,"{D}",H$17),SSC_Ontology_Ver0.5!$C$1573:$C$1680,$B19,SSC_Ontology_Ver0.5!$D$1573:$D$1680,SUBSTITUTE($C19,"{D}",H$17))</f>
        <v>0</v>
      </c>
      <c r="I19" s="20">
        <f>COUNTIFS(SSC_Ontology_Ver0.5!$A$1573:$A$1680,SUBSTITUTE($A19,"{D}",I$17),SSC_Ontology_Ver0.5!$C$1573:$C$1680,$B19,SSC_Ontology_Ver0.5!$D$1573:$D$1680,SUBSTITUTE($C19,"{D}",I$17))</f>
        <v>0</v>
      </c>
      <c r="J19" s="20">
        <f>COUNTIFS(SSC_Ontology_Ver0.5!$A$1573:$A$1680,SUBSTITUTE($A19,"{D}",J$17),SSC_Ontology_Ver0.5!$C$1573:$C$1680,$B19,SSC_Ontology_Ver0.5!$D$1573:$D$1680,SUBSTITUTE($C19,"{D}",J$17))</f>
        <v>1</v>
      </c>
      <c r="K19" s="20">
        <f>COUNTIFS(SSC_Ontology_Ver0.5!$A$1573:$A$1680,SUBSTITUTE($A19,"{D}",K$17),SSC_Ontology_Ver0.5!$C$1573:$C$1680,$B19,SSC_Ontology_Ver0.5!$D$1573:$D$1680,SUBSTITUTE($C19,"{D}",K$17))</f>
        <v>1</v>
      </c>
      <c r="L19" s="20">
        <f>COUNTIFS(SSC_Ontology_Ver0.5!$A$1573:$A$1680,SUBSTITUTE($A19,"{D}",L$17),SSC_Ontology_Ver0.5!$C$1573:$C$1680,$B19,SSC_Ontology_Ver0.5!$D$1573:$D$1680,SUBSTITUTE($C19,"{D}",L$17))</f>
        <v>1</v>
      </c>
      <c r="M19" s="20">
        <f>COUNTIFS(SSC_Ontology_Ver0.5!$A$1573:$A$1680,SUBSTITUTE($A19,"{D}",M$17),SSC_Ontology_Ver0.5!$C$1573:$C$1680,$B19,SSC_Ontology_Ver0.5!$D$1573:$D$1680,SUBSTITUTE($C19,"{D}",M$17))</f>
        <v>1</v>
      </c>
      <c r="N19" s="18" t="s">
        <v>4981</v>
      </c>
    </row>
    <row r="21" spans="1:14" x14ac:dyDescent="0.3">
      <c r="A21" s="6" t="s">
        <v>4982</v>
      </c>
    </row>
    <row r="22" spans="1:14" x14ac:dyDescent="0.3">
      <c r="A22" s="10" t="s">
        <v>4741</v>
      </c>
      <c r="B22" s="11" t="s">
        <v>4742</v>
      </c>
      <c r="C22" s="11" t="s">
        <v>4743</v>
      </c>
      <c r="D22" s="11" t="s">
        <v>4961</v>
      </c>
      <c r="E22" s="11" t="s">
        <v>4962</v>
      </c>
      <c r="F22" s="11" t="s">
        <v>4963</v>
      </c>
      <c r="G22" s="11" t="s">
        <v>4964</v>
      </c>
      <c r="H22" s="11" t="s">
        <v>4965</v>
      </c>
      <c r="I22" s="11" t="s">
        <v>4966</v>
      </c>
      <c r="J22" s="11" t="s">
        <v>4967</v>
      </c>
      <c r="K22" s="11" t="s">
        <v>4968</v>
      </c>
      <c r="L22" s="11" t="s">
        <v>4969</v>
      </c>
      <c r="M22" s="11" t="s">
        <v>4970</v>
      </c>
      <c r="N22" s="12" t="s">
        <v>4760</v>
      </c>
    </row>
    <row r="23" spans="1:14" x14ac:dyDescent="0.3">
      <c r="A23" s="13" t="s">
        <v>4978</v>
      </c>
      <c r="B23" s="14" t="s">
        <v>308</v>
      </c>
      <c r="C23" s="14" t="s">
        <v>4983</v>
      </c>
      <c r="D23" s="19">
        <f>COUNTIFS(SSC_Ontology_Ver0.5!$A$1573:$A$1680,SUBSTITUTE($A23,"{D}",D$22),SSC_Ontology_Ver0.5!$C$1573:$C$1680,$B23,SSC_Ontology_Ver0.5!$D$1573:$D$1680,SUBSTITUTE($C23,"{D}",D$22))</f>
        <v>1</v>
      </c>
      <c r="E23" s="19">
        <f>COUNTIFS(SSC_Ontology_Ver0.5!$A$1573:$A$1680,SUBSTITUTE($A23,"{D}",E$22),SSC_Ontology_Ver0.5!$C$1573:$C$1680,$B23,SSC_Ontology_Ver0.5!$D$1573:$D$1680,SUBSTITUTE($C23,"{D}",E$22))</f>
        <v>1</v>
      </c>
      <c r="F23" s="19">
        <f>COUNTIFS(SSC_Ontology_Ver0.5!$A$1573:$A$1680,SUBSTITUTE($A23,"{D}",F$22),SSC_Ontology_Ver0.5!$C$1573:$C$1680,$B23,SSC_Ontology_Ver0.5!$D$1573:$D$1680,SUBSTITUTE($C23,"{D}",F$22))</f>
        <v>1</v>
      </c>
      <c r="G23" s="19">
        <f>COUNTIFS(SSC_Ontology_Ver0.5!$A$1573:$A$1680,SUBSTITUTE($A23,"{D}",G$22),SSC_Ontology_Ver0.5!$C$1573:$C$1680,$B23,SSC_Ontology_Ver0.5!$D$1573:$D$1680,SUBSTITUTE($C23,"{D}",G$22))</f>
        <v>1</v>
      </c>
      <c r="H23" s="19">
        <f>COUNTIFS(SSC_Ontology_Ver0.5!$A$1573:$A$1680,SUBSTITUTE($A23,"{D}",H$22),SSC_Ontology_Ver0.5!$C$1573:$C$1680,$B23,SSC_Ontology_Ver0.5!$D$1573:$D$1680,SUBSTITUTE($C23,"{D}",H$22))</f>
        <v>1</v>
      </c>
      <c r="I23" s="19">
        <f>COUNTIFS(SSC_Ontology_Ver0.5!$A$1573:$A$1680,SUBSTITUTE($A23,"{D}",I$22),SSC_Ontology_Ver0.5!$C$1573:$C$1680,$B23,SSC_Ontology_Ver0.5!$D$1573:$D$1680,SUBSTITUTE($C23,"{D}",I$22))</f>
        <v>1</v>
      </c>
      <c r="J23" s="19">
        <f>COUNTIFS(SSC_Ontology_Ver0.5!$A$1573:$A$1680,SUBSTITUTE($A23,"{D}",J$22),SSC_Ontology_Ver0.5!$C$1573:$C$1680,$B23,SSC_Ontology_Ver0.5!$D$1573:$D$1680,SUBSTITUTE($C23,"{D}",J$22))</f>
        <v>1</v>
      </c>
      <c r="K23" s="19">
        <f>COUNTIFS(SSC_Ontology_Ver0.5!$A$1573:$A$1680,SUBSTITUTE($A23,"{D}",K$22),SSC_Ontology_Ver0.5!$C$1573:$C$1680,$B23,SSC_Ontology_Ver0.5!$D$1573:$D$1680,SUBSTITUTE($C23,"{D}",K$22))</f>
        <v>1</v>
      </c>
      <c r="L23" s="19">
        <f>COUNTIFS(SSC_Ontology_Ver0.5!$A$1573:$A$1680,SUBSTITUTE($A23,"{D}",L$22),SSC_Ontology_Ver0.5!$C$1573:$C$1680,$B23,SSC_Ontology_Ver0.5!$D$1573:$D$1680,SUBSTITUTE($C23,"{D}",L$22))</f>
        <v>1</v>
      </c>
      <c r="M23" s="19">
        <f>COUNTIFS(SSC_Ontology_Ver0.5!$A$1573:$A$1680,SUBSTITUTE($A23,"{D}",M$22),SSC_Ontology_Ver0.5!$C$1573:$C$1680,$B23,SSC_Ontology_Ver0.5!$D$1573:$D$1680,SUBSTITUTE($C23,"{D}",M$22))</f>
        <v>1</v>
      </c>
      <c r="N23" s="15" t="str">
        <f>IF(OR($B23="rec:locatedIn",$B23="rec:feeds"),"Excluded - varies by room",IF(AND(MIN(D23:M23)=MAX(D23:M23),MAX(D23:M23)=1),"OK",IF(MIN(D23:M23)=0,"Not on all units","Duplicated")))</f>
        <v>OK</v>
      </c>
    </row>
    <row r="24" spans="1:14" x14ac:dyDescent="0.3">
      <c r="A24" s="13" t="s">
        <v>4978</v>
      </c>
      <c r="B24" s="14" t="s">
        <v>308</v>
      </c>
      <c r="C24" s="14" t="s">
        <v>4984</v>
      </c>
      <c r="D24" s="19">
        <f>COUNTIFS(SSC_Ontology_Ver0.5!$A$1573:$A$1680,SUBSTITUTE($A24,"{D}",D$22),SSC_Ontology_Ver0.5!$C$1573:$C$1680,$B24,SSC_Ontology_Ver0.5!$D$1573:$D$1680,SUBSTITUTE($C24,"{D}",D$22))</f>
        <v>1</v>
      </c>
      <c r="E24" s="19">
        <f>COUNTIFS(SSC_Ontology_Ver0.5!$A$1573:$A$1680,SUBSTITUTE($A24,"{D}",E$22),SSC_Ontology_Ver0.5!$C$1573:$C$1680,$B24,SSC_Ontology_Ver0.5!$D$1573:$D$1680,SUBSTITUTE($C24,"{D}",E$22))</f>
        <v>1</v>
      </c>
      <c r="F24" s="19">
        <f>COUNTIFS(SSC_Ontology_Ver0.5!$A$1573:$A$1680,SUBSTITUTE($A24,"{D}",F$22),SSC_Ontology_Ver0.5!$C$1573:$C$1680,$B24,SSC_Ontology_Ver0.5!$D$1573:$D$1680,SUBSTITUTE($C24,"{D}",F$22))</f>
        <v>1</v>
      </c>
      <c r="G24" s="19">
        <f>COUNTIFS(SSC_Ontology_Ver0.5!$A$1573:$A$1680,SUBSTITUTE($A24,"{D}",G$22),SSC_Ontology_Ver0.5!$C$1573:$C$1680,$B24,SSC_Ontology_Ver0.5!$D$1573:$D$1680,SUBSTITUTE($C24,"{D}",G$22))</f>
        <v>1</v>
      </c>
      <c r="H24" s="19">
        <f>COUNTIFS(SSC_Ontology_Ver0.5!$A$1573:$A$1680,SUBSTITUTE($A24,"{D}",H$22),SSC_Ontology_Ver0.5!$C$1573:$C$1680,$B24,SSC_Ontology_Ver0.5!$D$1573:$D$1680,SUBSTITUTE($C24,"{D}",H$22))</f>
        <v>1</v>
      </c>
      <c r="I24" s="19">
        <f>COUNTIFS(SSC_Ontology_Ver0.5!$A$1573:$A$1680,SUBSTITUTE($A24,"{D}",I$22),SSC_Ontology_Ver0.5!$C$1573:$C$1680,$B24,SSC_Ontology_Ver0.5!$D$1573:$D$1680,SUBSTITUTE($C24,"{D}",I$22))</f>
        <v>1</v>
      </c>
      <c r="J24" s="19">
        <f>COUNTIFS(SSC_Ontology_Ver0.5!$A$1573:$A$1680,SUBSTITUTE($A24,"{D}",J$22),SSC_Ontology_Ver0.5!$C$1573:$C$1680,$B24,SSC_Ontology_Ver0.5!$D$1573:$D$1680,SUBSTITUTE($C24,"{D}",J$22))</f>
        <v>1</v>
      </c>
      <c r="K24" s="19">
        <f>COUNTIFS(SSC_Ontology_Ver0.5!$A$1573:$A$1680,SUBSTITUTE($A24,"{D}",K$22),SSC_Ontology_Ver0.5!$C$1573:$C$1680,$B24,SSC_Ontology_Ver0.5!$D$1573:$D$1680,SUBSTITUTE($C24,"{D}",K$22))</f>
        <v>1</v>
      </c>
      <c r="L24" s="19">
        <f>COUNTIFS(SSC_Ontology_Ver0.5!$A$1573:$A$1680,SUBSTITUTE($A24,"{D}",L$22),SSC_Ontology_Ver0.5!$C$1573:$C$1680,$B24,SSC_Ontology_Ver0.5!$D$1573:$D$1680,SUBSTITUTE($C24,"{D}",L$22))</f>
        <v>1</v>
      </c>
      <c r="M24" s="19">
        <f>COUNTIFS(SSC_Ontology_Ver0.5!$A$1573:$A$1680,SUBSTITUTE($A24,"{D}",M$22),SSC_Ontology_Ver0.5!$C$1573:$C$1680,$B24,SSC_Ontology_Ver0.5!$D$1573:$D$1680,SUBSTITUTE($C24,"{D}",M$22))</f>
        <v>1</v>
      </c>
      <c r="N24" s="15" t="str">
        <f>IF(OR($B24="rec:locatedIn",$B24="rec:feeds"),"Excluded - varies by room",IF(AND(MIN(D24:M24)=MAX(D24:M24),MAX(D24:M24)=1),"OK",IF(MIN(D24:M24)=0,"Not on all units","Duplicated")))</f>
        <v>OK</v>
      </c>
    </row>
    <row r="25" spans="1:14" x14ac:dyDescent="0.3">
      <c r="A25" s="13" t="s">
        <v>4978</v>
      </c>
      <c r="B25" s="14" t="s">
        <v>308</v>
      </c>
      <c r="C25" s="14" t="s">
        <v>4985</v>
      </c>
      <c r="D25" s="19">
        <f>COUNTIFS(SSC_Ontology_Ver0.5!$A$1573:$A$1680,SUBSTITUTE($A25,"{D}",D$22),SSC_Ontology_Ver0.5!$C$1573:$C$1680,$B25,SSC_Ontology_Ver0.5!$D$1573:$D$1680,SUBSTITUTE($C25,"{D}",D$22))</f>
        <v>1</v>
      </c>
      <c r="E25" s="19">
        <f>COUNTIFS(SSC_Ontology_Ver0.5!$A$1573:$A$1680,SUBSTITUTE($A25,"{D}",E$22),SSC_Ontology_Ver0.5!$C$1573:$C$1680,$B25,SSC_Ontology_Ver0.5!$D$1573:$D$1680,SUBSTITUTE($C25,"{D}",E$22))</f>
        <v>1</v>
      </c>
      <c r="F25" s="19">
        <f>COUNTIFS(SSC_Ontology_Ver0.5!$A$1573:$A$1680,SUBSTITUTE($A25,"{D}",F$22),SSC_Ontology_Ver0.5!$C$1573:$C$1680,$B25,SSC_Ontology_Ver0.5!$D$1573:$D$1680,SUBSTITUTE($C25,"{D}",F$22))</f>
        <v>1</v>
      </c>
      <c r="G25" s="19">
        <f>COUNTIFS(SSC_Ontology_Ver0.5!$A$1573:$A$1680,SUBSTITUTE($A25,"{D}",G$22),SSC_Ontology_Ver0.5!$C$1573:$C$1680,$B25,SSC_Ontology_Ver0.5!$D$1573:$D$1680,SUBSTITUTE($C25,"{D}",G$22))</f>
        <v>1</v>
      </c>
      <c r="H25" s="19">
        <f>COUNTIFS(SSC_Ontology_Ver0.5!$A$1573:$A$1680,SUBSTITUTE($A25,"{D}",H$22),SSC_Ontology_Ver0.5!$C$1573:$C$1680,$B25,SSC_Ontology_Ver0.5!$D$1573:$D$1680,SUBSTITUTE($C25,"{D}",H$22))</f>
        <v>1</v>
      </c>
      <c r="I25" s="19">
        <f>COUNTIFS(SSC_Ontology_Ver0.5!$A$1573:$A$1680,SUBSTITUTE($A25,"{D}",I$22),SSC_Ontology_Ver0.5!$C$1573:$C$1680,$B25,SSC_Ontology_Ver0.5!$D$1573:$D$1680,SUBSTITUTE($C25,"{D}",I$22))</f>
        <v>1</v>
      </c>
      <c r="J25" s="19">
        <f>COUNTIFS(SSC_Ontology_Ver0.5!$A$1573:$A$1680,SUBSTITUTE($A25,"{D}",J$22),SSC_Ontology_Ver0.5!$C$1573:$C$1680,$B25,SSC_Ontology_Ver0.5!$D$1573:$D$1680,SUBSTITUTE($C25,"{D}",J$22))</f>
        <v>1</v>
      </c>
      <c r="K25" s="19">
        <f>COUNTIFS(SSC_Ontology_Ver0.5!$A$1573:$A$1680,SUBSTITUTE($A25,"{D}",K$22),SSC_Ontology_Ver0.5!$C$1573:$C$1680,$B25,SSC_Ontology_Ver0.5!$D$1573:$D$1680,SUBSTITUTE($C25,"{D}",K$22))</f>
        <v>1</v>
      </c>
      <c r="L25" s="19">
        <f>COUNTIFS(SSC_Ontology_Ver0.5!$A$1573:$A$1680,SUBSTITUTE($A25,"{D}",L$22),SSC_Ontology_Ver0.5!$C$1573:$C$1680,$B25,SSC_Ontology_Ver0.5!$D$1573:$D$1680,SUBSTITUTE($C25,"{D}",L$22))</f>
        <v>1</v>
      </c>
      <c r="M25" s="19">
        <f>COUNTIFS(SSC_Ontology_Ver0.5!$A$1573:$A$1680,SUBSTITUTE($A25,"{D}",M$22),SSC_Ontology_Ver0.5!$C$1573:$C$1680,$B25,SSC_Ontology_Ver0.5!$D$1573:$D$1680,SUBSTITUTE($C25,"{D}",M$22))</f>
        <v>1</v>
      </c>
      <c r="N25" s="15" t="str">
        <f>IF(OR($B25="rec:locatedIn",$B25="rec:feeds"),"Excluded - varies by room",IF(AND(MIN(D25:M25)=MAX(D25:M25),MAX(D25:M25)=1),"OK",IF(MIN(D25:M25)=0,"Not on all units","Duplicated")))</f>
        <v>OK</v>
      </c>
    </row>
    <row r="26" spans="1:14" x14ac:dyDescent="0.3">
      <c r="A26" s="13" t="s">
        <v>4978</v>
      </c>
      <c r="B26" s="14" t="s">
        <v>308</v>
      </c>
      <c r="C26" s="14" t="s">
        <v>4979</v>
      </c>
      <c r="D26" s="19">
        <f>COUNTIFS(SSC_Ontology_Ver0.5!$A$1573:$A$1680,SUBSTITUTE($A26,"{D}",D$22),SSC_Ontology_Ver0.5!$C$1573:$C$1680,$B26,SSC_Ontology_Ver0.5!$D$1573:$D$1680,SUBSTITUTE($C26,"{D}",D$22))</f>
        <v>0</v>
      </c>
      <c r="E26" s="19">
        <f>COUNTIFS(SSC_Ontology_Ver0.5!$A$1573:$A$1680,SUBSTITUTE($A26,"{D}",E$22),SSC_Ontology_Ver0.5!$C$1573:$C$1680,$B26,SSC_Ontology_Ver0.5!$D$1573:$D$1680,SUBSTITUTE($C26,"{D}",E$22))</f>
        <v>0</v>
      </c>
      <c r="F26" s="19">
        <f>COUNTIFS(SSC_Ontology_Ver0.5!$A$1573:$A$1680,SUBSTITUTE($A26,"{D}",F$22),SSC_Ontology_Ver0.5!$C$1573:$C$1680,$B26,SSC_Ontology_Ver0.5!$D$1573:$D$1680,SUBSTITUTE($C26,"{D}",F$22))</f>
        <v>0</v>
      </c>
      <c r="G26" s="19">
        <f>COUNTIFS(SSC_Ontology_Ver0.5!$A$1573:$A$1680,SUBSTITUTE($A26,"{D}",G$22),SSC_Ontology_Ver0.5!$C$1573:$C$1680,$B26,SSC_Ontology_Ver0.5!$D$1573:$D$1680,SUBSTITUTE($C26,"{D}",G$22))</f>
        <v>0</v>
      </c>
      <c r="H26" s="19">
        <f>COUNTIFS(SSC_Ontology_Ver0.5!$A$1573:$A$1680,SUBSTITUTE($A26,"{D}",H$22),SSC_Ontology_Ver0.5!$C$1573:$C$1680,$B26,SSC_Ontology_Ver0.5!$D$1573:$D$1680,SUBSTITUTE($C26,"{D}",H$22))</f>
        <v>0</v>
      </c>
      <c r="I26" s="19">
        <f>COUNTIFS(SSC_Ontology_Ver0.5!$A$1573:$A$1680,SUBSTITUTE($A26,"{D}",I$22),SSC_Ontology_Ver0.5!$C$1573:$C$1680,$B26,SSC_Ontology_Ver0.5!$D$1573:$D$1680,SUBSTITUTE($C26,"{D}",I$22))</f>
        <v>0</v>
      </c>
      <c r="J26" s="19">
        <f>COUNTIFS(SSC_Ontology_Ver0.5!$A$1573:$A$1680,SUBSTITUTE($A26,"{D}",J$22),SSC_Ontology_Ver0.5!$C$1573:$C$1680,$B26,SSC_Ontology_Ver0.5!$D$1573:$D$1680,SUBSTITUTE($C26,"{D}",J$22))</f>
        <v>1</v>
      </c>
      <c r="K26" s="19">
        <f>COUNTIFS(SSC_Ontology_Ver0.5!$A$1573:$A$1680,SUBSTITUTE($A26,"{D}",K$22),SSC_Ontology_Ver0.5!$C$1573:$C$1680,$B26,SSC_Ontology_Ver0.5!$D$1573:$D$1680,SUBSTITUTE($C26,"{D}",K$22))</f>
        <v>1</v>
      </c>
      <c r="L26" s="19">
        <f>COUNTIFS(SSC_Ontology_Ver0.5!$A$1573:$A$1680,SUBSTITUTE($A26,"{D}",L$22),SSC_Ontology_Ver0.5!$C$1573:$C$1680,$B26,SSC_Ontology_Ver0.5!$D$1573:$D$1680,SUBSTITUTE($C26,"{D}",L$22))</f>
        <v>1</v>
      </c>
      <c r="M26" s="19">
        <f>COUNTIFS(SSC_Ontology_Ver0.5!$A$1573:$A$1680,SUBSTITUTE($A26,"{D}",M$22),SSC_Ontology_Ver0.5!$C$1573:$C$1680,$B26,SSC_Ontology_Ver0.5!$D$1573:$D$1680,SUBSTITUTE($C26,"{D}",M$22))</f>
        <v>1</v>
      </c>
      <c r="N26" s="15" t="str">
        <f>IF(OR($B26="rec:locatedIn",$B26="rec:feeds"),"Excluded - varies by room",IF(AND(MIN(D26:M26)=MAX(D26:M26),MAX(D26:M26)=1),"OK",IF(MIN(D26:M26)=0,"Not on all units","Duplicated")))</f>
        <v>Not on all units</v>
      </c>
    </row>
    <row r="27" spans="1:14" x14ac:dyDescent="0.3">
      <c r="A27" s="13" t="s">
        <v>4978</v>
      </c>
      <c r="B27" s="14" t="s">
        <v>22</v>
      </c>
      <c r="C27" s="14" t="s">
        <v>23</v>
      </c>
      <c r="D27" s="19">
        <f>COUNTIFS(SSC_Ontology_Ver0.5!$A$1573:$A$1680,SUBSTITUTE($A27,"{D}",D$22),SSC_Ontology_Ver0.5!$C$1573:$C$1680,$B27,SSC_Ontology_Ver0.5!$D$1573:$D$1680,SUBSTITUTE($C27,"{D}",D$22))</f>
        <v>1</v>
      </c>
      <c r="E27" s="19">
        <f>COUNTIFS(SSC_Ontology_Ver0.5!$A$1573:$A$1680,SUBSTITUTE($A27,"{D}",E$22),SSC_Ontology_Ver0.5!$C$1573:$C$1680,$B27,SSC_Ontology_Ver0.5!$D$1573:$D$1680,SUBSTITUTE($C27,"{D}",E$22))</f>
        <v>1</v>
      </c>
      <c r="F27" s="19">
        <f>COUNTIFS(SSC_Ontology_Ver0.5!$A$1573:$A$1680,SUBSTITUTE($A27,"{D}",F$22),SSC_Ontology_Ver0.5!$C$1573:$C$1680,$B27,SSC_Ontology_Ver0.5!$D$1573:$D$1680,SUBSTITUTE($C27,"{D}",F$22))</f>
        <v>1</v>
      </c>
      <c r="G27" s="19">
        <f>COUNTIFS(SSC_Ontology_Ver0.5!$A$1573:$A$1680,SUBSTITUTE($A27,"{D}",G$22),SSC_Ontology_Ver0.5!$C$1573:$C$1680,$B27,SSC_Ontology_Ver0.5!$D$1573:$D$1680,SUBSTITUTE($C27,"{D}",G$22))</f>
        <v>1</v>
      </c>
      <c r="H27" s="19">
        <f>COUNTIFS(SSC_Ontology_Ver0.5!$A$1573:$A$1680,SUBSTITUTE($A27,"{D}",H$22),SSC_Ontology_Ver0.5!$C$1573:$C$1680,$B27,SSC_Ontology_Ver0.5!$D$1573:$D$1680,SUBSTITUTE($C27,"{D}",H$22))</f>
        <v>1</v>
      </c>
      <c r="I27" s="19">
        <f>COUNTIFS(SSC_Ontology_Ver0.5!$A$1573:$A$1680,SUBSTITUTE($A27,"{D}",I$22),SSC_Ontology_Ver0.5!$C$1573:$C$1680,$B27,SSC_Ontology_Ver0.5!$D$1573:$D$1680,SUBSTITUTE($C27,"{D}",I$22))</f>
        <v>1</v>
      </c>
      <c r="J27" s="19">
        <f>COUNTIFS(SSC_Ontology_Ver0.5!$A$1573:$A$1680,SUBSTITUTE($A27,"{D}",J$22),SSC_Ontology_Ver0.5!$C$1573:$C$1680,$B27,SSC_Ontology_Ver0.5!$D$1573:$D$1680,SUBSTITUTE($C27,"{D}",J$22))</f>
        <v>1</v>
      </c>
      <c r="K27" s="19">
        <f>COUNTIFS(SSC_Ontology_Ver0.5!$A$1573:$A$1680,SUBSTITUTE($A27,"{D}",K$22),SSC_Ontology_Ver0.5!$C$1573:$C$1680,$B27,SSC_Ontology_Ver0.5!$D$1573:$D$1680,SUBSTITUTE($C27,"{D}",K$22))</f>
        <v>1</v>
      </c>
      <c r="L27" s="19">
        <f>COUNTIFS(SSC_Ontology_Ver0.5!$A$1573:$A$1680,SUBSTITUTE($A27,"{D}",L$22),SSC_Ontology_Ver0.5!$C$1573:$C$1680,$B27,SSC_Ontology_Ver0.5!$D$1573:$D$1680,SUBSTITUTE($C27,"{D}",L$22))</f>
        <v>1</v>
      </c>
      <c r="M27" s="19">
        <f>COUNTIFS(SSC_Ontology_Ver0.5!$A$1573:$A$1680,SUBSTITUTE($A27,"{D}",M$22),SSC_Ontology_Ver0.5!$C$1573:$C$1680,$B27,SSC_Ontology_Ver0.5!$D$1573:$D$1680,SUBSTITUTE($C27,"{D}",M$22))</f>
        <v>1</v>
      </c>
      <c r="N27" s="15" t="str">
        <f>IF(OR($B27="rec:locatedIn",$B27="rec:feeds"),"Excluded - varies by room",IF(AND(MIN(D27:M27)=MAX(D27:M27),MAX(D27:M27)=1),"OK",IF(MIN(D27:M27)=0,"Not on all units","Duplicated")))</f>
        <v>OK</v>
      </c>
    </row>
    <row r="28" spans="1:14" x14ac:dyDescent="0.3">
      <c r="A28" s="13" t="s">
        <v>4978</v>
      </c>
      <c r="B28" s="14" t="s">
        <v>11</v>
      </c>
      <c r="C28" s="14" t="s">
        <v>12</v>
      </c>
      <c r="D28" s="19">
        <f>COUNTIFS(SSC_Ontology_Ver0.5!$A$1573:$A$1680,SUBSTITUTE($A28,"{D}",D$22),SSC_Ontology_Ver0.5!$C$1573:$C$1680,$B28,SSC_Ontology_Ver0.5!$D$1573:$D$1680,SUBSTITUTE($C28,"{D}",D$22))</f>
        <v>1</v>
      </c>
      <c r="E28" s="19">
        <f>COUNTIFS(SSC_Ontology_Ver0.5!$A$1573:$A$1680,SUBSTITUTE($A28,"{D}",E$22),SSC_Ontology_Ver0.5!$C$1573:$C$1680,$B28,SSC_Ontology_Ver0.5!$D$1573:$D$1680,SUBSTITUTE($C28,"{D}",E$22))</f>
        <v>1</v>
      </c>
      <c r="F28" s="19">
        <f>COUNTIFS(SSC_Ontology_Ver0.5!$A$1573:$A$1680,SUBSTITUTE($A28,"{D}",F$22),SSC_Ontology_Ver0.5!$C$1573:$C$1680,$B28,SSC_Ontology_Ver0.5!$D$1573:$D$1680,SUBSTITUTE($C28,"{D}",F$22))</f>
        <v>1</v>
      </c>
      <c r="G28" s="19">
        <f>COUNTIFS(SSC_Ontology_Ver0.5!$A$1573:$A$1680,SUBSTITUTE($A28,"{D}",G$22),SSC_Ontology_Ver0.5!$C$1573:$C$1680,$B28,SSC_Ontology_Ver0.5!$D$1573:$D$1680,SUBSTITUTE($C28,"{D}",G$22))</f>
        <v>1</v>
      </c>
      <c r="H28" s="19">
        <f>COUNTIFS(SSC_Ontology_Ver0.5!$A$1573:$A$1680,SUBSTITUTE($A28,"{D}",H$22),SSC_Ontology_Ver0.5!$C$1573:$C$1680,$B28,SSC_Ontology_Ver0.5!$D$1573:$D$1680,SUBSTITUTE($C28,"{D}",H$22))</f>
        <v>1</v>
      </c>
      <c r="I28" s="19">
        <f>COUNTIFS(SSC_Ontology_Ver0.5!$A$1573:$A$1680,SUBSTITUTE($A28,"{D}",I$22),SSC_Ontology_Ver0.5!$C$1573:$C$1680,$B28,SSC_Ontology_Ver0.5!$D$1573:$D$1680,SUBSTITUTE($C28,"{D}",I$22))</f>
        <v>1</v>
      </c>
      <c r="J28" s="19">
        <f>COUNTIFS(SSC_Ontology_Ver0.5!$A$1573:$A$1680,SUBSTITUTE($A28,"{D}",J$22),SSC_Ontology_Ver0.5!$C$1573:$C$1680,$B28,SSC_Ontology_Ver0.5!$D$1573:$D$1680,SUBSTITUTE($C28,"{D}",J$22))</f>
        <v>1</v>
      </c>
      <c r="K28" s="19">
        <f>COUNTIFS(SSC_Ontology_Ver0.5!$A$1573:$A$1680,SUBSTITUTE($A28,"{D}",K$22),SSC_Ontology_Ver0.5!$C$1573:$C$1680,$B28,SSC_Ontology_Ver0.5!$D$1573:$D$1680,SUBSTITUTE($C28,"{D}",K$22))</f>
        <v>1</v>
      </c>
      <c r="L28" s="19">
        <f>COUNTIFS(SSC_Ontology_Ver0.5!$A$1573:$A$1680,SUBSTITUTE($A28,"{D}",L$22),SSC_Ontology_Ver0.5!$C$1573:$C$1680,$B28,SSC_Ontology_Ver0.5!$D$1573:$D$1680,SUBSTITUTE($C28,"{D}",L$22))</f>
        <v>1</v>
      </c>
      <c r="M28" s="19">
        <f>COUNTIFS(SSC_Ontology_Ver0.5!$A$1573:$A$1680,SUBSTITUTE($A28,"{D}",M$22),SSC_Ontology_Ver0.5!$C$1573:$C$1680,$B28,SSC_Ontology_Ver0.5!$D$1573:$D$1680,SUBSTITUTE($C28,"{D}",M$22))</f>
        <v>1</v>
      </c>
      <c r="N28" s="15" t="str">
        <f>IF(OR($B28="rec:locatedIn",$B28="rec:feeds"),"Excluded - varies by room",IF(AND(MIN(D28:M28)=MAX(D28:M28),MAX(D28:M28)=1),"OK",IF(MIN(D28:M28)=0,"Not on all units","Duplicated")))</f>
        <v>OK</v>
      </c>
    </row>
    <row r="29" spans="1:14" x14ac:dyDescent="0.3">
      <c r="A29" s="13" t="s">
        <v>4984</v>
      </c>
      <c r="B29" s="14" t="s">
        <v>11</v>
      </c>
      <c r="C29" s="14" t="s">
        <v>12</v>
      </c>
      <c r="D29" s="19">
        <f>COUNTIFS(SSC_Ontology_Ver0.5!$A$1573:$A$1680,SUBSTITUTE($A29,"{D}",D$22),SSC_Ontology_Ver0.5!$C$1573:$C$1680,$B29,SSC_Ontology_Ver0.5!$D$1573:$D$1680,SUBSTITUTE($C29,"{D}",D$22))</f>
        <v>1</v>
      </c>
      <c r="E29" s="19">
        <f>COUNTIFS(SSC_Ontology_Ver0.5!$A$1573:$A$1680,SUBSTITUTE($A29,"{D}",E$22),SSC_Ontology_Ver0.5!$C$1573:$C$1680,$B29,SSC_Ontology_Ver0.5!$D$1573:$D$1680,SUBSTITUTE($C29,"{D}",E$22))</f>
        <v>1</v>
      </c>
      <c r="F29" s="19">
        <f>COUNTIFS(SSC_Ontology_Ver0.5!$A$1573:$A$1680,SUBSTITUTE($A29,"{D}",F$22),SSC_Ontology_Ver0.5!$C$1573:$C$1680,$B29,SSC_Ontology_Ver0.5!$D$1573:$D$1680,SUBSTITUTE($C29,"{D}",F$22))</f>
        <v>1</v>
      </c>
      <c r="G29" s="19">
        <f>COUNTIFS(SSC_Ontology_Ver0.5!$A$1573:$A$1680,SUBSTITUTE($A29,"{D}",G$22),SSC_Ontology_Ver0.5!$C$1573:$C$1680,$B29,SSC_Ontology_Ver0.5!$D$1573:$D$1680,SUBSTITUTE($C29,"{D}",G$22))</f>
        <v>1</v>
      </c>
      <c r="H29" s="19">
        <f>COUNTIFS(SSC_Ontology_Ver0.5!$A$1573:$A$1680,SUBSTITUTE($A29,"{D}",H$22),SSC_Ontology_Ver0.5!$C$1573:$C$1680,$B29,SSC_Ontology_Ver0.5!$D$1573:$D$1680,SUBSTITUTE($C29,"{D}",H$22))</f>
        <v>1</v>
      </c>
      <c r="I29" s="19">
        <f>COUNTIFS(SSC_Ontology_Ver0.5!$A$1573:$A$1680,SUBSTITUTE($A29,"{D}",I$22),SSC_Ontology_Ver0.5!$C$1573:$C$1680,$B29,SSC_Ontology_Ver0.5!$D$1573:$D$1680,SUBSTITUTE($C29,"{D}",I$22))</f>
        <v>1</v>
      </c>
      <c r="J29" s="19">
        <f>COUNTIFS(SSC_Ontology_Ver0.5!$A$1573:$A$1680,SUBSTITUTE($A29,"{D}",J$22),SSC_Ontology_Ver0.5!$C$1573:$C$1680,$B29,SSC_Ontology_Ver0.5!$D$1573:$D$1680,SUBSTITUTE($C29,"{D}",J$22))</f>
        <v>1</v>
      </c>
      <c r="K29" s="19">
        <f>COUNTIFS(SSC_Ontology_Ver0.5!$A$1573:$A$1680,SUBSTITUTE($A29,"{D}",K$22),SSC_Ontology_Ver0.5!$C$1573:$C$1680,$B29,SSC_Ontology_Ver0.5!$D$1573:$D$1680,SUBSTITUTE($C29,"{D}",K$22))</f>
        <v>1</v>
      </c>
      <c r="L29" s="19">
        <f>COUNTIFS(SSC_Ontology_Ver0.5!$A$1573:$A$1680,SUBSTITUTE($A29,"{D}",L$22),SSC_Ontology_Ver0.5!$C$1573:$C$1680,$B29,SSC_Ontology_Ver0.5!$D$1573:$D$1680,SUBSTITUTE($C29,"{D}",L$22))</f>
        <v>1</v>
      </c>
      <c r="M29" s="19">
        <f>COUNTIFS(SSC_Ontology_Ver0.5!$A$1573:$A$1680,SUBSTITUTE($A29,"{D}",M$22),SSC_Ontology_Ver0.5!$C$1573:$C$1680,$B29,SSC_Ontology_Ver0.5!$D$1573:$D$1680,SUBSTITUTE($C29,"{D}",M$22))</f>
        <v>1</v>
      </c>
      <c r="N29" s="15" t="str">
        <f>IF(OR($B29="rec:locatedIn",$B29="rec:feeds"),"Excluded - varies by room",IF(AND(MIN(D29:M29)=MAX(D29:M29),MAX(D29:M29)=1),"OK",IF(MIN(D29:M29)=0,"Not on all units","Duplicated")))</f>
        <v>OK</v>
      </c>
    </row>
    <row r="30" spans="1:14" x14ac:dyDescent="0.3">
      <c r="A30" s="13" t="s">
        <v>4985</v>
      </c>
      <c r="B30" s="14" t="s">
        <v>11</v>
      </c>
      <c r="C30" s="14" t="s">
        <v>12</v>
      </c>
      <c r="D30" s="19">
        <f>COUNTIFS(SSC_Ontology_Ver0.5!$A$1573:$A$1680,SUBSTITUTE($A30,"{D}",D$22),SSC_Ontology_Ver0.5!$C$1573:$C$1680,$B30,SSC_Ontology_Ver0.5!$D$1573:$D$1680,SUBSTITUTE($C30,"{D}",D$22))</f>
        <v>1</v>
      </c>
      <c r="E30" s="19">
        <f>COUNTIFS(SSC_Ontology_Ver0.5!$A$1573:$A$1680,SUBSTITUTE($A30,"{D}",E$22),SSC_Ontology_Ver0.5!$C$1573:$C$1680,$B30,SSC_Ontology_Ver0.5!$D$1573:$D$1680,SUBSTITUTE($C30,"{D}",E$22))</f>
        <v>1</v>
      </c>
      <c r="F30" s="19">
        <f>COUNTIFS(SSC_Ontology_Ver0.5!$A$1573:$A$1680,SUBSTITUTE($A30,"{D}",F$22),SSC_Ontology_Ver0.5!$C$1573:$C$1680,$B30,SSC_Ontology_Ver0.5!$D$1573:$D$1680,SUBSTITUTE($C30,"{D}",F$22))</f>
        <v>1</v>
      </c>
      <c r="G30" s="19">
        <f>COUNTIFS(SSC_Ontology_Ver0.5!$A$1573:$A$1680,SUBSTITUTE($A30,"{D}",G$22),SSC_Ontology_Ver0.5!$C$1573:$C$1680,$B30,SSC_Ontology_Ver0.5!$D$1573:$D$1680,SUBSTITUTE($C30,"{D}",G$22))</f>
        <v>1</v>
      </c>
      <c r="H30" s="19">
        <f>COUNTIFS(SSC_Ontology_Ver0.5!$A$1573:$A$1680,SUBSTITUTE($A30,"{D}",H$22),SSC_Ontology_Ver0.5!$C$1573:$C$1680,$B30,SSC_Ontology_Ver0.5!$D$1573:$D$1680,SUBSTITUTE($C30,"{D}",H$22))</f>
        <v>1</v>
      </c>
      <c r="I30" s="19">
        <f>COUNTIFS(SSC_Ontology_Ver0.5!$A$1573:$A$1680,SUBSTITUTE($A30,"{D}",I$22),SSC_Ontology_Ver0.5!$C$1573:$C$1680,$B30,SSC_Ontology_Ver0.5!$D$1573:$D$1680,SUBSTITUTE($C30,"{D}",I$22))</f>
        <v>1</v>
      </c>
      <c r="J30" s="19">
        <f>COUNTIFS(SSC_Ontology_Ver0.5!$A$1573:$A$1680,SUBSTITUTE($A30,"{D}",J$22),SSC_Ontology_Ver0.5!$C$1573:$C$1680,$B30,SSC_Ontology_Ver0.5!$D$1573:$D$1680,SUBSTITUTE($C30,"{D}",J$22))</f>
        <v>1</v>
      </c>
      <c r="K30" s="19">
        <f>COUNTIFS(SSC_Ontology_Ver0.5!$A$1573:$A$1680,SUBSTITUTE($A30,"{D}",K$22),SSC_Ontology_Ver0.5!$C$1573:$C$1680,$B30,SSC_Ontology_Ver0.5!$D$1573:$D$1680,SUBSTITUTE($C30,"{D}",K$22))</f>
        <v>1</v>
      </c>
      <c r="L30" s="19">
        <f>COUNTIFS(SSC_Ontology_Ver0.5!$A$1573:$A$1680,SUBSTITUTE($A30,"{D}",L$22),SSC_Ontology_Ver0.5!$C$1573:$C$1680,$B30,SSC_Ontology_Ver0.5!$D$1573:$D$1680,SUBSTITUTE($C30,"{D}",L$22))</f>
        <v>1</v>
      </c>
      <c r="M30" s="19">
        <f>COUNTIFS(SSC_Ontology_Ver0.5!$A$1573:$A$1680,SUBSTITUTE($A30,"{D}",M$22),SSC_Ontology_Ver0.5!$C$1573:$C$1680,$B30,SSC_Ontology_Ver0.5!$D$1573:$D$1680,SUBSTITUTE($C30,"{D}",M$22))</f>
        <v>1</v>
      </c>
      <c r="N30" s="15" t="str">
        <f>IF(OR($B30="rec:locatedIn",$B30="rec:feeds"),"Excluded - varies by room",IF(AND(MIN(D30:M30)=MAX(D30:M30),MAX(D30:M30)=1),"OK",IF(MIN(D30:M30)=0,"Not on all units","Duplicated")))</f>
        <v>OK</v>
      </c>
    </row>
    <row r="31" spans="1:14" x14ac:dyDescent="0.3">
      <c r="A31" s="13" t="s">
        <v>4983</v>
      </c>
      <c r="B31" s="14" t="s">
        <v>11</v>
      </c>
      <c r="C31" s="14" t="s">
        <v>12</v>
      </c>
      <c r="D31" s="19">
        <f>COUNTIFS(SSC_Ontology_Ver0.5!$A$1573:$A$1680,SUBSTITUTE($A31,"{D}",D$22),SSC_Ontology_Ver0.5!$C$1573:$C$1680,$B31,SSC_Ontology_Ver0.5!$D$1573:$D$1680,SUBSTITUTE($C31,"{D}",D$22))</f>
        <v>1</v>
      </c>
      <c r="E31" s="19">
        <f>COUNTIFS(SSC_Ontology_Ver0.5!$A$1573:$A$1680,SUBSTITUTE($A31,"{D}",E$22),SSC_Ontology_Ver0.5!$C$1573:$C$1680,$B31,SSC_Ontology_Ver0.5!$D$1573:$D$1680,SUBSTITUTE($C31,"{D}",E$22))</f>
        <v>1</v>
      </c>
      <c r="F31" s="19">
        <f>COUNTIFS(SSC_Ontology_Ver0.5!$A$1573:$A$1680,SUBSTITUTE($A31,"{D}",F$22),SSC_Ontology_Ver0.5!$C$1573:$C$1680,$B31,SSC_Ontology_Ver0.5!$D$1573:$D$1680,SUBSTITUTE($C31,"{D}",F$22))</f>
        <v>1</v>
      </c>
      <c r="G31" s="19">
        <f>COUNTIFS(SSC_Ontology_Ver0.5!$A$1573:$A$1680,SUBSTITUTE($A31,"{D}",G$22),SSC_Ontology_Ver0.5!$C$1573:$C$1680,$B31,SSC_Ontology_Ver0.5!$D$1573:$D$1680,SUBSTITUTE($C31,"{D}",G$22))</f>
        <v>1</v>
      </c>
      <c r="H31" s="19">
        <f>COUNTIFS(SSC_Ontology_Ver0.5!$A$1573:$A$1680,SUBSTITUTE($A31,"{D}",H$22),SSC_Ontology_Ver0.5!$C$1573:$C$1680,$B31,SSC_Ontology_Ver0.5!$D$1573:$D$1680,SUBSTITUTE($C31,"{D}",H$22))</f>
        <v>1</v>
      </c>
      <c r="I31" s="19">
        <f>COUNTIFS(SSC_Ontology_Ver0.5!$A$1573:$A$1680,SUBSTITUTE($A31,"{D}",I$22),SSC_Ontology_Ver0.5!$C$1573:$C$1680,$B31,SSC_Ontology_Ver0.5!$D$1573:$D$1680,SUBSTITUTE($C31,"{D}",I$22))</f>
        <v>1</v>
      </c>
      <c r="J31" s="19">
        <f>COUNTIFS(SSC_Ontology_Ver0.5!$A$1573:$A$1680,SUBSTITUTE($A31,"{D}",J$22),SSC_Ontology_Ver0.5!$C$1573:$C$1680,$B31,SSC_Ontology_Ver0.5!$D$1573:$D$1680,SUBSTITUTE($C31,"{D}",J$22))</f>
        <v>1</v>
      </c>
      <c r="K31" s="19">
        <f>COUNTIFS(SSC_Ontology_Ver0.5!$A$1573:$A$1680,SUBSTITUTE($A31,"{D}",K$22),SSC_Ontology_Ver0.5!$C$1573:$C$1680,$B31,SSC_Ontology_Ver0.5!$D$1573:$D$1680,SUBSTITUTE($C31,"{D}",K$22))</f>
        <v>1</v>
      </c>
      <c r="L31" s="19">
        <f>COUNTIFS(SSC_Ontology_Ver0.5!$A$1573:$A$1680,SUBSTITUTE($A31,"{D}",L$22),SSC_Ontology_Ver0.5!$C$1573:$C$1680,$B31,SSC_Ontology_Ver0.5!$D$1573:$D$1680,SUBSTITUTE($C31,"{D}",L$22))</f>
        <v>1</v>
      </c>
      <c r="M31" s="19">
        <f>COUNTIFS(SSC_Ontology_Ver0.5!$A$1573:$A$1680,SUBSTITUTE($A31,"{D}",M$22),SSC_Ontology_Ver0.5!$C$1573:$C$1680,$B31,SSC_Ontology_Ver0.5!$D$1573:$D$1680,SUBSTITUTE($C31,"{D}",M$22))</f>
        <v>1</v>
      </c>
      <c r="N31" s="15" t="str">
        <f>IF(OR($B31="rec:locatedIn",$B31="rec:feeds"),"Excluded - varies by room",IF(AND(MIN(D31:M31)=MAX(D31:M31),MAX(D31:M31)=1),"OK",IF(MIN(D31:M31)=0,"Not on all units","Duplicated")))</f>
        <v>OK</v>
      </c>
    </row>
    <row r="32" spans="1:14" x14ac:dyDescent="0.3">
      <c r="A32" s="13" t="s">
        <v>4979</v>
      </c>
      <c r="B32" s="14" t="s">
        <v>11</v>
      </c>
      <c r="C32" s="14" t="s">
        <v>12</v>
      </c>
      <c r="D32" s="19">
        <f>COUNTIFS(SSC_Ontology_Ver0.5!$A$1573:$A$1680,SUBSTITUTE($A32,"{D}",D$22),SSC_Ontology_Ver0.5!$C$1573:$C$1680,$B32,SSC_Ontology_Ver0.5!$D$1573:$D$1680,SUBSTITUTE($C32,"{D}",D$22))</f>
        <v>0</v>
      </c>
      <c r="E32" s="19">
        <f>COUNTIFS(SSC_Ontology_Ver0.5!$A$1573:$A$1680,SUBSTITUTE($A32,"{D}",E$22),SSC_Ontology_Ver0.5!$C$1573:$C$1680,$B32,SSC_Ontology_Ver0.5!$D$1573:$D$1680,SUBSTITUTE($C32,"{D}",E$22))</f>
        <v>0</v>
      </c>
      <c r="F32" s="19">
        <f>COUNTIFS(SSC_Ontology_Ver0.5!$A$1573:$A$1680,SUBSTITUTE($A32,"{D}",F$22),SSC_Ontology_Ver0.5!$C$1573:$C$1680,$B32,SSC_Ontology_Ver0.5!$D$1573:$D$1680,SUBSTITUTE($C32,"{D}",F$22))</f>
        <v>0</v>
      </c>
      <c r="G32" s="19">
        <f>COUNTIFS(SSC_Ontology_Ver0.5!$A$1573:$A$1680,SUBSTITUTE($A32,"{D}",G$22),SSC_Ontology_Ver0.5!$C$1573:$C$1680,$B32,SSC_Ontology_Ver0.5!$D$1573:$D$1680,SUBSTITUTE($C32,"{D}",G$22))</f>
        <v>0</v>
      </c>
      <c r="H32" s="19">
        <f>COUNTIFS(SSC_Ontology_Ver0.5!$A$1573:$A$1680,SUBSTITUTE($A32,"{D}",H$22),SSC_Ontology_Ver0.5!$C$1573:$C$1680,$B32,SSC_Ontology_Ver0.5!$D$1573:$D$1680,SUBSTITUTE($C32,"{D}",H$22))</f>
        <v>0</v>
      </c>
      <c r="I32" s="19">
        <f>COUNTIFS(SSC_Ontology_Ver0.5!$A$1573:$A$1680,SUBSTITUTE($A32,"{D}",I$22),SSC_Ontology_Ver0.5!$C$1573:$C$1680,$B32,SSC_Ontology_Ver0.5!$D$1573:$D$1680,SUBSTITUTE($C32,"{D}",I$22))</f>
        <v>0</v>
      </c>
      <c r="J32" s="19">
        <f>COUNTIFS(SSC_Ontology_Ver0.5!$A$1573:$A$1680,SUBSTITUTE($A32,"{D}",J$22),SSC_Ontology_Ver0.5!$C$1573:$C$1680,$B32,SSC_Ontology_Ver0.5!$D$1573:$D$1680,SUBSTITUTE($C32,"{D}",J$22))</f>
        <v>1</v>
      </c>
      <c r="K32" s="19">
        <f>COUNTIFS(SSC_Ontology_Ver0.5!$A$1573:$A$1680,SUBSTITUTE($A32,"{D}",K$22),SSC_Ontology_Ver0.5!$C$1573:$C$1680,$B32,SSC_Ontology_Ver0.5!$D$1573:$D$1680,SUBSTITUTE($C32,"{D}",K$22))</f>
        <v>1</v>
      </c>
      <c r="L32" s="19">
        <f>COUNTIFS(SSC_Ontology_Ver0.5!$A$1573:$A$1680,SUBSTITUTE($A32,"{D}",L$22),SSC_Ontology_Ver0.5!$C$1573:$C$1680,$B32,SSC_Ontology_Ver0.5!$D$1573:$D$1680,SUBSTITUTE($C32,"{D}",L$22))</f>
        <v>1</v>
      </c>
      <c r="M32" s="19">
        <f>COUNTIFS(SSC_Ontology_Ver0.5!$A$1573:$A$1680,SUBSTITUTE($A32,"{D}",M$22),SSC_Ontology_Ver0.5!$C$1573:$C$1680,$B32,SSC_Ontology_Ver0.5!$D$1573:$D$1680,SUBSTITUTE($C32,"{D}",M$22))</f>
        <v>1</v>
      </c>
      <c r="N32" s="15" t="str">
        <f>IF(OR($B32="rec:locatedIn",$B32="rec:feeds"),"Excluded - varies by room",IF(AND(MIN(D32:M32)=MAX(D32:M32),MAX(D32:M32)=1),"OK",IF(MIN(D32:M32)=0,"Not on all units","Duplicated")))</f>
        <v>Not on all units</v>
      </c>
    </row>
    <row r="33" spans="1:14" x14ac:dyDescent="0.3">
      <c r="A33" s="13" t="s">
        <v>4978</v>
      </c>
      <c r="B33" s="14" t="s">
        <v>16</v>
      </c>
      <c r="C33" s="14" t="s">
        <v>1058</v>
      </c>
      <c r="D33" s="19">
        <f>COUNTIFS(SSC_Ontology_Ver0.5!$A$1573:$A$1680,SUBSTITUTE($A33,"{D}",D$22),SSC_Ontology_Ver0.5!$C$1573:$C$1680,$B33,SSC_Ontology_Ver0.5!$D$1573:$D$1680,SUBSTITUTE($C33,"{D}",D$22))</f>
        <v>1</v>
      </c>
      <c r="E33" s="19">
        <f>COUNTIFS(SSC_Ontology_Ver0.5!$A$1573:$A$1680,SUBSTITUTE($A33,"{D}",E$22),SSC_Ontology_Ver0.5!$C$1573:$C$1680,$B33,SSC_Ontology_Ver0.5!$D$1573:$D$1680,SUBSTITUTE($C33,"{D}",E$22))</f>
        <v>1</v>
      </c>
      <c r="F33" s="19">
        <f>COUNTIFS(SSC_Ontology_Ver0.5!$A$1573:$A$1680,SUBSTITUTE($A33,"{D}",F$22),SSC_Ontology_Ver0.5!$C$1573:$C$1680,$B33,SSC_Ontology_Ver0.5!$D$1573:$D$1680,SUBSTITUTE($C33,"{D}",F$22))</f>
        <v>1</v>
      </c>
      <c r="G33" s="19">
        <f>COUNTIFS(SSC_Ontology_Ver0.5!$A$1573:$A$1680,SUBSTITUTE($A33,"{D}",G$22),SSC_Ontology_Ver0.5!$C$1573:$C$1680,$B33,SSC_Ontology_Ver0.5!$D$1573:$D$1680,SUBSTITUTE($C33,"{D}",G$22))</f>
        <v>1</v>
      </c>
      <c r="H33" s="19">
        <f>COUNTIFS(SSC_Ontology_Ver0.5!$A$1573:$A$1680,SUBSTITUTE($A33,"{D}",H$22),SSC_Ontology_Ver0.5!$C$1573:$C$1680,$B33,SSC_Ontology_Ver0.5!$D$1573:$D$1680,SUBSTITUTE($C33,"{D}",H$22))</f>
        <v>0</v>
      </c>
      <c r="I33" s="19">
        <f>COUNTIFS(SSC_Ontology_Ver0.5!$A$1573:$A$1680,SUBSTITUTE($A33,"{D}",I$22),SSC_Ontology_Ver0.5!$C$1573:$C$1680,$B33,SSC_Ontology_Ver0.5!$D$1573:$D$1680,SUBSTITUTE($C33,"{D}",I$22))</f>
        <v>0</v>
      </c>
      <c r="J33" s="19">
        <f>COUNTIFS(SSC_Ontology_Ver0.5!$A$1573:$A$1680,SUBSTITUTE($A33,"{D}",J$22),SSC_Ontology_Ver0.5!$C$1573:$C$1680,$B33,SSC_Ontology_Ver0.5!$D$1573:$D$1680,SUBSTITUTE($C33,"{D}",J$22))</f>
        <v>0</v>
      </c>
      <c r="K33" s="19">
        <f>COUNTIFS(SSC_Ontology_Ver0.5!$A$1573:$A$1680,SUBSTITUTE($A33,"{D}",K$22),SSC_Ontology_Ver0.5!$C$1573:$C$1680,$B33,SSC_Ontology_Ver0.5!$D$1573:$D$1680,SUBSTITUTE($C33,"{D}",K$22))</f>
        <v>0</v>
      </c>
      <c r="L33" s="19">
        <f>COUNTIFS(SSC_Ontology_Ver0.5!$A$1573:$A$1680,SUBSTITUTE($A33,"{D}",L$22),SSC_Ontology_Ver0.5!$C$1573:$C$1680,$B33,SSC_Ontology_Ver0.5!$D$1573:$D$1680,SUBSTITUTE($C33,"{D}",L$22))</f>
        <v>0</v>
      </c>
      <c r="M33" s="19">
        <f>COUNTIFS(SSC_Ontology_Ver0.5!$A$1573:$A$1680,SUBSTITUTE($A33,"{D}",M$22),SSC_Ontology_Ver0.5!$C$1573:$C$1680,$B33,SSC_Ontology_Ver0.5!$D$1573:$D$1680,SUBSTITUTE($C33,"{D}",M$22))</f>
        <v>0</v>
      </c>
      <c r="N33" s="15" t="str">
        <f>IF(OR($B33="rec:locatedIn",$B33="rec:feeds"),"Excluded - varies by room",IF(AND(MIN(D33:M33)=MAX(D33:M33),MAX(D33:M33)=1),"OK",IF(MIN(D33:M33)=0,"Not on all units","Duplicated")))</f>
        <v>Excluded - varies by room</v>
      </c>
    </row>
    <row r="34" spans="1:14" x14ac:dyDescent="0.3">
      <c r="A34" s="13" t="s">
        <v>4978</v>
      </c>
      <c r="B34" s="14" t="s">
        <v>16</v>
      </c>
      <c r="C34" s="14" t="s">
        <v>1056</v>
      </c>
      <c r="D34" s="19">
        <f>COUNTIFS(SSC_Ontology_Ver0.5!$A$1573:$A$1680,SUBSTITUTE($A34,"{D}",D$22),SSC_Ontology_Ver0.5!$C$1573:$C$1680,$B34,SSC_Ontology_Ver0.5!$D$1573:$D$1680,SUBSTITUTE($C34,"{D}",D$22))</f>
        <v>0</v>
      </c>
      <c r="E34" s="19">
        <f>COUNTIFS(SSC_Ontology_Ver0.5!$A$1573:$A$1680,SUBSTITUTE($A34,"{D}",E$22),SSC_Ontology_Ver0.5!$C$1573:$C$1680,$B34,SSC_Ontology_Ver0.5!$D$1573:$D$1680,SUBSTITUTE($C34,"{D}",E$22))</f>
        <v>0</v>
      </c>
      <c r="F34" s="19">
        <f>COUNTIFS(SSC_Ontology_Ver0.5!$A$1573:$A$1680,SUBSTITUTE($A34,"{D}",F$22),SSC_Ontology_Ver0.5!$C$1573:$C$1680,$B34,SSC_Ontology_Ver0.5!$D$1573:$D$1680,SUBSTITUTE($C34,"{D}",F$22))</f>
        <v>0</v>
      </c>
      <c r="G34" s="19">
        <f>COUNTIFS(SSC_Ontology_Ver0.5!$A$1573:$A$1680,SUBSTITUTE($A34,"{D}",G$22),SSC_Ontology_Ver0.5!$C$1573:$C$1680,$B34,SSC_Ontology_Ver0.5!$D$1573:$D$1680,SUBSTITUTE($C34,"{D}",G$22))</f>
        <v>0</v>
      </c>
      <c r="H34" s="19">
        <f>COUNTIFS(SSC_Ontology_Ver0.5!$A$1573:$A$1680,SUBSTITUTE($A34,"{D}",H$22),SSC_Ontology_Ver0.5!$C$1573:$C$1680,$B34,SSC_Ontology_Ver0.5!$D$1573:$D$1680,SUBSTITUTE($C34,"{D}",H$22))</f>
        <v>1</v>
      </c>
      <c r="I34" s="19">
        <f>COUNTIFS(SSC_Ontology_Ver0.5!$A$1573:$A$1680,SUBSTITUTE($A34,"{D}",I$22),SSC_Ontology_Ver0.5!$C$1573:$C$1680,$B34,SSC_Ontology_Ver0.5!$D$1573:$D$1680,SUBSTITUTE($C34,"{D}",I$22))</f>
        <v>1</v>
      </c>
      <c r="J34" s="19">
        <f>COUNTIFS(SSC_Ontology_Ver0.5!$A$1573:$A$1680,SUBSTITUTE($A34,"{D}",J$22),SSC_Ontology_Ver0.5!$C$1573:$C$1680,$B34,SSC_Ontology_Ver0.5!$D$1573:$D$1680,SUBSTITUTE($C34,"{D}",J$22))</f>
        <v>0</v>
      </c>
      <c r="K34" s="19">
        <f>COUNTIFS(SSC_Ontology_Ver0.5!$A$1573:$A$1680,SUBSTITUTE($A34,"{D}",K$22),SSC_Ontology_Ver0.5!$C$1573:$C$1680,$B34,SSC_Ontology_Ver0.5!$D$1573:$D$1680,SUBSTITUTE($C34,"{D}",K$22))</f>
        <v>0</v>
      </c>
      <c r="L34" s="19">
        <f>COUNTIFS(SSC_Ontology_Ver0.5!$A$1573:$A$1680,SUBSTITUTE($A34,"{D}",L$22),SSC_Ontology_Ver0.5!$C$1573:$C$1680,$B34,SSC_Ontology_Ver0.5!$D$1573:$D$1680,SUBSTITUTE($C34,"{D}",L$22))</f>
        <v>0</v>
      </c>
      <c r="M34" s="19">
        <f>COUNTIFS(SSC_Ontology_Ver0.5!$A$1573:$A$1680,SUBSTITUTE($A34,"{D}",M$22),SSC_Ontology_Ver0.5!$C$1573:$C$1680,$B34,SSC_Ontology_Ver0.5!$D$1573:$D$1680,SUBSTITUTE($C34,"{D}",M$22))</f>
        <v>0</v>
      </c>
      <c r="N34" s="15" t="str">
        <f>IF(OR($B34="rec:locatedIn",$B34="rec:feeds"),"Excluded - varies by room",IF(AND(MIN(D34:M34)=MAX(D34:M34),MAX(D34:M34)=1),"OK",IF(MIN(D34:M34)=0,"Not on all units","Duplicated")))</f>
        <v>Excluded - varies by room</v>
      </c>
    </row>
    <row r="35" spans="1:14" x14ac:dyDescent="0.3">
      <c r="A35" s="13" t="s">
        <v>4978</v>
      </c>
      <c r="B35" s="14" t="s">
        <v>16</v>
      </c>
      <c r="C35" s="14" t="s">
        <v>1083</v>
      </c>
      <c r="D35" s="19">
        <f>COUNTIFS(SSC_Ontology_Ver0.5!$A$1573:$A$1680,SUBSTITUTE($A35,"{D}",D$22),SSC_Ontology_Ver0.5!$C$1573:$C$1680,$B35,SSC_Ontology_Ver0.5!$D$1573:$D$1680,SUBSTITUTE($C35,"{D}",D$22))</f>
        <v>0</v>
      </c>
      <c r="E35" s="19">
        <f>COUNTIFS(SSC_Ontology_Ver0.5!$A$1573:$A$1680,SUBSTITUTE($A35,"{D}",E$22),SSC_Ontology_Ver0.5!$C$1573:$C$1680,$B35,SSC_Ontology_Ver0.5!$D$1573:$D$1680,SUBSTITUTE($C35,"{D}",E$22))</f>
        <v>0</v>
      </c>
      <c r="F35" s="19">
        <f>COUNTIFS(SSC_Ontology_Ver0.5!$A$1573:$A$1680,SUBSTITUTE($A35,"{D}",F$22),SSC_Ontology_Ver0.5!$C$1573:$C$1680,$B35,SSC_Ontology_Ver0.5!$D$1573:$D$1680,SUBSTITUTE($C35,"{D}",F$22))</f>
        <v>0</v>
      </c>
      <c r="G35" s="19">
        <f>COUNTIFS(SSC_Ontology_Ver0.5!$A$1573:$A$1680,SUBSTITUTE($A35,"{D}",G$22),SSC_Ontology_Ver0.5!$C$1573:$C$1680,$B35,SSC_Ontology_Ver0.5!$D$1573:$D$1680,SUBSTITUTE($C35,"{D}",G$22))</f>
        <v>0</v>
      </c>
      <c r="H35" s="19">
        <f>COUNTIFS(SSC_Ontology_Ver0.5!$A$1573:$A$1680,SUBSTITUTE($A35,"{D}",H$22),SSC_Ontology_Ver0.5!$C$1573:$C$1680,$B35,SSC_Ontology_Ver0.5!$D$1573:$D$1680,SUBSTITUTE($C35,"{D}",H$22))</f>
        <v>0</v>
      </c>
      <c r="I35" s="19">
        <f>COUNTIFS(SSC_Ontology_Ver0.5!$A$1573:$A$1680,SUBSTITUTE($A35,"{D}",I$22),SSC_Ontology_Ver0.5!$C$1573:$C$1680,$B35,SSC_Ontology_Ver0.5!$D$1573:$D$1680,SUBSTITUTE($C35,"{D}",I$22))</f>
        <v>0</v>
      </c>
      <c r="J35" s="19">
        <f>COUNTIFS(SSC_Ontology_Ver0.5!$A$1573:$A$1680,SUBSTITUTE($A35,"{D}",J$22),SSC_Ontology_Ver0.5!$C$1573:$C$1680,$B35,SSC_Ontology_Ver0.5!$D$1573:$D$1680,SUBSTITUTE($C35,"{D}",J$22))</f>
        <v>1</v>
      </c>
      <c r="K35" s="19">
        <f>COUNTIFS(SSC_Ontology_Ver0.5!$A$1573:$A$1680,SUBSTITUTE($A35,"{D}",K$22),SSC_Ontology_Ver0.5!$C$1573:$C$1680,$B35,SSC_Ontology_Ver0.5!$D$1573:$D$1680,SUBSTITUTE($C35,"{D}",K$22))</f>
        <v>1</v>
      </c>
      <c r="L35" s="19">
        <f>COUNTIFS(SSC_Ontology_Ver0.5!$A$1573:$A$1680,SUBSTITUTE($A35,"{D}",L$22),SSC_Ontology_Ver0.5!$C$1573:$C$1680,$B35,SSC_Ontology_Ver0.5!$D$1573:$D$1680,SUBSTITUTE($C35,"{D}",L$22))</f>
        <v>0</v>
      </c>
      <c r="M35" s="19">
        <f>COUNTIFS(SSC_Ontology_Ver0.5!$A$1573:$A$1680,SUBSTITUTE($A35,"{D}",M$22),SSC_Ontology_Ver0.5!$C$1573:$C$1680,$B35,SSC_Ontology_Ver0.5!$D$1573:$D$1680,SUBSTITUTE($C35,"{D}",M$22))</f>
        <v>0</v>
      </c>
      <c r="N35" s="15" t="str">
        <f>IF(OR($B35="rec:locatedIn",$B35="rec:feeds"),"Excluded - varies by room",IF(AND(MIN(D35:M35)=MAX(D35:M35),MAX(D35:M35)=1),"OK",IF(MIN(D35:M35)=0,"Not on all units","Duplicated")))</f>
        <v>Excluded - varies by room</v>
      </c>
    </row>
    <row r="36" spans="1:14" x14ac:dyDescent="0.3">
      <c r="A36" s="13" t="s">
        <v>4978</v>
      </c>
      <c r="B36" s="14" t="s">
        <v>16</v>
      </c>
      <c r="C36" s="14" t="s">
        <v>1085</v>
      </c>
      <c r="D36" s="19">
        <f>COUNTIFS(SSC_Ontology_Ver0.5!$A$1573:$A$1680,SUBSTITUTE($A36,"{D}",D$22),SSC_Ontology_Ver0.5!$C$1573:$C$1680,$B36,SSC_Ontology_Ver0.5!$D$1573:$D$1680,SUBSTITUTE($C36,"{D}",D$22))</f>
        <v>0</v>
      </c>
      <c r="E36" s="19">
        <f>COUNTIFS(SSC_Ontology_Ver0.5!$A$1573:$A$1680,SUBSTITUTE($A36,"{D}",E$22),SSC_Ontology_Ver0.5!$C$1573:$C$1680,$B36,SSC_Ontology_Ver0.5!$D$1573:$D$1680,SUBSTITUTE($C36,"{D}",E$22))</f>
        <v>0</v>
      </c>
      <c r="F36" s="19">
        <f>COUNTIFS(SSC_Ontology_Ver0.5!$A$1573:$A$1680,SUBSTITUTE($A36,"{D}",F$22),SSC_Ontology_Ver0.5!$C$1573:$C$1680,$B36,SSC_Ontology_Ver0.5!$D$1573:$D$1680,SUBSTITUTE($C36,"{D}",F$22))</f>
        <v>0</v>
      </c>
      <c r="G36" s="19">
        <f>COUNTIFS(SSC_Ontology_Ver0.5!$A$1573:$A$1680,SUBSTITUTE($A36,"{D}",G$22),SSC_Ontology_Ver0.5!$C$1573:$C$1680,$B36,SSC_Ontology_Ver0.5!$D$1573:$D$1680,SUBSTITUTE($C36,"{D}",G$22))</f>
        <v>0</v>
      </c>
      <c r="H36" s="19">
        <f>COUNTIFS(SSC_Ontology_Ver0.5!$A$1573:$A$1680,SUBSTITUTE($A36,"{D}",H$22),SSC_Ontology_Ver0.5!$C$1573:$C$1680,$B36,SSC_Ontology_Ver0.5!$D$1573:$D$1680,SUBSTITUTE($C36,"{D}",H$22))</f>
        <v>0</v>
      </c>
      <c r="I36" s="19">
        <f>COUNTIFS(SSC_Ontology_Ver0.5!$A$1573:$A$1680,SUBSTITUTE($A36,"{D}",I$22),SSC_Ontology_Ver0.5!$C$1573:$C$1680,$B36,SSC_Ontology_Ver0.5!$D$1573:$D$1680,SUBSTITUTE($C36,"{D}",I$22))</f>
        <v>0</v>
      </c>
      <c r="J36" s="19">
        <f>COUNTIFS(SSC_Ontology_Ver0.5!$A$1573:$A$1680,SUBSTITUTE($A36,"{D}",J$22),SSC_Ontology_Ver0.5!$C$1573:$C$1680,$B36,SSC_Ontology_Ver0.5!$D$1573:$D$1680,SUBSTITUTE($C36,"{D}",J$22))</f>
        <v>0</v>
      </c>
      <c r="K36" s="19">
        <f>COUNTIFS(SSC_Ontology_Ver0.5!$A$1573:$A$1680,SUBSTITUTE($A36,"{D}",K$22),SSC_Ontology_Ver0.5!$C$1573:$C$1680,$B36,SSC_Ontology_Ver0.5!$D$1573:$D$1680,SUBSTITUTE($C36,"{D}",K$22))</f>
        <v>0</v>
      </c>
      <c r="L36" s="19">
        <f>COUNTIFS(SSC_Ontology_Ver0.5!$A$1573:$A$1680,SUBSTITUTE($A36,"{D}",L$22),SSC_Ontology_Ver0.5!$C$1573:$C$1680,$B36,SSC_Ontology_Ver0.5!$D$1573:$D$1680,SUBSTITUTE($C36,"{D}",L$22))</f>
        <v>1</v>
      </c>
      <c r="M36" s="19">
        <f>COUNTIFS(SSC_Ontology_Ver0.5!$A$1573:$A$1680,SUBSTITUTE($A36,"{D}",M$22),SSC_Ontology_Ver0.5!$C$1573:$C$1680,$B36,SSC_Ontology_Ver0.5!$D$1573:$D$1680,SUBSTITUTE($C36,"{D}",M$22))</f>
        <v>0</v>
      </c>
      <c r="N36" s="15" t="str">
        <f>IF(OR($B36="rec:locatedIn",$B36="rec:feeds"),"Excluded - varies by room",IF(AND(MIN(D36:M36)=MAX(D36:M36),MAX(D36:M36)=1),"OK",IF(MIN(D36:M36)=0,"Not on all units","Duplicated")))</f>
        <v>Excluded - varies by room</v>
      </c>
    </row>
    <row r="37" spans="1:14" x14ac:dyDescent="0.3">
      <c r="A37" s="13" t="s">
        <v>4978</v>
      </c>
      <c r="B37" s="14" t="s">
        <v>16</v>
      </c>
      <c r="C37" s="14" t="s">
        <v>1087</v>
      </c>
      <c r="D37" s="19">
        <f>COUNTIFS(SSC_Ontology_Ver0.5!$A$1573:$A$1680,SUBSTITUTE($A37,"{D}",D$22),SSC_Ontology_Ver0.5!$C$1573:$C$1680,$B37,SSC_Ontology_Ver0.5!$D$1573:$D$1680,SUBSTITUTE($C37,"{D}",D$22))</f>
        <v>0</v>
      </c>
      <c r="E37" s="19">
        <f>COUNTIFS(SSC_Ontology_Ver0.5!$A$1573:$A$1680,SUBSTITUTE($A37,"{D}",E$22),SSC_Ontology_Ver0.5!$C$1573:$C$1680,$B37,SSC_Ontology_Ver0.5!$D$1573:$D$1680,SUBSTITUTE($C37,"{D}",E$22))</f>
        <v>0</v>
      </c>
      <c r="F37" s="19">
        <f>COUNTIFS(SSC_Ontology_Ver0.5!$A$1573:$A$1680,SUBSTITUTE($A37,"{D}",F$22),SSC_Ontology_Ver0.5!$C$1573:$C$1680,$B37,SSC_Ontology_Ver0.5!$D$1573:$D$1680,SUBSTITUTE($C37,"{D}",F$22))</f>
        <v>0</v>
      </c>
      <c r="G37" s="19">
        <f>COUNTIFS(SSC_Ontology_Ver0.5!$A$1573:$A$1680,SUBSTITUTE($A37,"{D}",G$22),SSC_Ontology_Ver0.5!$C$1573:$C$1680,$B37,SSC_Ontology_Ver0.5!$D$1573:$D$1680,SUBSTITUTE($C37,"{D}",G$22))</f>
        <v>0</v>
      </c>
      <c r="H37" s="19">
        <f>COUNTIFS(SSC_Ontology_Ver0.5!$A$1573:$A$1680,SUBSTITUTE($A37,"{D}",H$22),SSC_Ontology_Ver0.5!$C$1573:$C$1680,$B37,SSC_Ontology_Ver0.5!$D$1573:$D$1680,SUBSTITUTE($C37,"{D}",H$22))</f>
        <v>0</v>
      </c>
      <c r="I37" s="19">
        <f>COUNTIFS(SSC_Ontology_Ver0.5!$A$1573:$A$1680,SUBSTITUTE($A37,"{D}",I$22),SSC_Ontology_Ver0.5!$C$1573:$C$1680,$B37,SSC_Ontology_Ver0.5!$D$1573:$D$1680,SUBSTITUTE($C37,"{D}",I$22))</f>
        <v>0</v>
      </c>
      <c r="J37" s="19">
        <f>COUNTIFS(SSC_Ontology_Ver0.5!$A$1573:$A$1680,SUBSTITUTE($A37,"{D}",J$22),SSC_Ontology_Ver0.5!$C$1573:$C$1680,$B37,SSC_Ontology_Ver0.5!$D$1573:$D$1680,SUBSTITUTE($C37,"{D}",J$22))</f>
        <v>0</v>
      </c>
      <c r="K37" s="19">
        <f>COUNTIFS(SSC_Ontology_Ver0.5!$A$1573:$A$1680,SUBSTITUTE($A37,"{D}",K$22),SSC_Ontology_Ver0.5!$C$1573:$C$1680,$B37,SSC_Ontology_Ver0.5!$D$1573:$D$1680,SUBSTITUTE($C37,"{D}",K$22))</f>
        <v>0</v>
      </c>
      <c r="L37" s="19">
        <f>COUNTIFS(SSC_Ontology_Ver0.5!$A$1573:$A$1680,SUBSTITUTE($A37,"{D}",L$22),SSC_Ontology_Ver0.5!$C$1573:$C$1680,$B37,SSC_Ontology_Ver0.5!$D$1573:$D$1680,SUBSTITUTE($C37,"{D}",L$22))</f>
        <v>0</v>
      </c>
      <c r="M37" s="19">
        <f>COUNTIFS(SSC_Ontology_Ver0.5!$A$1573:$A$1680,SUBSTITUTE($A37,"{D}",M$22),SSC_Ontology_Ver0.5!$C$1573:$C$1680,$B37,SSC_Ontology_Ver0.5!$D$1573:$D$1680,SUBSTITUTE($C37,"{D}",M$22))</f>
        <v>1</v>
      </c>
      <c r="N37" s="15" t="str">
        <f>IF(OR($B37="rec:locatedIn",$B37="rec:feeds"),"Excluded - varies by room",IF(AND(MIN(D37:M37)=MAX(D37:M37),MAX(D37:M37)=1),"OK",IF(MIN(D37:M37)=0,"Not on all units","Duplicated")))</f>
        <v>Excluded - varies by room</v>
      </c>
    </row>
    <row r="38" spans="1:14" x14ac:dyDescent="0.3">
      <c r="A38" s="13" t="s">
        <v>4978</v>
      </c>
      <c r="B38" s="14" t="s">
        <v>1692</v>
      </c>
      <c r="C38" s="14" t="s">
        <v>1058</v>
      </c>
      <c r="D38" s="19">
        <f>COUNTIFS(SSC_Ontology_Ver0.5!$A$1573:$A$1680,SUBSTITUTE($A38,"{D}",D$22),SSC_Ontology_Ver0.5!$C$1573:$C$1680,$B38,SSC_Ontology_Ver0.5!$D$1573:$D$1680,SUBSTITUTE($C38,"{D}",D$22))</f>
        <v>1</v>
      </c>
      <c r="E38" s="19">
        <f>COUNTIFS(SSC_Ontology_Ver0.5!$A$1573:$A$1680,SUBSTITUTE($A38,"{D}",E$22),SSC_Ontology_Ver0.5!$C$1573:$C$1680,$B38,SSC_Ontology_Ver0.5!$D$1573:$D$1680,SUBSTITUTE($C38,"{D}",E$22))</f>
        <v>1</v>
      </c>
      <c r="F38" s="19">
        <f>COUNTIFS(SSC_Ontology_Ver0.5!$A$1573:$A$1680,SUBSTITUTE($A38,"{D}",F$22),SSC_Ontology_Ver0.5!$C$1573:$C$1680,$B38,SSC_Ontology_Ver0.5!$D$1573:$D$1680,SUBSTITUTE($C38,"{D}",F$22))</f>
        <v>1</v>
      </c>
      <c r="G38" s="19">
        <f>COUNTIFS(SSC_Ontology_Ver0.5!$A$1573:$A$1680,SUBSTITUTE($A38,"{D}",G$22),SSC_Ontology_Ver0.5!$C$1573:$C$1680,$B38,SSC_Ontology_Ver0.5!$D$1573:$D$1680,SUBSTITUTE($C38,"{D}",G$22))</f>
        <v>1</v>
      </c>
      <c r="H38" s="19">
        <f>COUNTIFS(SSC_Ontology_Ver0.5!$A$1573:$A$1680,SUBSTITUTE($A38,"{D}",H$22),SSC_Ontology_Ver0.5!$C$1573:$C$1680,$B38,SSC_Ontology_Ver0.5!$D$1573:$D$1680,SUBSTITUTE($C38,"{D}",H$22))</f>
        <v>0</v>
      </c>
      <c r="I38" s="19">
        <f>COUNTIFS(SSC_Ontology_Ver0.5!$A$1573:$A$1680,SUBSTITUTE($A38,"{D}",I$22),SSC_Ontology_Ver0.5!$C$1573:$C$1680,$B38,SSC_Ontology_Ver0.5!$D$1573:$D$1680,SUBSTITUTE($C38,"{D}",I$22))</f>
        <v>0</v>
      </c>
      <c r="J38" s="19">
        <f>COUNTIFS(SSC_Ontology_Ver0.5!$A$1573:$A$1680,SUBSTITUTE($A38,"{D}",J$22),SSC_Ontology_Ver0.5!$C$1573:$C$1680,$B38,SSC_Ontology_Ver0.5!$D$1573:$D$1680,SUBSTITUTE($C38,"{D}",J$22))</f>
        <v>0</v>
      </c>
      <c r="K38" s="19">
        <f>COUNTIFS(SSC_Ontology_Ver0.5!$A$1573:$A$1680,SUBSTITUTE($A38,"{D}",K$22),SSC_Ontology_Ver0.5!$C$1573:$C$1680,$B38,SSC_Ontology_Ver0.5!$D$1573:$D$1680,SUBSTITUTE($C38,"{D}",K$22))</f>
        <v>0</v>
      </c>
      <c r="L38" s="19">
        <f>COUNTIFS(SSC_Ontology_Ver0.5!$A$1573:$A$1680,SUBSTITUTE($A38,"{D}",L$22),SSC_Ontology_Ver0.5!$C$1573:$C$1680,$B38,SSC_Ontology_Ver0.5!$D$1573:$D$1680,SUBSTITUTE($C38,"{D}",L$22))</f>
        <v>0</v>
      </c>
      <c r="M38" s="19">
        <f>COUNTIFS(SSC_Ontology_Ver0.5!$A$1573:$A$1680,SUBSTITUTE($A38,"{D}",M$22),SSC_Ontology_Ver0.5!$C$1573:$C$1680,$B38,SSC_Ontology_Ver0.5!$D$1573:$D$1680,SUBSTITUTE($C38,"{D}",M$22))</f>
        <v>0</v>
      </c>
      <c r="N38" s="15" t="str">
        <f>IF(OR($B38="rec:locatedIn",$B38="rec:feeds"),"Excluded - varies by room",IF(AND(MIN(D38:M38)=MAX(D38:M38),MAX(D38:M38)=1),"OK",IF(MIN(D38:M38)=0,"Not on all units","Duplicated")))</f>
        <v>Excluded - varies by room</v>
      </c>
    </row>
    <row r="39" spans="1:14" x14ac:dyDescent="0.3">
      <c r="A39" s="13" t="s">
        <v>4978</v>
      </c>
      <c r="B39" s="14" t="s">
        <v>1692</v>
      </c>
      <c r="C39" s="14" t="s">
        <v>1056</v>
      </c>
      <c r="D39" s="19">
        <f>COUNTIFS(SSC_Ontology_Ver0.5!$A$1573:$A$1680,SUBSTITUTE($A39,"{D}",D$22),SSC_Ontology_Ver0.5!$C$1573:$C$1680,$B39,SSC_Ontology_Ver0.5!$D$1573:$D$1680,SUBSTITUTE($C39,"{D}",D$22))</f>
        <v>0</v>
      </c>
      <c r="E39" s="19">
        <f>COUNTIFS(SSC_Ontology_Ver0.5!$A$1573:$A$1680,SUBSTITUTE($A39,"{D}",E$22),SSC_Ontology_Ver0.5!$C$1573:$C$1680,$B39,SSC_Ontology_Ver0.5!$D$1573:$D$1680,SUBSTITUTE($C39,"{D}",E$22))</f>
        <v>0</v>
      </c>
      <c r="F39" s="19">
        <f>COUNTIFS(SSC_Ontology_Ver0.5!$A$1573:$A$1680,SUBSTITUTE($A39,"{D}",F$22),SSC_Ontology_Ver0.5!$C$1573:$C$1680,$B39,SSC_Ontology_Ver0.5!$D$1573:$D$1680,SUBSTITUTE($C39,"{D}",F$22))</f>
        <v>0</v>
      </c>
      <c r="G39" s="19">
        <f>COUNTIFS(SSC_Ontology_Ver0.5!$A$1573:$A$1680,SUBSTITUTE($A39,"{D}",G$22),SSC_Ontology_Ver0.5!$C$1573:$C$1680,$B39,SSC_Ontology_Ver0.5!$D$1573:$D$1680,SUBSTITUTE($C39,"{D}",G$22))</f>
        <v>0</v>
      </c>
      <c r="H39" s="19">
        <f>COUNTIFS(SSC_Ontology_Ver0.5!$A$1573:$A$1680,SUBSTITUTE($A39,"{D}",H$22),SSC_Ontology_Ver0.5!$C$1573:$C$1680,$B39,SSC_Ontology_Ver0.5!$D$1573:$D$1680,SUBSTITUTE($C39,"{D}",H$22))</f>
        <v>1</v>
      </c>
      <c r="I39" s="19">
        <f>COUNTIFS(SSC_Ontology_Ver0.5!$A$1573:$A$1680,SUBSTITUTE($A39,"{D}",I$22),SSC_Ontology_Ver0.5!$C$1573:$C$1680,$B39,SSC_Ontology_Ver0.5!$D$1573:$D$1680,SUBSTITUTE($C39,"{D}",I$22))</f>
        <v>1</v>
      </c>
      <c r="J39" s="19">
        <f>COUNTIFS(SSC_Ontology_Ver0.5!$A$1573:$A$1680,SUBSTITUTE($A39,"{D}",J$22),SSC_Ontology_Ver0.5!$C$1573:$C$1680,$B39,SSC_Ontology_Ver0.5!$D$1573:$D$1680,SUBSTITUTE($C39,"{D}",J$22))</f>
        <v>0</v>
      </c>
      <c r="K39" s="19">
        <f>COUNTIFS(SSC_Ontology_Ver0.5!$A$1573:$A$1680,SUBSTITUTE($A39,"{D}",K$22),SSC_Ontology_Ver0.5!$C$1573:$C$1680,$B39,SSC_Ontology_Ver0.5!$D$1573:$D$1680,SUBSTITUTE($C39,"{D}",K$22))</f>
        <v>0</v>
      </c>
      <c r="L39" s="19">
        <f>COUNTIFS(SSC_Ontology_Ver0.5!$A$1573:$A$1680,SUBSTITUTE($A39,"{D}",L$22),SSC_Ontology_Ver0.5!$C$1573:$C$1680,$B39,SSC_Ontology_Ver0.5!$D$1573:$D$1680,SUBSTITUTE($C39,"{D}",L$22))</f>
        <v>0</v>
      </c>
      <c r="M39" s="19">
        <f>COUNTIFS(SSC_Ontology_Ver0.5!$A$1573:$A$1680,SUBSTITUTE($A39,"{D}",M$22),SSC_Ontology_Ver0.5!$C$1573:$C$1680,$B39,SSC_Ontology_Ver0.5!$D$1573:$D$1680,SUBSTITUTE($C39,"{D}",M$22))</f>
        <v>0</v>
      </c>
      <c r="N39" s="15" t="str">
        <f>IF(OR($B39="rec:locatedIn",$B39="rec:feeds"),"Excluded - varies by room",IF(AND(MIN(D39:M39)=MAX(D39:M39),MAX(D39:M39)=1),"OK",IF(MIN(D39:M39)=0,"Not on all units","Duplicated")))</f>
        <v>Excluded - varies by room</v>
      </c>
    </row>
    <row r="40" spans="1:14" x14ac:dyDescent="0.3">
      <c r="A40" s="13" t="s">
        <v>4978</v>
      </c>
      <c r="B40" s="14" t="s">
        <v>1692</v>
      </c>
      <c r="C40" s="14" t="s">
        <v>1083</v>
      </c>
      <c r="D40" s="19">
        <f>COUNTIFS(SSC_Ontology_Ver0.5!$A$1573:$A$1680,SUBSTITUTE($A40,"{D}",D$22),SSC_Ontology_Ver0.5!$C$1573:$C$1680,$B40,SSC_Ontology_Ver0.5!$D$1573:$D$1680,SUBSTITUTE($C40,"{D}",D$22))</f>
        <v>0</v>
      </c>
      <c r="E40" s="19">
        <f>COUNTIFS(SSC_Ontology_Ver0.5!$A$1573:$A$1680,SUBSTITUTE($A40,"{D}",E$22),SSC_Ontology_Ver0.5!$C$1573:$C$1680,$B40,SSC_Ontology_Ver0.5!$D$1573:$D$1680,SUBSTITUTE($C40,"{D}",E$22))</f>
        <v>0</v>
      </c>
      <c r="F40" s="19">
        <f>COUNTIFS(SSC_Ontology_Ver0.5!$A$1573:$A$1680,SUBSTITUTE($A40,"{D}",F$22),SSC_Ontology_Ver0.5!$C$1573:$C$1680,$B40,SSC_Ontology_Ver0.5!$D$1573:$D$1680,SUBSTITUTE($C40,"{D}",F$22))</f>
        <v>0</v>
      </c>
      <c r="G40" s="19">
        <f>COUNTIFS(SSC_Ontology_Ver0.5!$A$1573:$A$1680,SUBSTITUTE($A40,"{D}",G$22),SSC_Ontology_Ver0.5!$C$1573:$C$1680,$B40,SSC_Ontology_Ver0.5!$D$1573:$D$1680,SUBSTITUTE($C40,"{D}",G$22))</f>
        <v>0</v>
      </c>
      <c r="H40" s="19">
        <f>COUNTIFS(SSC_Ontology_Ver0.5!$A$1573:$A$1680,SUBSTITUTE($A40,"{D}",H$22),SSC_Ontology_Ver0.5!$C$1573:$C$1680,$B40,SSC_Ontology_Ver0.5!$D$1573:$D$1680,SUBSTITUTE($C40,"{D}",H$22))</f>
        <v>0</v>
      </c>
      <c r="I40" s="19">
        <f>COUNTIFS(SSC_Ontology_Ver0.5!$A$1573:$A$1680,SUBSTITUTE($A40,"{D}",I$22),SSC_Ontology_Ver0.5!$C$1573:$C$1680,$B40,SSC_Ontology_Ver0.5!$D$1573:$D$1680,SUBSTITUTE($C40,"{D}",I$22))</f>
        <v>0</v>
      </c>
      <c r="J40" s="19">
        <f>COUNTIFS(SSC_Ontology_Ver0.5!$A$1573:$A$1680,SUBSTITUTE($A40,"{D}",J$22),SSC_Ontology_Ver0.5!$C$1573:$C$1680,$B40,SSC_Ontology_Ver0.5!$D$1573:$D$1680,SUBSTITUTE($C40,"{D}",J$22))</f>
        <v>1</v>
      </c>
      <c r="K40" s="19">
        <f>COUNTIFS(SSC_Ontology_Ver0.5!$A$1573:$A$1680,SUBSTITUTE($A40,"{D}",K$22),SSC_Ontology_Ver0.5!$C$1573:$C$1680,$B40,SSC_Ontology_Ver0.5!$D$1573:$D$1680,SUBSTITUTE($C40,"{D}",K$22))</f>
        <v>1</v>
      </c>
      <c r="L40" s="19">
        <f>COUNTIFS(SSC_Ontology_Ver0.5!$A$1573:$A$1680,SUBSTITUTE($A40,"{D}",L$22),SSC_Ontology_Ver0.5!$C$1573:$C$1680,$B40,SSC_Ontology_Ver0.5!$D$1573:$D$1680,SUBSTITUTE($C40,"{D}",L$22))</f>
        <v>0</v>
      </c>
      <c r="M40" s="19">
        <f>COUNTIFS(SSC_Ontology_Ver0.5!$A$1573:$A$1680,SUBSTITUTE($A40,"{D}",M$22),SSC_Ontology_Ver0.5!$C$1573:$C$1680,$B40,SSC_Ontology_Ver0.5!$D$1573:$D$1680,SUBSTITUTE($C40,"{D}",M$22))</f>
        <v>0</v>
      </c>
      <c r="N40" s="15" t="str">
        <f>IF(OR($B40="rec:locatedIn",$B40="rec:feeds"),"Excluded - varies by room",IF(AND(MIN(D40:M40)=MAX(D40:M40),MAX(D40:M40)=1),"OK",IF(MIN(D40:M40)=0,"Not on all units","Duplicated")))</f>
        <v>Excluded - varies by room</v>
      </c>
    </row>
    <row r="41" spans="1:14" x14ac:dyDescent="0.3">
      <c r="A41" s="13" t="s">
        <v>4978</v>
      </c>
      <c r="B41" s="14" t="s">
        <v>1692</v>
      </c>
      <c r="C41" s="14" t="s">
        <v>1085</v>
      </c>
      <c r="D41" s="19">
        <f>COUNTIFS(SSC_Ontology_Ver0.5!$A$1573:$A$1680,SUBSTITUTE($A41,"{D}",D$22),SSC_Ontology_Ver0.5!$C$1573:$C$1680,$B41,SSC_Ontology_Ver0.5!$D$1573:$D$1680,SUBSTITUTE($C41,"{D}",D$22))</f>
        <v>0</v>
      </c>
      <c r="E41" s="19">
        <f>COUNTIFS(SSC_Ontology_Ver0.5!$A$1573:$A$1680,SUBSTITUTE($A41,"{D}",E$22),SSC_Ontology_Ver0.5!$C$1573:$C$1680,$B41,SSC_Ontology_Ver0.5!$D$1573:$D$1680,SUBSTITUTE($C41,"{D}",E$22))</f>
        <v>0</v>
      </c>
      <c r="F41" s="19">
        <f>COUNTIFS(SSC_Ontology_Ver0.5!$A$1573:$A$1680,SUBSTITUTE($A41,"{D}",F$22),SSC_Ontology_Ver0.5!$C$1573:$C$1680,$B41,SSC_Ontology_Ver0.5!$D$1573:$D$1680,SUBSTITUTE($C41,"{D}",F$22))</f>
        <v>0</v>
      </c>
      <c r="G41" s="19">
        <f>COUNTIFS(SSC_Ontology_Ver0.5!$A$1573:$A$1680,SUBSTITUTE($A41,"{D}",G$22),SSC_Ontology_Ver0.5!$C$1573:$C$1680,$B41,SSC_Ontology_Ver0.5!$D$1573:$D$1680,SUBSTITUTE($C41,"{D}",G$22))</f>
        <v>0</v>
      </c>
      <c r="H41" s="19">
        <f>COUNTIFS(SSC_Ontology_Ver0.5!$A$1573:$A$1680,SUBSTITUTE($A41,"{D}",H$22),SSC_Ontology_Ver0.5!$C$1573:$C$1680,$B41,SSC_Ontology_Ver0.5!$D$1573:$D$1680,SUBSTITUTE($C41,"{D}",H$22))</f>
        <v>0</v>
      </c>
      <c r="I41" s="19">
        <f>COUNTIFS(SSC_Ontology_Ver0.5!$A$1573:$A$1680,SUBSTITUTE($A41,"{D}",I$22),SSC_Ontology_Ver0.5!$C$1573:$C$1680,$B41,SSC_Ontology_Ver0.5!$D$1573:$D$1680,SUBSTITUTE($C41,"{D}",I$22))</f>
        <v>0</v>
      </c>
      <c r="J41" s="19">
        <f>COUNTIFS(SSC_Ontology_Ver0.5!$A$1573:$A$1680,SUBSTITUTE($A41,"{D}",J$22),SSC_Ontology_Ver0.5!$C$1573:$C$1680,$B41,SSC_Ontology_Ver0.5!$D$1573:$D$1680,SUBSTITUTE($C41,"{D}",J$22))</f>
        <v>0</v>
      </c>
      <c r="K41" s="19">
        <f>COUNTIFS(SSC_Ontology_Ver0.5!$A$1573:$A$1680,SUBSTITUTE($A41,"{D}",K$22),SSC_Ontology_Ver0.5!$C$1573:$C$1680,$B41,SSC_Ontology_Ver0.5!$D$1573:$D$1680,SUBSTITUTE($C41,"{D}",K$22))</f>
        <v>0</v>
      </c>
      <c r="L41" s="19">
        <f>COUNTIFS(SSC_Ontology_Ver0.5!$A$1573:$A$1680,SUBSTITUTE($A41,"{D}",L$22),SSC_Ontology_Ver0.5!$C$1573:$C$1680,$B41,SSC_Ontology_Ver0.5!$D$1573:$D$1680,SUBSTITUTE($C41,"{D}",L$22))</f>
        <v>1</v>
      </c>
      <c r="M41" s="19">
        <f>COUNTIFS(SSC_Ontology_Ver0.5!$A$1573:$A$1680,SUBSTITUTE($A41,"{D}",M$22),SSC_Ontology_Ver0.5!$C$1573:$C$1680,$B41,SSC_Ontology_Ver0.5!$D$1573:$D$1680,SUBSTITUTE($C41,"{D}",M$22))</f>
        <v>0</v>
      </c>
      <c r="N41" s="15" t="str">
        <f>IF(OR($B41="rec:locatedIn",$B41="rec:feeds"),"Excluded - varies by room",IF(AND(MIN(D41:M41)=MAX(D41:M41),MAX(D41:M41)=1),"OK",IF(MIN(D41:M41)=0,"Not on all units","Duplicated")))</f>
        <v>Excluded - varies by room</v>
      </c>
    </row>
    <row r="42" spans="1:14" x14ac:dyDescent="0.3">
      <c r="A42" s="16" t="s">
        <v>4978</v>
      </c>
      <c r="B42" s="17" t="s">
        <v>1692</v>
      </c>
      <c r="C42" s="17" t="s">
        <v>1087</v>
      </c>
      <c r="D42" s="20">
        <f>COUNTIFS(SSC_Ontology_Ver0.5!$A$1573:$A$1680,SUBSTITUTE($A42,"{D}",D$22),SSC_Ontology_Ver0.5!$C$1573:$C$1680,$B42,SSC_Ontology_Ver0.5!$D$1573:$D$1680,SUBSTITUTE($C42,"{D}",D$22))</f>
        <v>0</v>
      </c>
      <c r="E42" s="20">
        <f>COUNTIFS(SSC_Ontology_Ver0.5!$A$1573:$A$1680,SUBSTITUTE($A42,"{D}",E$22),SSC_Ontology_Ver0.5!$C$1573:$C$1680,$B42,SSC_Ontology_Ver0.5!$D$1573:$D$1680,SUBSTITUTE($C42,"{D}",E$22))</f>
        <v>0</v>
      </c>
      <c r="F42" s="20">
        <f>COUNTIFS(SSC_Ontology_Ver0.5!$A$1573:$A$1680,SUBSTITUTE($A42,"{D}",F$22),SSC_Ontology_Ver0.5!$C$1573:$C$1680,$B42,SSC_Ontology_Ver0.5!$D$1573:$D$1680,SUBSTITUTE($C42,"{D}",F$22))</f>
        <v>0</v>
      </c>
      <c r="G42" s="20">
        <f>COUNTIFS(SSC_Ontology_Ver0.5!$A$1573:$A$1680,SUBSTITUTE($A42,"{D}",G$22),SSC_Ontology_Ver0.5!$C$1573:$C$1680,$B42,SSC_Ontology_Ver0.5!$D$1573:$D$1680,SUBSTITUTE($C42,"{D}",G$22))</f>
        <v>0</v>
      </c>
      <c r="H42" s="20">
        <f>COUNTIFS(SSC_Ontology_Ver0.5!$A$1573:$A$1680,SUBSTITUTE($A42,"{D}",H$22),SSC_Ontology_Ver0.5!$C$1573:$C$1680,$B42,SSC_Ontology_Ver0.5!$D$1573:$D$1680,SUBSTITUTE($C42,"{D}",H$22))</f>
        <v>0</v>
      </c>
      <c r="I42" s="20">
        <f>COUNTIFS(SSC_Ontology_Ver0.5!$A$1573:$A$1680,SUBSTITUTE($A42,"{D}",I$22),SSC_Ontology_Ver0.5!$C$1573:$C$1680,$B42,SSC_Ontology_Ver0.5!$D$1573:$D$1680,SUBSTITUTE($C42,"{D}",I$22))</f>
        <v>0</v>
      </c>
      <c r="J42" s="20">
        <f>COUNTIFS(SSC_Ontology_Ver0.5!$A$1573:$A$1680,SUBSTITUTE($A42,"{D}",J$22),SSC_Ontology_Ver0.5!$C$1573:$C$1680,$B42,SSC_Ontology_Ver0.5!$D$1573:$D$1680,SUBSTITUTE($C42,"{D}",J$22))</f>
        <v>0</v>
      </c>
      <c r="K42" s="20">
        <f>COUNTIFS(SSC_Ontology_Ver0.5!$A$1573:$A$1680,SUBSTITUTE($A42,"{D}",K$22),SSC_Ontology_Ver0.5!$C$1573:$C$1680,$B42,SSC_Ontology_Ver0.5!$D$1573:$D$1680,SUBSTITUTE($C42,"{D}",K$22))</f>
        <v>0</v>
      </c>
      <c r="L42" s="20">
        <f>COUNTIFS(SSC_Ontology_Ver0.5!$A$1573:$A$1680,SUBSTITUTE($A42,"{D}",L$22),SSC_Ontology_Ver0.5!$C$1573:$C$1680,$B42,SSC_Ontology_Ver0.5!$D$1573:$D$1680,SUBSTITUTE($C42,"{D}",L$22))</f>
        <v>0</v>
      </c>
      <c r="M42" s="20">
        <f>COUNTIFS(SSC_Ontology_Ver0.5!$A$1573:$A$1680,SUBSTITUTE($A42,"{D}",M$22),SSC_Ontology_Ver0.5!$C$1573:$C$1680,$B42,SSC_Ontology_Ver0.5!$D$1573:$D$1680,SUBSTITUTE($C42,"{D}",M$22))</f>
        <v>1</v>
      </c>
      <c r="N42" s="18" t="str">
        <f>IF(OR($B42="rec:locatedIn",$B42="rec:feeds"),"Excluded - varies by room",IF(AND(MIN(D42:M42)=MAX(D42:M42),MAX(D42:M42)=1),"OK",IF(MIN(D42:M42)=0,"Not on all units","Duplicated")))</f>
        <v>Excluded - varies by room</v>
      </c>
    </row>
    <row r="44" spans="1:14" x14ac:dyDescent="0.3">
      <c r="A44" s="24" t="s">
        <v>4986</v>
      </c>
    </row>
    <row r="45" spans="1:14" x14ac:dyDescent="0.3">
      <c r="A45" s="10" t="s">
        <v>4878</v>
      </c>
      <c r="B45" s="11" t="s">
        <v>4987</v>
      </c>
      <c r="C45" s="11" t="s">
        <v>4988</v>
      </c>
      <c r="D45" s="11" t="s">
        <v>4989</v>
      </c>
      <c r="E45" s="12" t="s">
        <v>4990</v>
      </c>
    </row>
    <row r="46" spans="1:14" x14ac:dyDescent="0.3">
      <c r="A46" s="13" t="s">
        <v>4961</v>
      </c>
      <c r="B46" s="19">
        <f>COUNTIFS(SSC_Ontology_Ver0.5!$A$1573:$A$1680,"entity:SSC_"&amp;$A46,SSC_Ontology_Ver0.5!$C$1573:$C$1680,"rec:locatedIn")</f>
        <v>1</v>
      </c>
      <c r="C46" s="14" t="str" cm="1">
        <f t="array" ref="C46">_xlfn.TEXTJOIN(" ; ",TRUE,IF((SSC_Ontology_Ver0.5!$A$1573:$A$1680="entity:SSC_"&amp;$A46)*(SSC_Ontology_Ver0.5!$C$1573:$C$1680="rec:locatedIn"),SSC_Ontology_Ver0.5!$D$1573:$D$1680,""))</f>
        <v>entity:SSC_B1_005_UPS</v>
      </c>
      <c r="D46" s="14" t="str" cm="1">
        <f t="array" ref="D46">_xlfn.TEXTJOIN(" ; ",TRUE,IF((SSC_Ontology_Ver0.5!$A$1573:$A$1680="entity:SSC_"&amp;$A46)*(SSC_Ontology_Ver0.5!$C$1573:$C$1680="rec:feeds"),SSC_Ontology_Ver0.5!$D$1573:$D$1680,""))</f>
        <v>entity:SSC_B1_005_UPS</v>
      </c>
      <c r="E46" s="25" t="str">
        <f>IF($C46=$D46,"same","different")</f>
        <v>same</v>
      </c>
    </row>
    <row r="47" spans="1:14" x14ac:dyDescent="0.3">
      <c r="A47" s="13" t="s">
        <v>4962</v>
      </c>
      <c r="B47" s="19">
        <f>COUNTIFS(SSC_Ontology_Ver0.5!$A$1573:$A$1680,"entity:SSC_"&amp;$A47,SSC_Ontology_Ver0.5!$C$1573:$C$1680,"rec:locatedIn")</f>
        <v>1</v>
      </c>
      <c r="C47" s="14" t="str" cm="1">
        <f t="array" ref="C47">_xlfn.TEXTJOIN(" ; ",TRUE,IF((SSC_Ontology_Ver0.5!$A$1573:$A$1680="entity:SSC_"&amp;$A47)*(SSC_Ontology_Ver0.5!$C$1573:$C$1680="rec:locatedIn"),SSC_Ontology_Ver0.5!$D$1573:$D$1680,""))</f>
        <v>entity:SSC_B1_005_UPS</v>
      </c>
      <c r="D47" s="14" t="str" cm="1">
        <f t="array" ref="D47">_xlfn.TEXTJOIN(" ; ",TRUE,IF((SSC_Ontology_Ver0.5!$A$1573:$A$1680="entity:SSC_"&amp;$A47)*(SSC_Ontology_Ver0.5!$C$1573:$C$1680="rec:feeds"),SSC_Ontology_Ver0.5!$D$1573:$D$1680,""))</f>
        <v>entity:SSC_B1_005_UPS</v>
      </c>
      <c r="E47" s="25" t="str">
        <f>IF($C47=$D47,"same","different")</f>
        <v>same</v>
      </c>
    </row>
    <row r="48" spans="1:14" x14ac:dyDescent="0.3">
      <c r="A48" s="13" t="s">
        <v>4963</v>
      </c>
      <c r="B48" s="19">
        <f>COUNTIFS(SSC_Ontology_Ver0.5!$A$1573:$A$1680,"entity:SSC_"&amp;$A48,SSC_Ontology_Ver0.5!$C$1573:$C$1680,"rec:locatedIn")</f>
        <v>1</v>
      </c>
      <c r="C48" s="14" t="str" cm="1">
        <f t="array" ref="C48">_xlfn.TEXTJOIN(" ; ",TRUE,IF((SSC_Ontology_Ver0.5!$A$1573:$A$1680="entity:SSC_"&amp;$A48)*(SSC_Ontology_Ver0.5!$C$1573:$C$1680="rec:locatedIn"),SSC_Ontology_Ver0.5!$D$1573:$D$1680,""))</f>
        <v>entity:SSC_B1_005_UPS</v>
      </c>
      <c r="D48" s="14" t="str" cm="1">
        <f t="array" ref="D48">_xlfn.TEXTJOIN(" ; ",TRUE,IF((SSC_Ontology_Ver0.5!$A$1573:$A$1680="entity:SSC_"&amp;$A48)*(SSC_Ontology_Ver0.5!$C$1573:$C$1680="rec:feeds"),SSC_Ontology_Ver0.5!$D$1573:$D$1680,""))</f>
        <v>entity:SSC_B1_005_UPS</v>
      </c>
      <c r="E48" s="25" t="str">
        <f>IF($C48=$D48,"same","different")</f>
        <v>same</v>
      </c>
    </row>
    <row r="49" spans="1:5" x14ac:dyDescent="0.3">
      <c r="A49" s="13" t="s">
        <v>4964</v>
      </c>
      <c r="B49" s="19">
        <f>COUNTIFS(SSC_Ontology_Ver0.5!$A$1573:$A$1680,"entity:SSC_"&amp;$A49,SSC_Ontology_Ver0.5!$C$1573:$C$1680,"rec:locatedIn")</f>
        <v>1</v>
      </c>
      <c r="C49" s="14" t="str" cm="1">
        <f t="array" ref="C49">_xlfn.TEXTJOIN(" ; ",TRUE,IF((SSC_Ontology_Ver0.5!$A$1573:$A$1680="entity:SSC_"&amp;$A49)*(SSC_Ontology_Ver0.5!$C$1573:$C$1680="rec:locatedIn"),SSC_Ontology_Ver0.5!$D$1573:$D$1680,""))</f>
        <v>entity:SSC_B1_005_UPS</v>
      </c>
      <c r="D49" s="14" t="str" cm="1">
        <f t="array" ref="D49">_xlfn.TEXTJOIN(" ; ",TRUE,IF((SSC_Ontology_Ver0.5!$A$1573:$A$1680="entity:SSC_"&amp;$A49)*(SSC_Ontology_Ver0.5!$C$1573:$C$1680="rec:feeds"),SSC_Ontology_Ver0.5!$D$1573:$D$1680,""))</f>
        <v>entity:SSC_B1_005_UPS</v>
      </c>
      <c r="E49" s="25" t="str">
        <f>IF($C49=$D49,"same","different")</f>
        <v>same</v>
      </c>
    </row>
    <row r="50" spans="1:5" x14ac:dyDescent="0.3">
      <c r="A50" s="13" t="s">
        <v>4965</v>
      </c>
      <c r="B50" s="19">
        <f>COUNTIFS(SSC_Ontology_Ver0.5!$A$1573:$A$1680,"entity:SSC_"&amp;$A50,SSC_Ontology_Ver0.5!$C$1573:$C$1680,"rec:locatedIn")</f>
        <v>1</v>
      </c>
      <c r="C50" s="14" t="str" cm="1">
        <f t="array" ref="C50">_xlfn.TEXTJOIN(" ; ",TRUE,IF((SSC_Ontology_Ver0.5!$A$1573:$A$1680="entity:SSC_"&amp;$A50)*(SSC_Ontology_Ver0.5!$C$1573:$C$1680="rec:locatedIn"),SSC_Ontology_Ver0.5!$D$1573:$D$1680,""))</f>
        <v>entity:SSC_B1_004_MV_SWITCH_ROOM</v>
      </c>
      <c r="D50" s="14" t="str" cm="1">
        <f t="array" ref="D50">_xlfn.TEXTJOIN(" ; ",TRUE,IF((SSC_Ontology_Ver0.5!$A$1573:$A$1680="entity:SSC_"&amp;$A50)*(SSC_Ontology_Ver0.5!$C$1573:$C$1680="rec:feeds"),SSC_Ontology_Ver0.5!$D$1573:$D$1680,""))</f>
        <v>entity:SSC_B1_004_MV_SWITCH_ROOM</v>
      </c>
      <c r="E50" s="25" t="str">
        <f>IF($C50=$D50,"same","different")</f>
        <v>same</v>
      </c>
    </row>
    <row r="51" spans="1:5" x14ac:dyDescent="0.3">
      <c r="A51" s="13" t="s">
        <v>4966</v>
      </c>
      <c r="B51" s="19">
        <f>COUNTIFS(SSC_Ontology_Ver0.5!$A$1573:$A$1680,"entity:SSC_"&amp;$A51,SSC_Ontology_Ver0.5!$C$1573:$C$1680,"rec:locatedIn")</f>
        <v>1</v>
      </c>
      <c r="C51" s="14" t="str" cm="1">
        <f t="array" ref="C51">_xlfn.TEXTJOIN(" ; ",TRUE,IF((SSC_Ontology_Ver0.5!$A$1573:$A$1680="entity:SSC_"&amp;$A51)*(SSC_Ontology_Ver0.5!$C$1573:$C$1680="rec:locatedIn"),SSC_Ontology_Ver0.5!$D$1573:$D$1680,""))</f>
        <v>entity:SSC_B1_004_MV_SWITCH_ROOM</v>
      </c>
      <c r="D51" s="14" t="str" cm="1">
        <f t="array" ref="D51">_xlfn.TEXTJOIN(" ; ",TRUE,IF((SSC_Ontology_Ver0.5!$A$1573:$A$1680="entity:SSC_"&amp;$A51)*(SSC_Ontology_Ver0.5!$C$1573:$C$1680="rec:feeds"),SSC_Ontology_Ver0.5!$D$1573:$D$1680,""))</f>
        <v>entity:SSC_B1_004_MV_SWITCH_ROOM</v>
      </c>
      <c r="E51" s="25" t="str">
        <f>IF($C51=$D51,"same","different")</f>
        <v>same</v>
      </c>
    </row>
    <row r="52" spans="1:5" x14ac:dyDescent="0.3">
      <c r="A52" s="13" t="s">
        <v>4967</v>
      </c>
      <c r="B52" s="19">
        <f>COUNTIFS(SSC_Ontology_Ver0.5!$A$1573:$A$1680,"entity:SSC_"&amp;$A52,SSC_Ontology_Ver0.5!$C$1573:$C$1680,"rec:locatedIn")</f>
        <v>1</v>
      </c>
      <c r="C52" s="14" t="str" cm="1">
        <f t="array" ref="C52">_xlfn.TEXTJOIN(" ; ",TRUE,IF((SSC_Ontology_Ver0.5!$A$1573:$A$1680="entity:SSC_"&amp;$A52)*(SSC_Ontology_Ver0.5!$C$1573:$C$1680="rec:locatedIn"),SSC_Ontology_Ver0.5!$D$1573:$D$1680,""))</f>
        <v>entity:SSC_B1_019_FM_STORAGE</v>
      </c>
      <c r="D52" s="14" t="str" cm="1">
        <f t="array" ref="D52">_xlfn.TEXTJOIN(" ; ",TRUE,IF((SSC_Ontology_Ver0.5!$A$1573:$A$1680="entity:SSC_"&amp;$A52)*(SSC_Ontology_Ver0.5!$C$1573:$C$1680="rec:feeds"),SSC_Ontology_Ver0.5!$D$1573:$D$1680,""))</f>
        <v>entity:SSC_B1_019_FM_STORAGE</v>
      </c>
      <c r="E52" s="25" t="str">
        <f>IF($C52=$D52,"same","different")</f>
        <v>same</v>
      </c>
    </row>
    <row r="53" spans="1:5" x14ac:dyDescent="0.3">
      <c r="A53" s="13" t="s">
        <v>4968</v>
      </c>
      <c r="B53" s="19">
        <f>COUNTIFS(SSC_Ontology_Ver0.5!$A$1573:$A$1680,"entity:SSC_"&amp;$A53,SSC_Ontology_Ver0.5!$C$1573:$C$1680,"rec:locatedIn")</f>
        <v>1</v>
      </c>
      <c r="C53" s="14" t="str" cm="1">
        <f t="array" ref="C53">_xlfn.TEXTJOIN(" ; ",TRUE,IF((SSC_Ontology_Ver0.5!$A$1573:$A$1680="entity:SSC_"&amp;$A53)*(SSC_Ontology_Ver0.5!$C$1573:$C$1680="rec:locatedIn"),SSC_Ontology_Ver0.5!$D$1573:$D$1680,""))</f>
        <v>entity:SSC_B1_019_FM_STORAGE</v>
      </c>
      <c r="D53" s="14" t="str" cm="1">
        <f t="array" ref="D53">_xlfn.TEXTJOIN(" ; ",TRUE,IF((SSC_Ontology_Ver0.5!$A$1573:$A$1680="entity:SSC_"&amp;$A53)*(SSC_Ontology_Ver0.5!$C$1573:$C$1680="rec:feeds"),SSC_Ontology_Ver0.5!$D$1573:$D$1680,""))</f>
        <v>entity:SSC_B1_019_FM_STORAGE</v>
      </c>
      <c r="E53" s="25" t="str">
        <f>IF($C53=$D53,"same","different")</f>
        <v>same</v>
      </c>
    </row>
    <row r="54" spans="1:5" x14ac:dyDescent="0.3">
      <c r="A54" s="13" t="s">
        <v>4969</v>
      </c>
      <c r="B54" s="19">
        <f>COUNTIFS(SSC_Ontology_Ver0.5!$A$1573:$A$1680,"entity:SSC_"&amp;$A54,SSC_Ontology_Ver0.5!$C$1573:$C$1680,"rec:locatedIn")</f>
        <v>1</v>
      </c>
      <c r="C54" s="14" t="str" cm="1">
        <f t="array" ref="C54">_xlfn.TEXTJOIN(" ; ",TRUE,IF((SSC_Ontology_Ver0.5!$A$1573:$A$1680="entity:SSC_"&amp;$A54)*(SSC_Ontology_Ver0.5!$C$1573:$C$1680="rec:locatedIn"),SSC_Ontology_Ver0.5!$D$1573:$D$1680,""))</f>
        <v>entity:SSC_B1_020_FM_STORAGE</v>
      </c>
      <c r="D54" s="14" t="str" cm="1">
        <f t="array" ref="D54">_xlfn.TEXTJOIN(" ; ",TRUE,IF((SSC_Ontology_Ver0.5!$A$1573:$A$1680="entity:SSC_"&amp;$A54)*(SSC_Ontology_Ver0.5!$C$1573:$C$1680="rec:feeds"),SSC_Ontology_Ver0.5!$D$1573:$D$1680,""))</f>
        <v>entity:SSC_B1_020_FM_STORAGE</v>
      </c>
      <c r="E54" s="25" t="str">
        <f>IF($C54=$D54,"same","different")</f>
        <v>same</v>
      </c>
    </row>
    <row r="55" spans="1:5" x14ac:dyDescent="0.3">
      <c r="A55" s="16" t="s">
        <v>4970</v>
      </c>
      <c r="B55" s="20">
        <f>COUNTIFS(SSC_Ontology_Ver0.5!$A$1573:$A$1680,"entity:SSC_"&amp;$A55,SSC_Ontology_Ver0.5!$C$1573:$C$1680,"rec:locatedIn")</f>
        <v>1</v>
      </c>
      <c r="C55" s="17" t="str" cm="1">
        <f t="array" ref="C55">_xlfn.TEXTJOIN(" ; ",TRUE,IF((SSC_Ontology_Ver0.5!$A$1573:$A$1680="entity:SSC_"&amp;$A55)*(SSC_Ontology_Ver0.5!$C$1573:$C$1680="rec:locatedIn"),SSC_Ontology_Ver0.5!$D$1573:$D$1680,""))</f>
        <v>entity:SSC_B1_021_FM_STORAGE</v>
      </c>
      <c r="D55" s="17" t="str" cm="1">
        <f t="array" ref="D55">_xlfn.TEXTJOIN(" ; ",TRUE,IF((SSC_Ontology_Ver0.5!$A$1573:$A$1680="entity:SSC_"&amp;$A55)*(SSC_Ontology_Ver0.5!$C$1573:$C$1680="rec:feeds"),SSC_Ontology_Ver0.5!$D$1573:$D$1680,""))</f>
        <v>entity:SSC_B1_021_FM_STORAGE</v>
      </c>
      <c r="E55" s="26" t="str">
        <f>IF($C55=$D55,"same","different")</f>
        <v>same</v>
      </c>
    </row>
  </sheetData>
  <conditionalFormatting sqref="A23:N42 A44">
    <cfRule type="expression" dxfId="6" priority="1">
      <formula>AND($N23&lt;&gt;"OK",LEFT($N23,8)&lt;&gt;"Excluded")</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C8E8A-5DFE-40EC-B725-5B6E0F0C70A4}">
  <dimension ref="A1:O95"/>
  <sheetViews>
    <sheetView workbookViewId="0">
      <pane ySplit="17" topLeftCell="A18" activePane="bottomLeft" state="frozen"/>
      <selection pane="bottomLeft"/>
    </sheetView>
  </sheetViews>
  <sheetFormatPr defaultRowHeight="14.4" x14ac:dyDescent="0.3"/>
  <cols>
    <col min="1" max="3" width="51.88671875" customWidth="1"/>
    <col min="4" max="14" width="11.44140625" customWidth="1"/>
    <col min="15" max="15" width="35.21875" customWidth="1"/>
  </cols>
  <sheetData>
    <row r="1" spans="1:13" ht="18" x14ac:dyDescent="0.35">
      <c r="A1" s="7" t="s">
        <v>4995</v>
      </c>
    </row>
    <row r="2" spans="1:13" x14ac:dyDescent="0.3">
      <c r="A2" s="8" t="s">
        <v>4996</v>
      </c>
    </row>
    <row r="4" spans="1:13" x14ac:dyDescent="0.3">
      <c r="A4" s="6" t="s">
        <v>4997</v>
      </c>
    </row>
    <row r="5" spans="1:13" x14ac:dyDescent="0.3">
      <c r="A5" s="10" t="s">
        <v>4733</v>
      </c>
      <c r="B5" s="11" t="s">
        <v>4998</v>
      </c>
      <c r="C5" s="11" t="s">
        <v>4999</v>
      </c>
      <c r="D5" s="11" t="s">
        <v>5000</v>
      </c>
      <c r="E5" s="11" t="s">
        <v>5001</v>
      </c>
      <c r="F5" s="11" t="s">
        <v>5002</v>
      </c>
      <c r="G5" s="11" t="s">
        <v>5003</v>
      </c>
      <c r="H5" s="11" t="s">
        <v>5004</v>
      </c>
      <c r="I5" s="11" t="s">
        <v>5005</v>
      </c>
      <c r="J5" s="11" t="s">
        <v>5006</v>
      </c>
      <c r="K5" s="11" t="s">
        <v>5007</v>
      </c>
      <c r="L5" s="11" t="s">
        <v>5008</v>
      </c>
      <c r="M5" s="12" t="s">
        <v>4894</v>
      </c>
    </row>
    <row r="6" spans="1:13" x14ac:dyDescent="0.3">
      <c r="A6" s="13" t="s">
        <v>4739</v>
      </c>
      <c r="B6" s="19">
        <f>COUNTIF(SSC_Ontology_Ver0.5!$A$1681:$A$2208,"*"&amp;"FCU0001"&amp;"*")</f>
        <v>48</v>
      </c>
      <c r="C6" s="19">
        <f>COUNTIF(SSC_Ontology_Ver0.5!$A$1681:$A$2208,"*"&amp;"FCU0002"&amp;"*")</f>
        <v>48</v>
      </c>
      <c r="D6" s="19">
        <f>COUNTIF(SSC_Ontology_Ver0.5!$A$1681:$A$2208,"*"&amp;"FCU0003"&amp;"*")</f>
        <v>48</v>
      </c>
      <c r="E6" s="19">
        <f>COUNTIF(SSC_Ontology_Ver0.5!$A$1681:$A$2208,"*"&amp;"FCU0004"&amp;"*")</f>
        <v>48</v>
      </c>
      <c r="F6" s="19">
        <f>COUNTIF(SSC_Ontology_Ver0.5!$A$1681:$A$2208,"*"&amp;"FCU0005"&amp;"*")</f>
        <v>48</v>
      </c>
      <c r="G6" s="19">
        <f>COUNTIF(SSC_Ontology_Ver0.5!$A$1681:$A$2208,"*"&amp;"FCU0006"&amp;"*")</f>
        <v>48</v>
      </c>
      <c r="H6" s="19">
        <f>COUNTIF(SSC_Ontology_Ver0.5!$A$1681:$A$2208,"*"&amp;"FCU0007"&amp;"*")</f>
        <v>48</v>
      </c>
      <c r="I6" s="19">
        <f>COUNTIF(SSC_Ontology_Ver0.5!$A$1681:$A$2208,"*"&amp;"FCU0008"&amp;"*")</f>
        <v>48</v>
      </c>
      <c r="J6" s="19">
        <f>COUNTIF(SSC_Ontology_Ver0.5!$A$1681:$A$2208,"*"&amp;"FCU0009"&amp;"*")</f>
        <v>48</v>
      </c>
      <c r="K6" s="19">
        <f>COUNTIF(SSC_Ontology_Ver0.5!$A$1681:$A$2208,"*"&amp;"FCU0010"&amp;"*")</f>
        <v>48</v>
      </c>
      <c r="L6" s="19">
        <f>COUNTIF(SSC_Ontology_Ver0.5!$A$1681:$A$2208,"*"&amp;"FCU0011"&amp;"*")</f>
        <v>48</v>
      </c>
      <c r="M6" s="25" t="str">
        <f>IF(MIN(B6:L6)=MAX(B6:L6),"YES","NO")</f>
        <v>YES</v>
      </c>
    </row>
    <row r="7" spans="1:13" x14ac:dyDescent="0.3">
      <c r="A7" s="16" t="s">
        <v>5009</v>
      </c>
      <c r="B7" s="20">
        <f>0</f>
        <v>0</v>
      </c>
      <c r="C7" s="20">
        <f>C6-$B$6</f>
        <v>0</v>
      </c>
      <c r="D7" s="20">
        <f>D6-$B$6</f>
        <v>0</v>
      </c>
      <c r="E7" s="20">
        <f>E6-$B$6</f>
        <v>0</v>
      </c>
      <c r="F7" s="20">
        <f>F6-$B$6</f>
        <v>0</v>
      </c>
      <c r="G7" s="20">
        <f>G6-$B$6</f>
        <v>0</v>
      </c>
      <c r="H7" s="20">
        <f>H6-$B$6</f>
        <v>0</v>
      </c>
      <c r="I7" s="20">
        <f>I6-$B$6</f>
        <v>0</v>
      </c>
      <c r="J7" s="20">
        <f>J6-$B$6</f>
        <v>0</v>
      </c>
      <c r="K7" s="20">
        <f>K6-$B$6</f>
        <v>0</v>
      </c>
      <c r="L7" s="20">
        <f>L6-$B$6</f>
        <v>0</v>
      </c>
      <c r="M7" s="26"/>
    </row>
    <row r="9" spans="1:13" x14ac:dyDescent="0.3">
      <c r="A9" s="6" t="s">
        <v>4845</v>
      </c>
    </row>
    <row r="10" spans="1:13" x14ac:dyDescent="0.3">
      <c r="A10" t="s">
        <v>5010</v>
      </c>
    </row>
    <row r="11" spans="1:13" x14ac:dyDescent="0.3">
      <c r="A11" t="s">
        <v>5011</v>
      </c>
    </row>
    <row r="12" spans="1:13" x14ac:dyDescent="0.3">
      <c r="A12" t="s">
        <v>5012</v>
      </c>
    </row>
    <row r="13" spans="1:13" x14ac:dyDescent="0.3">
      <c r="A13" t="s">
        <v>5013</v>
      </c>
    </row>
    <row r="14" spans="1:13" x14ac:dyDescent="0.3">
      <c r="A14" t="s">
        <v>5014</v>
      </c>
    </row>
    <row r="16" spans="1:13" x14ac:dyDescent="0.3">
      <c r="A16" s="6" t="s">
        <v>5015</v>
      </c>
    </row>
    <row r="17" spans="1:15" x14ac:dyDescent="0.3">
      <c r="A17" s="10" t="s">
        <v>4741</v>
      </c>
      <c r="B17" s="11" t="s">
        <v>4742</v>
      </c>
      <c r="C17" s="11" t="s">
        <v>4743</v>
      </c>
      <c r="D17" s="11" t="s">
        <v>4998</v>
      </c>
      <c r="E17" s="11" t="s">
        <v>4999</v>
      </c>
      <c r="F17" s="11" t="s">
        <v>5000</v>
      </c>
      <c r="G17" s="11" t="s">
        <v>5001</v>
      </c>
      <c r="H17" s="11" t="s">
        <v>5002</v>
      </c>
      <c r="I17" s="11" t="s">
        <v>5003</v>
      </c>
      <c r="J17" s="11" t="s">
        <v>5004</v>
      </c>
      <c r="K17" s="11" t="s">
        <v>5005</v>
      </c>
      <c r="L17" s="11" t="s">
        <v>5006</v>
      </c>
      <c r="M17" s="11" t="s">
        <v>5007</v>
      </c>
      <c r="N17" s="11" t="s">
        <v>5008</v>
      </c>
      <c r="O17" s="12" t="s">
        <v>4760</v>
      </c>
    </row>
    <row r="18" spans="1:15" x14ac:dyDescent="0.3">
      <c r="A18" s="13" t="s">
        <v>5016</v>
      </c>
      <c r="B18" s="14" t="s">
        <v>280</v>
      </c>
      <c r="C18" s="14" t="s">
        <v>5017</v>
      </c>
      <c r="D18" s="19">
        <f>COUNTIFS(SSC_Ontology_Ver0.5!$A$1681:$A$2208,SUBSTITUTE($A18,"{F}",D$17),SSC_Ontology_Ver0.5!$C$1681:$C$2208,$B18,SSC_Ontology_Ver0.5!$D$1681:$D$2208,SUBSTITUTE($C18,"{F}",D$17))</f>
        <v>1</v>
      </c>
      <c r="E18" s="19">
        <f>COUNTIFS(SSC_Ontology_Ver0.5!$A$1681:$A$2208,SUBSTITUTE($A18,"{F}",E$17),SSC_Ontology_Ver0.5!$C$1681:$C$2208,$B18,SSC_Ontology_Ver0.5!$D$1681:$D$2208,SUBSTITUTE($C18,"{F}",E$17))</f>
        <v>1</v>
      </c>
      <c r="F18" s="19">
        <f>COUNTIFS(SSC_Ontology_Ver0.5!$A$1681:$A$2208,SUBSTITUTE($A18,"{F}",F$17),SSC_Ontology_Ver0.5!$C$1681:$C$2208,$B18,SSC_Ontology_Ver0.5!$D$1681:$D$2208,SUBSTITUTE($C18,"{F}",F$17))</f>
        <v>1</v>
      </c>
      <c r="G18" s="19">
        <f>COUNTIFS(SSC_Ontology_Ver0.5!$A$1681:$A$2208,SUBSTITUTE($A18,"{F}",G$17),SSC_Ontology_Ver0.5!$C$1681:$C$2208,$B18,SSC_Ontology_Ver0.5!$D$1681:$D$2208,SUBSTITUTE($C18,"{F}",G$17))</f>
        <v>1</v>
      </c>
      <c r="H18" s="19">
        <f>COUNTIFS(SSC_Ontology_Ver0.5!$A$1681:$A$2208,SUBSTITUTE($A18,"{F}",H$17),SSC_Ontology_Ver0.5!$C$1681:$C$2208,$B18,SSC_Ontology_Ver0.5!$D$1681:$D$2208,SUBSTITUTE($C18,"{F}",H$17))</f>
        <v>1</v>
      </c>
      <c r="I18" s="19">
        <f>COUNTIFS(SSC_Ontology_Ver0.5!$A$1681:$A$2208,SUBSTITUTE($A18,"{F}",I$17),SSC_Ontology_Ver0.5!$C$1681:$C$2208,$B18,SSC_Ontology_Ver0.5!$D$1681:$D$2208,SUBSTITUTE($C18,"{F}",I$17))</f>
        <v>1</v>
      </c>
      <c r="J18" s="19">
        <f>COUNTIFS(SSC_Ontology_Ver0.5!$A$1681:$A$2208,SUBSTITUTE($A18,"{F}",J$17),SSC_Ontology_Ver0.5!$C$1681:$C$2208,$B18,SSC_Ontology_Ver0.5!$D$1681:$D$2208,SUBSTITUTE($C18,"{F}",J$17))</f>
        <v>1</v>
      </c>
      <c r="K18" s="19">
        <f>COUNTIFS(SSC_Ontology_Ver0.5!$A$1681:$A$2208,SUBSTITUTE($A18,"{F}",K$17),SSC_Ontology_Ver0.5!$C$1681:$C$2208,$B18,SSC_Ontology_Ver0.5!$D$1681:$D$2208,SUBSTITUTE($C18,"{F}",K$17))</f>
        <v>1</v>
      </c>
      <c r="L18" s="19">
        <f>COUNTIFS(SSC_Ontology_Ver0.5!$A$1681:$A$2208,SUBSTITUTE($A18,"{F}",L$17),SSC_Ontology_Ver0.5!$C$1681:$C$2208,$B18,SSC_Ontology_Ver0.5!$D$1681:$D$2208,SUBSTITUTE($C18,"{F}",L$17))</f>
        <v>1</v>
      </c>
      <c r="M18" s="19">
        <f>COUNTIFS(SSC_Ontology_Ver0.5!$A$1681:$A$2208,SUBSTITUTE($A18,"{F}",M$17),SSC_Ontology_Ver0.5!$C$1681:$C$2208,$B18,SSC_Ontology_Ver0.5!$D$1681:$D$2208,SUBSTITUTE($C18,"{F}",M$17))</f>
        <v>1</v>
      </c>
      <c r="N18" s="19">
        <f>COUNTIFS(SSC_Ontology_Ver0.5!$A$1681:$A$2208,SUBSTITUTE($A18,"{F}",N$17),SSC_Ontology_Ver0.5!$C$1681:$C$2208,$B18,SSC_Ontology_Ver0.5!$D$1681:$D$2208,SUBSTITUTE($C18,"{F}",N$17))</f>
        <v>1</v>
      </c>
      <c r="O18" s="15" t="str">
        <f>IF(OR($B18="rec:locatedIn",$B18="rec:feeds"),"Excluded - varies by room",IF(AND(MIN(D18:N18)=MAX(D18:N18),MAX(D18:N18)=1),"OK",IF(MIN(D18:N18)=0,"Not on all units","Duplicated")))</f>
        <v>OK</v>
      </c>
    </row>
    <row r="19" spans="1:15" x14ac:dyDescent="0.3">
      <c r="A19" s="13" t="s">
        <v>5016</v>
      </c>
      <c r="B19" s="14" t="s">
        <v>280</v>
      </c>
      <c r="C19" s="14" t="s">
        <v>5018</v>
      </c>
      <c r="D19" s="19">
        <f>COUNTIFS(SSC_Ontology_Ver0.5!$A$1681:$A$2208,SUBSTITUTE($A19,"{F}",D$17),SSC_Ontology_Ver0.5!$C$1681:$C$2208,$B19,SSC_Ontology_Ver0.5!$D$1681:$D$2208,SUBSTITUTE($C19,"{F}",D$17))</f>
        <v>1</v>
      </c>
      <c r="E19" s="19">
        <f>COUNTIFS(SSC_Ontology_Ver0.5!$A$1681:$A$2208,SUBSTITUTE($A19,"{F}",E$17),SSC_Ontology_Ver0.5!$C$1681:$C$2208,$B19,SSC_Ontology_Ver0.5!$D$1681:$D$2208,SUBSTITUTE($C19,"{F}",E$17))</f>
        <v>1</v>
      </c>
      <c r="F19" s="19">
        <f>COUNTIFS(SSC_Ontology_Ver0.5!$A$1681:$A$2208,SUBSTITUTE($A19,"{F}",F$17),SSC_Ontology_Ver0.5!$C$1681:$C$2208,$B19,SSC_Ontology_Ver0.5!$D$1681:$D$2208,SUBSTITUTE($C19,"{F}",F$17))</f>
        <v>1</v>
      </c>
      <c r="G19" s="19">
        <f>COUNTIFS(SSC_Ontology_Ver0.5!$A$1681:$A$2208,SUBSTITUTE($A19,"{F}",G$17),SSC_Ontology_Ver0.5!$C$1681:$C$2208,$B19,SSC_Ontology_Ver0.5!$D$1681:$D$2208,SUBSTITUTE($C19,"{F}",G$17))</f>
        <v>1</v>
      </c>
      <c r="H19" s="19">
        <f>COUNTIFS(SSC_Ontology_Ver0.5!$A$1681:$A$2208,SUBSTITUTE($A19,"{F}",H$17),SSC_Ontology_Ver0.5!$C$1681:$C$2208,$B19,SSC_Ontology_Ver0.5!$D$1681:$D$2208,SUBSTITUTE($C19,"{F}",H$17))</f>
        <v>1</v>
      </c>
      <c r="I19" s="19">
        <f>COUNTIFS(SSC_Ontology_Ver0.5!$A$1681:$A$2208,SUBSTITUTE($A19,"{F}",I$17),SSC_Ontology_Ver0.5!$C$1681:$C$2208,$B19,SSC_Ontology_Ver0.5!$D$1681:$D$2208,SUBSTITUTE($C19,"{F}",I$17))</f>
        <v>1</v>
      </c>
      <c r="J19" s="19">
        <f>COUNTIFS(SSC_Ontology_Ver0.5!$A$1681:$A$2208,SUBSTITUTE($A19,"{F}",J$17),SSC_Ontology_Ver0.5!$C$1681:$C$2208,$B19,SSC_Ontology_Ver0.5!$D$1681:$D$2208,SUBSTITUTE($C19,"{F}",J$17))</f>
        <v>1</v>
      </c>
      <c r="K19" s="19">
        <f>COUNTIFS(SSC_Ontology_Ver0.5!$A$1681:$A$2208,SUBSTITUTE($A19,"{F}",K$17),SSC_Ontology_Ver0.5!$C$1681:$C$2208,$B19,SSC_Ontology_Ver0.5!$D$1681:$D$2208,SUBSTITUTE($C19,"{F}",K$17))</f>
        <v>1</v>
      </c>
      <c r="L19" s="19">
        <f>COUNTIFS(SSC_Ontology_Ver0.5!$A$1681:$A$2208,SUBSTITUTE($A19,"{F}",L$17),SSC_Ontology_Ver0.5!$C$1681:$C$2208,$B19,SSC_Ontology_Ver0.5!$D$1681:$D$2208,SUBSTITUTE($C19,"{F}",L$17))</f>
        <v>1</v>
      </c>
      <c r="M19" s="19">
        <f>COUNTIFS(SSC_Ontology_Ver0.5!$A$1681:$A$2208,SUBSTITUTE($A19,"{F}",M$17),SSC_Ontology_Ver0.5!$C$1681:$C$2208,$B19,SSC_Ontology_Ver0.5!$D$1681:$D$2208,SUBSTITUTE($C19,"{F}",M$17))</f>
        <v>1</v>
      </c>
      <c r="N19" s="19">
        <f>COUNTIFS(SSC_Ontology_Ver0.5!$A$1681:$A$2208,SUBSTITUTE($A19,"{F}",N$17),SSC_Ontology_Ver0.5!$C$1681:$C$2208,$B19,SSC_Ontology_Ver0.5!$D$1681:$D$2208,SUBSTITUTE($C19,"{F}",N$17))</f>
        <v>1</v>
      </c>
      <c r="O19" s="15" t="str">
        <f>IF(OR($B19="rec:locatedIn",$B19="rec:feeds"),"Excluded - varies by room",IF(AND(MIN(D19:N19)=MAX(D19:N19),MAX(D19:N19)=1),"OK",IF(MIN(D19:N19)=0,"Not on all units","Duplicated")))</f>
        <v>OK</v>
      </c>
    </row>
    <row r="20" spans="1:15" x14ac:dyDescent="0.3">
      <c r="A20" s="13" t="s">
        <v>5016</v>
      </c>
      <c r="B20" s="14" t="s">
        <v>280</v>
      </c>
      <c r="C20" s="14" t="s">
        <v>5019</v>
      </c>
      <c r="D20" s="19">
        <f>COUNTIFS(SSC_Ontology_Ver0.5!$A$1681:$A$2208,SUBSTITUTE($A20,"{F}",D$17),SSC_Ontology_Ver0.5!$C$1681:$C$2208,$B20,SSC_Ontology_Ver0.5!$D$1681:$D$2208,SUBSTITUTE($C20,"{F}",D$17))</f>
        <v>1</v>
      </c>
      <c r="E20" s="19">
        <f>COUNTIFS(SSC_Ontology_Ver0.5!$A$1681:$A$2208,SUBSTITUTE($A20,"{F}",E$17),SSC_Ontology_Ver0.5!$C$1681:$C$2208,$B20,SSC_Ontology_Ver0.5!$D$1681:$D$2208,SUBSTITUTE($C20,"{F}",E$17))</f>
        <v>1</v>
      </c>
      <c r="F20" s="19">
        <f>COUNTIFS(SSC_Ontology_Ver0.5!$A$1681:$A$2208,SUBSTITUTE($A20,"{F}",F$17),SSC_Ontology_Ver0.5!$C$1681:$C$2208,$B20,SSC_Ontology_Ver0.5!$D$1681:$D$2208,SUBSTITUTE($C20,"{F}",F$17))</f>
        <v>1</v>
      </c>
      <c r="G20" s="19">
        <f>COUNTIFS(SSC_Ontology_Ver0.5!$A$1681:$A$2208,SUBSTITUTE($A20,"{F}",G$17),SSC_Ontology_Ver0.5!$C$1681:$C$2208,$B20,SSC_Ontology_Ver0.5!$D$1681:$D$2208,SUBSTITUTE($C20,"{F}",G$17))</f>
        <v>1</v>
      </c>
      <c r="H20" s="19">
        <f>COUNTIFS(SSC_Ontology_Ver0.5!$A$1681:$A$2208,SUBSTITUTE($A20,"{F}",H$17),SSC_Ontology_Ver0.5!$C$1681:$C$2208,$B20,SSC_Ontology_Ver0.5!$D$1681:$D$2208,SUBSTITUTE($C20,"{F}",H$17))</f>
        <v>1</v>
      </c>
      <c r="I20" s="19">
        <f>COUNTIFS(SSC_Ontology_Ver0.5!$A$1681:$A$2208,SUBSTITUTE($A20,"{F}",I$17),SSC_Ontology_Ver0.5!$C$1681:$C$2208,$B20,SSC_Ontology_Ver0.5!$D$1681:$D$2208,SUBSTITUTE($C20,"{F}",I$17))</f>
        <v>1</v>
      </c>
      <c r="J20" s="19">
        <f>COUNTIFS(SSC_Ontology_Ver0.5!$A$1681:$A$2208,SUBSTITUTE($A20,"{F}",J$17),SSC_Ontology_Ver0.5!$C$1681:$C$2208,$B20,SSC_Ontology_Ver0.5!$D$1681:$D$2208,SUBSTITUTE($C20,"{F}",J$17))</f>
        <v>1</v>
      </c>
      <c r="K20" s="19">
        <f>COUNTIFS(SSC_Ontology_Ver0.5!$A$1681:$A$2208,SUBSTITUTE($A20,"{F}",K$17),SSC_Ontology_Ver0.5!$C$1681:$C$2208,$B20,SSC_Ontology_Ver0.5!$D$1681:$D$2208,SUBSTITUTE($C20,"{F}",K$17))</f>
        <v>1</v>
      </c>
      <c r="L20" s="19">
        <f>COUNTIFS(SSC_Ontology_Ver0.5!$A$1681:$A$2208,SUBSTITUTE($A20,"{F}",L$17),SSC_Ontology_Ver0.5!$C$1681:$C$2208,$B20,SSC_Ontology_Ver0.5!$D$1681:$D$2208,SUBSTITUTE($C20,"{F}",L$17))</f>
        <v>1</v>
      </c>
      <c r="M20" s="19">
        <f>COUNTIFS(SSC_Ontology_Ver0.5!$A$1681:$A$2208,SUBSTITUTE($A20,"{F}",M$17),SSC_Ontology_Ver0.5!$C$1681:$C$2208,$B20,SSC_Ontology_Ver0.5!$D$1681:$D$2208,SUBSTITUTE($C20,"{F}",M$17))</f>
        <v>1</v>
      </c>
      <c r="N20" s="19">
        <f>COUNTIFS(SSC_Ontology_Ver0.5!$A$1681:$A$2208,SUBSTITUTE($A20,"{F}",N$17),SSC_Ontology_Ver0.5!$C$1681:$C$2208,$B20,SSC_Ontology_Ver0.5!$D$1681:$D$2208,SUBSTITUTE($C20,"{F}",N$17))</f>
        <v>1</v>
      </c>
      <c r="O20" s="15" t="str">
        <f>IF(OR($B20="rec:locatedIn",$B20="rec:feeds"),"Excluded - varies by room",IF(AND(MIN(D20:N20)=MAX(D20:N20),MAX(D20:N20)=1),"OK",IF(MIN(D20:N20)=0,"Not on all units","Duplicated")))</f>
        <v>OK</v>
      </c>
    </row>
    <row r="21" spans="1:15" x14ac:dyDescent="0.3">
      <c r="A21" s="13" t="s">
        <v>5016</v>
      </c>
      <c r="B21" s="14" t="s">
        <v>280</v>
      </c>
      <c r="C21" s="14" t="s">
        <v>5020</v>
      </c>
      <c r="D21" s="19">
        <f>COUNTIFS(SSC_Ontology_Ver0.5!$A$1681:$A$2208,SUBSTITUTE($A21,"{F}",D$17),SSC_Ontology_Ver0.5!$C$1681:$C$2208,$B21,SSC_Ontology_Ver0.5!$D$1681:$D$2208,SUBSTITUTE($C21,"{F}",D$17))</f>
        <v>1</v>
      </c>
      <c r="E21" s="19">
        <f>COUNTIFS(SSC_Ontology_Ver0.5!$A$1681:$A$2208,SUBSTITUTE($A21,"{F}",E$17),SSC_Ontology_Ver0.5!$C$1681:$C$2208,$B21,SSC_Ontology_Ver0.5!$D$1681:$D$2208,SUBSTITUTE($C21,"{F}",E$17))</f>
        <v>1</v>
      </c>
      <c r="F21" s="19">
        <f>COUNTIFS(SSC_Ontology_Ver0.5!$A$1681:$A$2208,SUBSTITUTE($A21,"{F}",F$17),SSC_Ontology_Ver0.5!$C$1681:$C$2208,$B21,SSC_Ontology_Ver0.5!$D$1681:$D$2208,SUBSTITUTE($C21,"{F}",F$17))</f>
        <v>1</v>
      </c>
      <c r="G21" s="19">
        <f>COUNTIFS(SSC_Ontology_Ver0.5!$A$1681:$A$2208,SUBSTITUTE($A21,"{F}",G$17),SSC_Ontology_Ver0.5!$C$1681:$C$2208,$B21,SSC_Ontology_Ver0.5!$D$1681:$D$2208,SUBSTITUTE($C21,"{F}",G$17))</f>
        <v>1</v>
      </c>
      <c r="H21" s="19">
        <f>COUNTIFS(SSC_Ontology_Ver0.5!$A$1681:$A$2208,SUBSTITUTE($A21,"{F}",H$17),SSC_Ontology_Ver0.5!$C$1681:$C$2208,$B21,SSC_Ontology_Ver0.5!$D$1681:$D$2208,SUBSTITUTE($C21,"{F}",H$17))</f>
        <v>1</v>
      </c>
      <c r="I21" s="19">
        <f>COUNTIFS(SSC_Ontology_Ver0.5!$A$1681:$A$2208,SUBSTITUTE($A21,"{F}",I$17),SSC_Ontology_Ver0.5!$C$1681:$C$2208,$B21,SSC_Ontology_Ver0.5!$D$1681:$D$2208,SUBSTITUTE($C21,"{F}",I$17))</f>
        <v>1</v>
      </c>
      <c r="J21" s="19">
        <f>COUNTIFS(SSC_Ontology_Ver0.5!$A$1681:$A$2208,SUBSTITUTE($A21,"{F}",J$17),SSC_Ontology_Ver0.5!$C$1681:$C$2208,$B21,SSC_Ontology_Ver0.5!$D$1681:$D$2208,SUBSTITUTE($C21,"{F}",J$17))</f>
        <v>1</v>
      </c>
      <c r="K21" s="19">
        <f>COUNTIFS(SSC_Ontology_Ver0.5!$A$1681:$A$2208,SUBSTITUTE($A21,"{F}",K$17),SSC_Ontology_Ver0.5!$C$1681:$C$2208,$B21,SSC_Ontology_Ver0.5!$D$1681:$D$2208,SUBSTITUTE($C21,"{F}",K$17))</f>
        <v>1</v>
      </c>
      <c r="L21" s="19">
        <f>COUNTIFS(SSC_Ontology_Ver0.5!$A$1681:$A$2208,SUBSTITUTE($A21,"{F}",L$17),SSC_Ontology_Ver0.5!$C$1681:$C$2208,$B21,SSC_Ontology_Ver0.5!$D$1681:$D$2208,SUBSTITUTE($C21,"{F}",L$17))</f>
        <v>1</v>
      </c>
      <c r="M21" s="19">
        <f>COUNTIFS(SSC_Ontology_Ver0.5!$A$1681:$A$2208,SUBSTITUTE($A21,"{F}",M$17),SSC_Ontology_Ver0.5!$C$1681:$C$2208,$B21,SSC_Ontology_Ver0.5!$D$1681:$D$2208,SUBSTITUTE($C21,"{F}",M$17))</f>
        <v>1</v>
      </c>
      <c r="N21" s="19">
        <f>COUNTIFS(SSC_Ontology_Ver0.5!$A$1681:$A$2208,SUBSTITUTE($A21,"{F}",N$17),SSC_Ontology_Ver0.5!$C$1681:$C$2208,$B21,SSC_Ontology_Ver0.5!$D$1681:$D$2208,SUBSTITUTE($C21,"{F}",N$17))</f>
        <v>1</v>
      </c>
      <c r="O21" s="15" t="str">
        <f>IF(OR($B21="rec:locatedIn",$B21="rec:feeds"),"Excluded - varies by room",IF(AND(MIN(D21:N21)=MAX(D21:N21),MAX(D21:N21)=1),"OK",IF(MIN(D21:N21)=0,"Not on all units","Duplicated")))</f>
        <v>OK</v>
      </c>
    </row>
    <row r="22" spans="1:15" x14ac:dyDescent="0.3">
      <c r="A22" s="13" t="s">
        <v>5016</v>
      </c>
      <c r="B22" s="14" t="s">
        <v>308</v>
      </c>
      <c r="C22" s="14" t="s">
        <v>5021</v>
      </c>
      <c r="D22" s="19">
        <f>COUNTIFS(SSC_Ontology_Ver0.5!$A$1681:$A$2208,SUBSTITUTE($A22,"{F}",D$17),SSC_Ontology_Ver0.5!$C$1681:$C$2208,$B22,SSC_Ontology_Ver0.5!$D$1681:$D$2208,SUBSTITUTE($C22,"{F}",D$17))</f>
        <v>1</v>
      </c>
      <c r="E22" s="19">
        <f>COUNTIFS(SSC_Ontology_Ver0.5!$A$1681:$A$2208,SUBSTITUTE($A22,"{F}",E$17),SSC_Ontology_Ver0.5!$C$1681:$C$2208,$B22,SSC_Ontology_Ver0.5!$D$1681:$D$2208,SUBSTITUTE($C22,"{F}",E$17))</f>
        <v>1</v>
      </c>
      <c r="F22" s="19">
        <f>COUNTIFS(SSC_Ontology_Ver0.5!$A$1681:$A$2208,SUBSTITUTE($A22,"{F}",F$17),SSC_Ontology_Ver0.5!$C$1681:$C$2208,$B22,SSC_Ontology_Ver0.5!$D$1681:$D$2208,SUBSTITUTE($C22,"{F}",F$17))</f>
        <v>1</v>
      </c>
      <c r="G22" s="19">
        <f>COUNTIFS(SSC_Ontology_Ver0.5!$A$1681:$A$2208,SUBSTITUTE($A22,"{F}",G$17),SSC_Ontology_Ver0.5!$C$1681:$C$2208,$B22,SSC_Ontology_Ver0.5!$D$1681:$D$2208,SUBSTITUTE($C22,"{F}",G$17))</f>
        <v>1</v>
      </c>
      <c r="H22" s="19">
        <f>COUNTIFS(SSC_Ontology_Ver0.5!$A$1681:$A$2208,SUBSTITUTE($A22,"{F}",H$17),SSC_Ontology_Ver0.5!$C$1681:$C$2208,$B22,SSC_Ontology_Ver0.5!$D$1681:$D$2208,SUBSTITUTE($C22,"{F}",H$17))</f>
        <v>1</v>
      </c>
      <c r="I22" s="19">
        <f>COUNTIFS(SSC_Ontology_Ver0.5!$A$1681:$A$2208,SUBSTITUTE($A22,"{F}",I$17),SSC_Ontology_Ver0.5!$C$1681:$C$2208,$B22,SSC_Ontology_Ver0.5!$D$1681:$D$2208,SUBSTITUTE($C22,"{F}",I$17))</f>
        <v>1</v>
      </c>
      <c r="J22" s="19">
        <f>COUNTIFS(SSC_Ontology_Ver0.5!$A$1681:$A$2208,SUBSTITUTE($A22,"{F}",J$17),SSC_Ontology_Ver0.5!$C$1681:$C$2208,$B22,SSC_Ontology_Ver0.5!$D$1681:$D$2208,SUBSTITUTE($C22,"{F}",J$17))</f>
        <v>1</v>
      </c>
      <c r="K22" s="19">
        <f>COUNTIFS(SSC_Ontology_Ver0.5!$A$1681:$A$2208,SUBSTITUTE($A22,"{F}",K$17),SSC_Ontology_Ver0.5!$C$1681:$C$2208,$B22,SSC_Ontology_Ver0.5!$D$1681:$D$2208,SUBSTITUTE($C22,"{F}",K$17))</f>
        <v>1</v>
      </c>
      <c r="L22" s="19">
        <f>COUNTIFS(SSC_Ontology_Ver0.5!$A$1681:$A$2208,SUBSTITUTE($A22,"{F}",L$17),SSC_Ontology_Ver0.5!$C$1681:$C$2208,$B22,SSC_Ontology_Ver0.5!$D$1681:$D$2208,SUBSTITUTE($C22,"{F}",L$17))</f>
        <v>1</v>
      </c>
      <c r="M22" s="19">
        <f>COUNTIFS(SSC_Ontology_Ver0.5!$A$1681:$A$2208,SUBSTITUTE($A22,"{F}",M$17),SSC_Ontology_Ver0.5!$C$1681:$C$2208,$B22,SSC_Ontology_Ver0.5!$D$1681:$D$2208,SUBSTITUTE($C22,"{F}",M$17))</f>
        <v>1</v>
      </c>
      <c r="N22" s="19">
        <f>COUNTIFS(SSC_Ontology_Ver0.5!$A$1681:$A$2208,SUBSTITUTE($A22,"{F}",N$17),SSC_Ontology_Ver0.5!$C$1681:$C$2208,$B22,SSC_Ontology_Ver0.5!$D$1681:$D$2208,SUBSTITUTE($C22,"{F}",N$17))</f>
        <v>1</v>
      </c>
      <c r="O22" s="15" t="str">
        <f>IF(OR($B22="rec:locatedIn",$B22="rec:feeds"),"Excluded - varies by room",IF(AND(MIN(D22:N22)=MAX(D22:N22),MAX(D22:N22)=1),"OK",IF(MIN(D22:N22)=0,"Not on all units","Duplicated")))</f>
        <v>OK</v>
      </c>
    </row>
    <row r="23" spans="1:15" x14ac:dyDescent="0.3">
      <c r="A23" s="13" t="s">
        <v>5016</v>
      </c>
      <c r="B23" s="14" t="s">
        <v>308</v>
      </c>
      <c r="C23" s="14" t="s">
        <v>5022</v>
      </c>
      <c r="D23" s="19">
        <f>COUNTIFS(SSC_Ontology_Ver0.5!$A$1681:$A$2208,SUBSTITUTE($A23,"{F}",D$17),SSC_Ontology_Ver0.5!$C$1681:$C$2208,$B23,SSC_Ontology_Ver0.5!$D$1681:$D$2208,SUBSTITUTE($C23,"{F}",D$17))</f>
        <v>1</v>
      </c>
      <c r="E23" s="19">
        <f>COUNTIFS(SSC_Ontology_Ver0.5!$A$1681:$A$2208,SUBSTITUTE($A23,"{F}",E$17),SSC_Ontology_Ver0.5!$C$1681:$C$2208,$B23,SSC_Ontology_Ver0.5!$D$1681:$D$2208,SUBSTITUTE($C23,"{F}",E$17))</f>
        <v>1</v>
      </c>
      <c r="F23" s="19">
        <f>COUNTIFS(SSC_Ontology_Ver0.5!$A$1681:$A$2208,SUBSTITUTE($A23,"{F}",F$17),SSC_Ontology_Ver0.5!$C$1681:$C$2208,$B23,SSC_Ontology_Ver0.5!$D$1681:$D$2208,SUBSTITUTE($C23,"{F}",F$17))</f>
        <v>1</v>
      </c>
      <c r="G23" s="19">
        <f>COUNTIFS(SSC_Ontology_Ver0.5!$A$1681:$A$2208,SUBSTITUTE($A23,"{F}",G$17),SSC_Ontology_Ver0.5!$C$1681:$C$2208,$B23,SSC_Ontology_Ver0.5!$D$1681:$D$2208,SUBSTITUTE($C23,"{F}",G$17))</f>
        <v>1</v>
      </c>
      <c r="H23" s="19">
        <f>COUNTIFS(SSC_Ontology_Ver0.5!$A$1681:$A$2208,SUBSTITUTE($A23,"{F}",H$17),SSC_Ontology_Ver0.5!$C$1681:$C$2208,$B23,SSC_Ontology_Ver0.5!$D$1681:$D$2208,SUBSTITUTE($C23,"{F}",H$17))</f>
        <v>1</v>
      </c>
      <c r="I23" s="19">
        <f>COUNTIFS(SSC_Ontology_Ver0.5!$A$1681:$A$2208,SUBSTITUTE($A23,"{F}",I$17),SSC_Ontology_Ver0.5!$C$1681:$C$2208,$B23,SSC_Ontology_Ver0.5!$D$1681:$D$2208,SUBSTITUTE($C23,"{F}",I$17))</f>
        <v>1</v>
      </c>
      <c r="J23" s="19">
        <f>COUNTIFS(SSC_Ontology_Ver0.5!$A$1681:$A$2208,SUBSTITUTE($A23,"{F}",J$17),SSC_Ontology_Ver0.5!$C$1681:$C$2208,$B23,SSC_Ontology_Ver0.5!$D$1681:$D$2208,SUBSTITUTE($C23,"{F}",J$17))</f>
        <v>1</v>
      </c>
      <c r="K23" s="19">
        <f>COUNTIFS(SSC_Ontology_Ver0.5!$A$1681:$A$2208,SUBSTITUTE($A23,"{F}",K$17),SSC_Ontology_Ver0.5!$C$1681:$C$2208,$B23,SSC_Ontology_Ver0.5!$D$1681:$D$2208,SUBSTITUTE($C23,"{F}",K$17))</f>
        <v>1</v>
      </c>
      <c r="L23" s="19">
        <f>COUNTIFS(SSC_Ontology_Ver0.5!$A$1681:$A$2208,SUBSTITUTE($A23,"{F}",L$17),SSC_Ontology_Ver0.5!$C$1681:$C$2208,$B23,SSC_Ontology_Ver0.5!$D$1681:$D$2208,SUBSTITUTE($C23,"{F}",L$17))</f>
        <v>1</v>
      </c>
      <c r="M23" s="19">
        <f>COUNTIFS(SSC_Ontology_Ver0.5!$A$1681:$A$2208,SUBSTITUTE($A23,"{F}",M$17),SSC_Ontology_Ver0.5!$C$1681:$C$2208,$B23,SSC_Ontology_Ver0.5!$D$1681:$D$2208,SUBSTITUTE($C23,"{F}",M$17))</f>
        <v>1</v>
      </c>
      <c r="N23" s="19">
        <f>COUNTIFS(SSC_Ontology_Ver0.5!$A$1681:$A$2208,SUBSTITUTE($A23,"{F}",N$17),SSC_Ontology_Ver0.5!$C$1681:$C$2208,$B23,SSC_Ontology_Ver0.5!$D$1681:$D$2208,SUBSTITUTE($C23,"{F}",N$17))</f>
        <v>1</v>
      </c>
      <c r="O23" s="15" t="str">
        <f>IF(OR($B23="rec:locatedIn",$B23="rec:feeds"),"Excluded - varies by room",IF(AND(MIN(D23:N23)=MAX(D23:N23),MAX(D23:N23)=1),"OK",IF(MIN(D23:N23)=0,"Not on all units","Duplicated")))</f>
        <v>OK</v>
      </c>
    </row>
    <row r="24" spans="1:15" x14ac:dyDescent="0.3">
      <c r="A24" s="13" t="s">
        <v>5016</v>
      </c>
      <c r="B24" s="14" t="s">
        <v>308</v>
      </c>
      <c r="C24" s="14" t="s">
        <v>5023</v>
      </c>
      <c r="D24" s="19">
        <f>COUNTIFS(SSC_Ontology_Ver0.5!$A$1681:$A$2208,SUBSTITUTE($A24,"{F}",D$17),SSC_Ontology_Ver0.5!$C$1681:$C$2208,$B24,SSC_Ontology_Ver0.5!$D$1681:$D$2208,SUBSTITUTE($C24,"{F}",D$17))</f>
        <v>1</v>
      </c>
      <c r="E24" s="19">
        <f>COUNTIFS(SSC_Ontology_Ver0.5!$A$1681:$A$2208,SUBSTITUTE($A24,"{F}",E$17),SSC_Ontology_Ver0.5!$C$1681:$C$2208,$B24,SSC_Ontology_Ver0.5!$D$1681:$D$2208,SUBSTITUTE($C24,"{F}",E$17))</f>
        <v>1</v>
      </c>
      <c r="F24" s="19">
        <f>COUNTIFS(SSC_Ontology_Ver0.5!$A$1681:$A$2208,SUBSTITUTE($A24,"{F}",F$17),SSC_Ontology_Ver0.5!$C$1681:$C$2208,$B24,SSC_Ontology_Ver0.5!$D$1681:$D$2208,SUBSTITUTE($C24,"{F}",F$17))</f>
        <v>1</v>
      </c>
      <c r="G24" s="19">
        <f>COUNTIFS(SSC_Ontology_Ver0.5!$A$1681:$A$2208,SUBSTITUTE($A24,"{F}",G$17),SSC_Ontology_Ver0.5!$C$1681:$C$2208,$B24,SSC_Ontology_Ver0.5!$D$1681:$D$2208,SUBSTITUTE($C24,"{F}",G$17))</f>
        <v>1</v>
      </c>
      <c r="H24" s="19">
        <f>COUNTIFS(SSC_Ontology_Ver0.5!$A$1681:$A$2208,SUBSTITUTE($A24,"{F}",H$17),SSC_Ontology_Ver0.5!$C$1681:$C$2208,$B24,SSC_Ontology_Ver0.5!$D$1681:$D$2208,SUBSTITUTE($C24,"{F}",H$17))</f>
        <v>1</v>
      </c>
      <c r="I24" s="19">
        <f>COUNTIFS(SSC_Ontology_Ver0.5!$A$1681:$A$2208,SUBSTITUTE($A24,"{F}",I$17),SSC_Ontology_Ver0.5!$C$1681:$C$2208,$B24,SSC_Ontology_Ver0.5!$D$1681:$D$2208,SUBSTITUTE($C24,"{F}",I$17))</f>
        <v>1</v>
      </c>
      <c r="J24" s="19">
        <f>COUNTIFS(SSC_Ontology_Ver0.5!$A$1681:$A$2208,SUBSTITUTE($A24,"{F}",J$17),SSC_Ontology_Ver0.5!$C$1681:$C$2208,$B24,SSC_Ontology_Ver0.5!$D$1681:$D$2208,SUBSTITUTE($C24,"{F}",J$17))</f>
        <v>1</v>
      </c>
      <c r="K24" s="19">
        <f>COUNTIFS(SSC_Ontology_Ver0.5!$A$1681:$A$2208,SUBSTITUTE($A24,"{F}",K$17),SSC_Ontology_Ver0.5!$C$1681:$C$2208,$B24,SSC_Ontology_Ver0.5!$D$1681:$D$2208,SUBSTITUTE($C24,"{F}",K$17))</f>
        <v>1</v>
      </c>
      <c r="L24" s="19">
        <f>COUNTIFS(SSC_Ontology_Ver0.5!$A$1681:$A$2208,SUBSTITUTE($A24,"{F}",L$17),SSC_Ontology_Ver0.5!$C$1681:$C$2208,$B24,SSC_Ontology_Ver0.5!$D$1681:$D$2208,SUBSTITUTE($C24,"{F}",L$17))</f>
        <v>1</v>
      </c>
      <c r="M24" s="19">
        <f>COUNTIFS(SSC_Ontology_Ver0.5!$A$1681:$A$2208,SUBSTITUTE($A24,"{F}",M$17),SSC_Ontology_Ver0.5!$C$1681:$C$2208,$B24,SSC_Ontology_Ver0.5!$D$1681:$D$2208,SUBSTITUTE($C24,"{F}",M$17))</f>
        <v>1</v>
      </c>
      <c r="N24" s="19">
        <f>COUNTIFS(SSC_Ontology_Ver0.5!$A$1681:$A$2208,SUBSTITUTE($A24,"{F}",N$17),SSC_Ontology_Ver0.5!$C$1681:$C$2208,$B24,SSC_Ontology_Ver0.5!$D$1681:$D$2208,SUBSTITUTE($C24,"{F}",N$17))</f>
        <v>1</v>
      </c>
      <c r="O24" s="15" t="str">
        <f>IF(OR($B24="rec:locatedIn",$B24="rec:feeds"),"Excluded - varies by room",IF(AND(MIN(D24:N24)=MAX(D24:N24),MAX(D24:N24)=1),"OK",IF(MIN(D24:N24)=0,"Not on all units","Duplicated")))</f>
        <v>OK</v>
      </c>
    </row>
    <row r="25" spans="1:15" x14ac:dyDescent="0.3">
      <c r="A25" s="13" t="s">
        <v>5016</v>
      </c>
      <c r="B25" s="14" t="s">
        <v>308</v>
      </c>
      <c r="C25" s="14" t="s">
        <v>5024</v>
      </c>
      <c r="D25" s="19">
        <f>COUNTIFS(SSC_Ontology_Ver0.5!$A$1681:$A$2208,SUBSTITUTE($A25,"{F}",D$17),SSC_Ontology_Ver0.5!$C$1681:$C$2208,$B25,SSC_Ontology_Ver0.5!$D$1681:$D$2208,SUBSTITUTE($C25,"{F}",D$17))</f>
        <v>1</v>
      </c>
      <c r="E25" s="19">
        <f>COUNTIFS(SSC_Ontology_Ver0.5!$A$1681:$A$2208,SUBSTITUTE($A25,"{F}",E$17),SSC_Ontology_Ver0.5!$C$1681:$C$2208,$B25,SSC_Ontology_Ver0.5!$D$1681:$D$2208,SUBSTITUTE($C25,"{F}",E$17))</f>
        <v>1</v>
      </c>
      <c r="F25" s="19">
        <f>COUNTIFS(SSC_Ontology_Ver0.5!$A$1681:$A$2208,SUBSTITUTE($A25,"{F}",F$17),SSC_Ontology_Ver0.5!$C$1681:$C$2208,$B25,SSC_Ontology_Ver0.5!$D$1681:$D$2208,SUBSTITUTE($C25,"{F}",F$17))</f>
        <v>1</v>
      </c>
      <c r="G25" s="19">
        <f>COUNTIFS(SSC_Ontology_Ver0.5!$A$1681:$A$2208,SUBSTITUTE($A25,"{F}",G$17),SSC_Ontology_Ver0.5!$C$1681:$C$2208,$B25,SSC_Ontology_Ver0.5!$D$1681:$D$2208,SUBSTITUTE($C25,"{F}",G$17))</f>
        <v>1</v>
      </c>
      <c r="H25" s="19">
        <f>COUNTIFS(SSC_Ontology_Ver0.5!$A$1681:$A$2208,SUBSTITUTE($A25,"{F}",H$17),SSC_Ontology_Ver0.5!$C$1681:$C$2208,$B25,SSC_Ontology_Ver0.5!$D$1681:$D$2208,SUBSTITUTE($C25,"{F}",H$17))</f>
        <v>1</v>
      </c>
      <c r="I25" s="19">
        <f>COUNTIFS(SSC_Ontology_Ver0.5!$A$1681:$A$2208,SUBSTITUTE($A25,"{F}",I$17),SSC_Ontology_Ver0.5!$C$1681:$C$2208,$B25,SSC_Ontology_Ver0.5!$D$1681:$D$2208,SUBSTITUTE($C25,"{F}",I$17))</f>
        <v>1</v>
      </c>
      <c r="J25" s="19">
        <f>COUNTIFS(SSC_Ontology_Ver0.5!$A$1681:$A$2208,SUBSTITUTE($A25,"{F}",J$17),SSC_Ontology_Ver0.5!$C$1681:$C$2208,$B25,SSC_Ontology_Ver0.5!$D$1681:$D$2208,SUBSTITUTE($C25,"{F}",J$17))</f>
        <v>1</v>
      </c>
      <c r="K25" s="19">
        <f>COUNTIFS(SSC_Ontology_Ver0.5!$A$1681:$A$2208,SUBSTITUTE($A25,"{F}",K$17),SSC_Ontology_Ver0.5!$C$1681:$C$2208,$B25,SSC_Ontology_Ver0.5!$D$1681:$D$2208,SUBSTITUTE($C25,"{F}",K$17))</f>
        <v>1</v>
      </c>
      <c r="L25" s="19">
        <f>COUNTIFS(SSC_Ontology_Ver0.5!$A$1681:$A$2208,SUBSTITUTE($A25,"{F}",L$17),SSC_Ontology_Ver0.5!$C$1681:$C$2208,$B25,SSC_Ontology_Ver0.5!$D$1681:$D$2208,SUBSTITUTE($C25,"{F}",L$17))</f>
        <v>1</v>
      </c>
      <c r="M25" s="19">
        <f>COUNTIFS(SSC_Ontology_Ver0.5!$A$1681:$A$2208,SUBSTITUTE($A25,"{F}",M$17),SSC_Ontology_Ver0.5!$C$1681:$C$2208,$B25,SSC_Ontology_Ver0.5!$D$1681:$D$2208,SUBSTITUTE($C25,"{F}",M$17))</f>
        <v>1</v>
      </c>
      <c r="N25" s="19">
        <f>COUNTIFS(SSC_Ontology_Ver0.5!$A$1681:$A$2208,SUBSTITUTE($A25,"{F}",N$17),SSC_Ontology_Ver0.5!$C$1681:$C$2208,$B25,SSC_Ontology_Ver0.5!$D$1681:$D$2208,SUBSTITUTE($C25,"{F}",N$17))</f>
        <v>1</v>
      </c>
      <c r="O25" s="15" t="str">
        <f>IF(OR($B25="rec:locatedIn",$B25="rec:feeds"),"Excluded - varies by room",IF(AND(MIN(D25:N25)=MAX(D25:N25),MAX(D25:N25)=1),"OK",IF(MIN(D25:N25)=0,"Not on all units","Duplicated")))</f>
        <v>OK</v>
      </c>
    </row>
    <row r="26" spans="1:15" x14ac:dyDescent="0.3">
      <c r="A26" s="13" t="s">
        <v>5016</v>
      </c>
      <c r="B26" s="14" t="s">
        <v>308</v>
      </c>
      <c r="C26" s="14" t="s">
        <v>5025</v>
      </c>
      <c r="D26" s="19">
        <f>COUNTIFS(SSC_Ontology_Ver0.5!$A$1681:$A$2208,SUBSTITUTE($A26,"{F}",D$17),SSC_Ontology_Ver0.5!$C$1681:$C$2208,$B26,SSC_Ontology_Ver0.5!$D$1681:$D$2208,SUBSTITUTE($C26,"{F}",D$17))</f>
        <v>1</v>
      </c>
      <c r="E26" s="19">
        <f>COUNTIFS(SSC_Ontology_Ver0.5!$A$1681:$A$2208,SUBSTITUTE($A26,"{F}",E$17),SSC_Ontology_Ver0.5!$C$1681:$C$2208,$B26,SSC_Ontology_Ver0.5!$D$1681:$D$2208,SUBSTITUTE($C26,"{F}",E$17))</f>
        <v>1</v>
      </c>
      <c r="F26" s="19">
        <f>COUNTIFS(SSC_Ontology_Ver0.5!$A$1681:$A$2208,SUBSTITUTE($A26,"{F}",F$17),SSC_Ontology_Ver0.5!$C$1681:$C$2208,$B26,SSC_Ontology_Ver0.5!$D$1681:$D$2208,SUBSTITUTE($C26,"{F}",F$17))</f>
        <v>1</v>
      </c>
      <c r="G26" s="19">
        <f>COUNTIFS(SSC_Ontology_Ver0.5!$A$1681:$A$2208,SUBSTITUTE($A26,"{F}",G$17),SSC_Ontology_Ver0.5!$C$1681:$C$2208,$B26,SSC_Ontology_Ver0.5!$D$1681:$D$2208,SUBSTITUTE($C26,"{F}",G$17))</f>
        <v>1</v>
      </c>
      <c r="H26" s="19">
        <f>COUNTIFS(SSC_Ontology_Ver0.5!$A$1681:$A$2208,SUBSTITUTE($A26,"{F}",H$17),SSC_Ontology_Ver0.5!$C$1681:$C$2208,$B26,SSC_Ontology_Ver0.5!$D$1681:$D$2208,SUBSTITUTE($C26,"{F}",H$17))</f>
        <v>1</v>
      </c>
      <c r="I26" s="19">
        <f>COUNTIFS(SSC_Ontology_Ver0.5!$A$1681:$A$2208,SUBSTITUTE($A26,"{F}",I$17),SSC_Ontology_Ver0.5!$C$1681:$C$2208,$B26,SSC_Ontology_Ver0.5!$D$1681:$D$2208,SUBSTITUTE($C26,"{F}",I$17))</f>
        <v>1</v>
      </c>
      <c r="J26" s="19">
        <f>COUNTIFS(SSC_Ontology_Ver0.5!$A$1681:$A$2208,SUBSTITUTE($A26,"{F}",J$17),SSC_Ontology_Ver0.5!$C$1681:$C$2208,$B26,SSC_Ontology_Ver0.5!$D$1681:$D$2208,SUBSTITUTE($C26,"{F}",J$17))</f>
        <v>1</v>
      </c>
      <c r="K26" s="19">
        <f>COUNTIFS(SSC_Ontology_Ver0.5!$A$1681:$A$2208,SUBSTITUTE($A26,"{F}",K$17),SSC_Ontology_Ver0.5!$C$1681:$C$2208,$B26,SSC_Ontology_Ver0.5!$D$1681:$D$2208,SUBSTITUTE($C26,"{F}",K$17))</f>
        <v>1</v>
      </c>
      <c r="L26" s="19">
        <f>COUNTIFS(SSC_Ontology_Ver0.5!$A$1681:$A$2208,SUBSTITUTE($A26,"{F}",L$17),SSC_Ontology_Ver0.5!$C$1681:$C$2208,$B26,SSC_Ontology_Ver0.5!$D$1681:$D$2208,SUBSTITUTE($C26,"{F}",L$17))</f>
        <v>1</v>
      </c>
      <c r="M26" s="19">
        <f>COUNTIFS(SSC_Ontology_Ver0.5!$A$1681:$A$2208,SUBSTITUTE($A26,"{F}",M$17),SSC_Ontology_Ver0.5!$C$1681:$C$2208,$B26,SSC_Ontology_Ver0.5!$D$1681:$D$2208,SUBSTITUTE($C26,"{F}",M$17))</f>
        <v>1</v>
      </c>
      <c r="N26" s="19">
        <f>COUNTIFS(SSC_Ontology_Ver0.5!$A$1681:$A$2208,SUBSTITUTE($A26,"{F}",N$17),SSC_Ontology_Ver0.5!$C$1681:$C$2208,$B26,SSC_Ontology_Ver0.5!$D$1681:$D$2208,SUBSTITUTE($C26,"{F}",N$17))</f>
        <v>1</v>
      </c>
      <c r="O26" s="15" t="str">
        <f>IF(OR($B26="rec:locatedIn",$B26="rec:feeds"),"Excluded - varies by room",IF(AND(MIN(D26:N26)=MAX(D26:N26),MAX(D26:N26)=1),"OK",IF(MIN(D26:N26)=0,"Not on all units","Duplicated")))</f>
        <v>OK</v>
      </c>
    </row>
    <row r="27" spans="1:15" x14ac:dyDescent="0.3">
      <c r="A27" s="13" t="s">
        <v>5016</v>
      </c>
      <c r="B27" s="14" t="s">
        <v>308</v>
      </c>
      <c r="C27" s="14" t="s">
        <v>5026</v>
      </c>
      <c r="D27" s="19">
        <f>COUNTIFS(SSC_Ontology_Ver0.5!$A$1681:$A$2208,SUBSTITUTE($A27,"{F}",D$17),SSC_Ontology_Ver0.5!$C$1681:$C$2208,$B27,SSC_Ontology_Ver0.5!$D$1681:$D$2208,SUBSTITUTE($C27,"{F}",D$17))</f>
        <v>1</v>
      </c>
      <c r="E27" s="19">
        <f>COUNTIFS(SSC_Ontology_Ver0.5!$A$1681:$A$2208,SUBSTITUTE($A27,"{F}",E$17),SSC_Ontology_Ver0.5!$C$1681:$C$2208,$B27,SSC_Ontology_Ver0.5!$D$1681:$D$2208,SUBSTITUTE($C27,"{F}",E$17))</f>
        <v>1</v>
      </c>
      <c r="F27" s="19">
        <f>COUNTIFS(SSC_Ontology_Ver0.5!$A$1681:$A$2208,SUBSTITUTE($A27,"{F}",F$17),SSC_Ontology_Ver0.5!$C$1681:$C$2208,$B27,SSC_Ontology_Ver0.5!$D$1681:$D$2208,SUBSTITUTE($C27,"{F}",F$17))</f>
        <v>1</v>
      </c>
      <c r="G27" s="19">
        <f>COUNTIFS(SSC_Ontology_Ver0.5!$A$1681:$A$2208,SUBSTITUTE($A27,"{F}",G$17),SSC_Ontology_Ver0.5!$C$1681:$C$2208,$B27,SSC_Ontology_Ver0.5!$D$1681:$D$2208,SUBSTITUTE($C27,"{F}",G$17))</f>
        <v>1</v>
      </c>
      <c r="H27" s="19">
        <f>COUNTIFS(SSC_Ontology_Ver0.5!$A$1681:$A$2208,SUBSTITUTE($A27,"{F}",H$17),SSC_Ontology_Ver0.5!$C$1681:$C$2208,$B27,SSC_Ontology_Ver0.5!$D$1681:$D$2208,SUBSTITUTE($C27,"{F}",H$17))</f>
        <v>1</v>
      </c>
      <c r="I27" s="19">
        <f>COUNTIFS(SSC_Ontology_Ver0.5!$A$1681:$A$2208,SUBSTITUTE($A27,"{F}",I$17),SSC_Ontology_Ver0.5!$C$1681:$C$2208,$B27,SSC_Ontology_Ver0.5!$D$1681:$D$2208,SUBSTITUTE($C27,"{F}",I$17))</f>
        <v>1</v>
      </c>
      <c r="J27" s="19">
        <f>COUNTIFS(SSC_Ontology_Ver0.5!$A$1681:$A$2208,SUBSTITUTE($A27,"{F}",J$17),SSC_Ontology_Ver0.5!$C$1681:$C$2208,$B27,SSC_Ontology_Ver0.5!$D$1681:$D$2208,SUBSTITUTE($C27,"{F}",J$17))</f>
        <v>1</v>
      </c>
      <c r="K27" s="19">
        <f>COUNTIFS(SSC_Ontology_Ver0.5!$A$1681:$A$2208,SUBSTITUTE($A27,"{F}",K$17),SSC_Ontology_Ver0.5!$C$1681:$C$2208,$B27,SSC_Ontology_Ver0.5!$D$1681:$D$2208,SUBSTITUTE($C27,"{F}",K$17))</f>
        <v>1</v>
      </c>
      <c r="L27" s="19">
        <f>COUNTIFS(SSC_Ontology_Ver0.5!$A$1681:$A$2208,SUBSTITUTE($A27,"{F}",L$17),SSC_Ontology_Ver0.5!$C$1681:$C$2208,$B27,SSC_Ontology_Ver0.5!$D$1681:$D$2208,SUBSTITUTE($C27,"{F}",L$17))</f>
        <v>1</v>
      </c>
      <c r="M27" s="19">
        <f>COUNTIFS(SSC_Ontology_Ver0.5!$A$1681:$A$2208,SUBSTITUTE($A27,"{F}",M$17),SSC_Ontology_Ver0.5!$C$1681:$C$2208,$B27,SSC_Ontology_Ver0.5!$D$1681:$D$2208,SUBSTITUTE($C27,"{F}",M$17))</f>
        <v>1</v>
      </c>
      <c r="N27" s="19">
        <f>COUNTIFS(SSC_Ontology_Ver0.5!$A$1681:$A$2208,SUBSTITUTE($A27,"{F}",N$17),SSC_Ontology_Ver0.5!$C$1681:$C$2208,$B27,SSC_Ontology_Ver0.5!$D$1681:$D$2208,SUBSTITUTE($C27,"{F}",N$17))</f>
        <v>1</v>
      </c>
      <c r="O27" s="15" t="str">
        <f>IF(OR($B27="rec:locatedIn",$B27="rec:feeds"),"Excluded - varies by room",IF(AND(MIN(D27:N27)=MAX(D27:N27),MAX(D27:N27)=1),"OK",IF(MIN(D27:N27)=0,"Not on all units","Duplicated")))</f>
        <v>OK</v>
      </c>
    </row>
    <row r="28" spans="1:15" x14ac:dyDescent="0.3">
      <c r="A28" s="13" t="s">
        <v>5016</v>
      </c>
      <c r="B28" s="14" t="s">
        <v>308</v>
      </c>
      <c r="C28" s="14" t="s">
        <v>5027</v>
      </c>
      <c r="D28" s="19">
        <f>COUNTIFS(SSC_Ontology_Ver0.5!$A$1681:$A$2208,SUBSTITUTE($A28,"{F}",D$17),SSC_Ontology_Ver0.5!$C$1681:$C$2208,$B28,SSC_Ontology_Ver0.5!$D$1681:$D$2208,SUBSTITUTE($C28,"{F}",D$17))</f>
        <v>1</v>
      </c>
      <c r="E28" s="19">
        <f>COUNTIFS(SSC_Ontology_Ver0.5!$A$1681:$A$2208,SUBSTITUTE($A28,"{F}",E$17),SSC_Ontology_Ver0.5!$C$1681:$C$2208,$B28,SSC_Ontology_Ver0.5!$D$1681:$D$2208,SUBSTITUTE($C28,"{F}",E$17))</f>
        <v>1</v>
      </c>
      <c r="F28" s="19">
        <f>COUNTIFS(SSC_Ontology_Ver0.5!$A$1681:$A$2208,SUBSTITUTE($A28,"{F}",F$17),SSC_Ontology_Ver0.5!$C$1681:$C$2208,$B28,SSC_Ontology_Ver0.5!$D$1681:$D$2208,SUBSTITUTE($C28,"{F}",F$17))</f>
        <v>1</v>
      </c>
      <c r="G28" s="19">
        <f>COUNTIFS(SSC_Ontology_Ver0.5!$A$1681:$A$2208,SUBSTITUTE($A28,"{F}",G$17),SSC_Ontology_Ver0.5!$C$1681:$C$2208,$B28,SSC_Ontology_Ver0.5!$D$1681:$D$2208,SUBSTITUTE($C28,"{F}",G$17))</f>
        <v>1</v>
      </c>
      <c r="H28" s="19">
        <f>COUNTIFS(SSC_Ontology_Ver0.5!$A$1681:$A$2208,SUBSTITUTE($A28,"{F}",H$17),SSC_Ontology_Ver0.5!$C$1681:$C$2208,$B28,SSC_Ontology_Ver0.5!$D$1681:$D$2208,SUBSTITUTE($C28,"{F}",H$17))</f>
        <v>1</v>
      </c>
      <c r="I28" s="19">
        <f>COUNTIFS(SSC_Ontology_Ver0.5!$A$1681:$A$2208,SUBSTITUTE($A28,"{F}",I$17),SSC_Ontology_Ver0.5!$C$1681:$C$2208,$B28,SSC_Ontology_Ver0.5!$D$1681:$D$2208,SUBSTITUTE($C28,"{F}",I$17))</f>
        <v>1</v>
      </c>
      <c r="J28" s="19">
        <f>COUNTIFS(SSC_Ontology_Ver0.5!$A$1681:$A$2208,SUBSTITUTE($A28,"{F}",J$17),SSC_Ontology_Ver0.5!$C$1681:$C$2208,$B28,SSC_Ontology_Ver0.5!$D$1681:$D$2208,SUBSTITUTE($C28,"{F}",J$17))</f>
        <v>1</v>
      </c>
      <c r="K28" s="19">
        <f>COUNTIFS(SSC_Ontology_Ver0.5!$A$1681:$A$2208,SUBSTITUTE($A28,"{F}",K$17),SSC_Ontology_Ver0.5!$C$1681:$C$2208,$B28,SSC_Ontology_Ver0.5!$D$1681:$D$2208,SUBSTITUTE($C28,"{F}",K$17))</f>
        <v>1</v>
      </c>
      <c r="L28" s="19">
        <f>COUNTIFS(SSC_Ontology_Ver0.5!$A$1681:$A$2208,SUBSTITUTE($A28,"{F}",L$17),SSC_Ontology_Ver0.5!$C$1681:$C$2208,$B28,SSC_Ontology_Ver0.5!$D$1681:$D$2208,SUBSTITUTE($C28,"{F}",L$17))</f>
        <v>1</v>
      </c>
      <c r="M28" s="19">
        <f>COUNTIFS(SSC_Ontology_Ver0.5!$A$1681:$A$2208,SUBSTITUTE($A28,"{F}",M$17),SSC_Ontology_Ver0.5!$C$1681:$C$2208,$B28,SSC_Ontology_Ver0.5!$D$1681:$D$2208,SUBSTITUTE($C28,"{F}",M$17))</f>
        <v>1</v>
      </c>
      <c r="N28" s="19">
        <f>COUNTIFS(SSC_Ontology_Ver0.5!$A$1681:$A$2208,SUBSTITUTE($A28,"{F}",N$17),SSC_Ontology_Ver0.5!$C$1681:$C$2208,$B28,SSC_Ontology_Ver0.5!$D$1681:$D$2208,SUBSTITUTE($C28,"{F}",N$17))</f>
        <v>1</v>
      </c>
      <c r="O28" s="15" t="str">
        <f>IF(OR($B28="rec:locatedIn",$B28="rec:feeds"),"Excluded - varies by room",IF(AND(MIN(D28:N28)=MAX(D28:N28),MAX(D28:N28)=1),"OK",IF(MIN(D28:N28)=0,"Not on all units","Duplicated")))</f>
        <v>OK</v>
      </c>
    </row>
    <row r="29" spans="1:15" x14ac:dyDescent="0.3">
      <c r="A29" s="13" t="s">
        <v>5016</v>
      </c>
      <c r="B29" s="14" t="s">
        <v>308</v>
      </c>
      <c r="C29" s="14" t="s">
        <v>5028</v>
      </c>
      <c r="D29" s="19">
        <f>COUNTIFS(SSC_Ontology_Ver0.5!$A$1681:$A$2208,SUBSTITUTE($A29,"{F}",D$17),SSC_Ontology_Ver0.5!$C$1681:$C$2208,$B29,SSC_Ontology_Ver0.5!$D$1681:$D$2208,SUBSTITUTE($C29,"{F}",D$17))</f>
        <v>1</v>
      </c>
      <c r="E29" s="19">
        <f>COUNTIFS(SSC_Ontology_Ver0.5!$A$1681:$A$2208,SUBSTITUTE($A29,"{F}",E$17),SSC_Ontology_Ver0.5!$C$1681:$C$2208,$B29,SSC_Ontology_Ver0.5!$D$1681:$D$2208,SUBSTITUTE($C29,"{F}",E$17))</f>
        <v>1</v>
      </c>
      <c r="F29" s="19">
        <f>COUNTIFS(SSC_Ontology_Ver0.5!$A$1681:$A$2208,SUBSTITUTE($A29,"{F}",F$17),SSC_Ontology_Ver0.5!$C$1681:$C$2208,$B29,SSC_Ontology_Ver0.5!$D$1681:$D$2208,SUBSTITUTE($C29,"{F}",F$17))</f>
        <v>1</v>
      </c>
      <c r="G29" s="19">
        <f>COUNTIFS(SSC_Ontology_Ver0.5!$A$1681:$A$2208,SUBSTITUTE($A29,"{F}",G$17),SSC_Ontology_Ver0.5!$C$1681:$C$2208,$B29,SSC_Ontology_Ver0.5!$D$1681:$D$2208,SUBSTITUTE($C29,"{F}",G$17))</f>
        <v>1</v>
      </c>
      <c r="H29" s="19">
        <f>COUNTIFS(SSC_Ontology_Ver0.5!$A$1681:$A$2208,SUBSTITUTE($A29,"{F}",H$17),SSC_Ontology_Ver0.5!$C$1681:$C$2208,$B29,SSC_Ontology_Ver0.5!$D$1681:$D$2208,SUBSTITUTE($C29,"{F}",H$17))</f>
        <v>1</v>
      </c>
      <c r="I29" s="19">
        <f>COUNTIFS(SSC_Ontology_Ver0.5!$A$1681:$A$2208,SUBSTITUTE($A29,"{F}",I$17),SSC_Ontology_Ver0.5!$C$1681:$C$2208,$B29,SSC_Ontology_Ver0.5!$D$1681:$D$2208,SUBSTITUTE($C29,"{F}",I$17))</f>
        <v>1</v>
      </c>
      <c r="J29" s="19">
        <f>COUNTIFS(SSC_Ontology_Ver0.5!$A$1681:$A$2208,SUBSTITUTE($A29,"{F}",J$17),SSC_Ontology_Ver0.5!$C$1681:$C$2208,$B29,SSC_Ontology_Ver0.5!$D$1681:$D$2208,SUBSTITUTE($C29,"{F}",J$17))</f>
        <v>1</v>
      </c>
      <c r="K29" s="19">
        <f>COUNTIFS(SSC_Ontology_Ver0.5!$A$1681:$A$2208,SUBSTITUTE($A29,"{F}",K$17),SSC_Ontology_Ver0.5!$C$1681:$C$2208,$B29,SSC_Ontology_Ver0.5!$D$1681:$D$2208,SUBSTITUTE($C29,"{F}",K$17))</f>
        <v>1</v>
      </c>
      <c r="L29" s="19">
        <f>COUNTIFS(SSC_Ontology_Ver0.5!$A$1681:$A$2208,SUBSTITUTE($A29,"{F}",L$17),SSC_Ontology_Ver0.5!$C$1681:$C$2208,$B29,SSC_Ontology_Ver0.5!$D$1681:$D$2208,SUBSTITUTE($C29,"{F}",L$17))</f>
        <v>1</v>
      </c>
      <c r="M29" s="19">
        <f>COUNTIFS(SSC_Ontology_Ver0.5!$A$1681:$A$2208,SUBSTITUTE($A29,"{F}",M$17),SSC_Ontology_Ver0.5!$C$1681:$C$2208,$B29,SSC_Ontology_Ver0.5!$D$1681:$D$2208,SUBSTITUTE($C29,"{F}",M$17))</f>
        <v>1</v>
      </c>
      <c r="N29" s="19">
        <f>COUNTIFS(SSC_Ontology_Ver0.5!$A$1681:$A$2208,SUBSTITUTE($A29,"{F}",N$17),SSC_Ontology_Ver0.5!$C$1681:$C$2208,$B29,SSC_Ontology_Ver0.5!$D$1681:$D$2208,SUBSTITUTE($C29,"{F}",N$17))</f>
        <v>1</v>
      </c>
      <c r="O29" s="15" t="str">
        <f>IF(OR($B29="rec:locatedIn",$B29="rec:feeds"),"Excluded - varies by room",IF(AND(MIN(D29:N29)=MAX(D29:N29),MAX(D29:N29)=1),"OK",IF(MIN(D29:N29)=0,"Not on all units","Duplicated")))</f>
        <v>OK</v>
      </c>
    </row>
    <row r="30" spans="1:15" x14ac:dyDescent="0.3">
      <c r="A30" s="13" t="s">
        <v>5016</v>
      </c>
      <c r="B30" s="14" t="s">
        <v>308</v>
      </c>
      <c r="C30" s="14" t="s">
        <v>5029</v>
      </c>
      <c r="D30" s="19">
        <f>COUNTIFS(SSC_Ontology_Ver0.5!$A$1681:$A$2208,SUBSTITUTE($A30,"{F}",D$17),SSC_Ontology_Ver0.5!$C$1681:$C$2208,$B30,SSC_Ontology_Ver0.5!$D$1681:$D$2208,SUBSTITUTE($C30,"{F}",D$17))</f>
        <v>1</v>
      </c>
      <c r="E30" s="19">
        <f>COUNTIFS(SSC_Ontology_Ver0.5!$A$1681:$A$2208,SUBSTITUTE($A30,"{F}",E$17),SSC_Ontology_Ver0.5!$C$1681:$C$2208,$B30,SSC_Ontology_Ver0.5!$D$1681:$D$2208,SUBSTITUTE($C30,"{F}",E$17))</f>
        <v>1</v>
      </c>
      <c r="F30" s="19">
        <f>COUNTIFS(SSC_Ontology_Ver0.5!$A$1681:$A$2208,SUBSTITUTE($A30,"{F}",F$17),SSC_Ontology_Ver0.5!$C$1681:$C$2208,$B30,SSC_Ontology_Ver0.5!$D$1681:$D$2208,SUBSTITUTE($C30,"{F}",F$17))</f>
        <v>1</v>
      </c>
      <c r="G30" s="19">
        <f>COUNTIFS(SSC_Ontology_Ver0.5!$A$1681:$A$2208,SUBSTITUTE($A30,"{F}",G$17),SSC_Ontology_Ver0.5!$C$1681:$C$2208,$B30,SSC_Ontology_Ver0.5!$D$1681:$D$2208,SUBSTITUTE($C30,"{F}",G$17))</f>
        <v>1</v>
      </c>
      <c r="H30" s="19">
        <f>COUNTIFS(SSC_Ontology_Ver0.5!$A$1681:$A$2208,SUBSTITUTE($A30,"{F}",H$17),SSC_Ontology_Ver0.5!$C$1681:$C$2208,$B30,SSC_Ontology_Ver0.5!$D$1681:$D$2208,SUBSTITUTE($C30,"{F}",H$17))</f>
        <v>1</v>
      </c>
      <c r="I30" s="19">
        <f>COUNTIFS(SSC_Ontology_Ver0.5!$A$1681:$A$2208,SUBSTITUTE($A30,"{F}",I$17),SSC_Ontology_Ver0.5!$C$1681:$C$2208,$B30,SSC_Ontology_Ver0.5!$D$1681:$D$2208,SUBSTITUTE($C30,"{F}",I$17))</f>
        <v>1</v>
      </c>
      <c r="J30" s="19">
        <f>COUNTIFS(SSC_Ontology_Ver0.5!$A$1681:$A$2208,SUBSTITUTE($A30,"{F}",J$17),SSC_Ontology_Ver0.5!$C$1681:$C$2208,$B30,SSC_Ontology_Ver0.5!$D$1681:$D$2208,SUBSTITUTE($C30,"{F}",J$17))</f>
        <v>1</v>
      </c>
      <c r="K30" s="19">
        <f>COUNTIFS(SSC_Ontology_Ver0.5!$A$1681:$A$2208,SUBSTITUTE($A30,"{F}",K$17),SSC_Ontology_Ver0.5!$C$1681:$C$2208,$B30,SSC_Ontology_Ver0.5!$D$1681:$D$2208,SUBSTITUTE($C30,"{F}",K$17))</f>
        <v>1</v>
      </c>
      <c r="L30" s="19">
        <f>COUNTIFS(SSC_Ontology_Ver0.5!$A$1681:$A$2208,SUBSTITUTE($A30,"{F}",L$17),SSC_Ontology_Ver0.5!$C$1681:$C$2208,$B30,SSC_Ontology_Ver0.5!$D$1681:$D$2208,SUBSTITUTE($C30,"{F}",L$17))</f>
        <v>1</v>
      </c>
      <c r="M30" s="19">
        <f>COUNTIFS(SSC_Ontology_Ver0.5!$A$1681:$A$2208,SUBSTITUTE($A30,"{F}",M$17),SSC_Ontology_Ver0.5!$C$1681:$C$2208,$B30,SSC_Ontology_Ver0.5!$D$1681:$D$2208,SUBSTITUTE($C30,"{F}",M$17))</f>
        <v>1</v>
      </c>
      <c r="N30" s="19">
        <f>COUNTIFS(SSC_Ontology_Ver0.5!$A$1681:$A$2208,SUBSTITUTE($A30,"{F}",N$17),SSC_Ontology_Ver0.5!$C$1681:$C$2208,$B30,SSC_Ontology_Ver0.5!$D$1681:$D$2208,SUBSTITUTE($C30,"{F}",N$17))</f>
        <v>1</v>
      </c>
      <c r="O30" s="15" t="str">
        <f>IF(OR($B30="rec:locatedIn",$B30="rec:feeds"),"Excluded - varies by room",IF(AND(MIN(D30:N30)=MAX(D30:N30),MAX(D30:N30)=1),"OK",IF(MIN(D30:N30)=0,"Not on all units","Duplicated")))</f>
        <v>OK</v>
      </c>
    </row>
    <row r="31" spans="1:15" x14ac:dyDescent="0.3">
      <c r="A31" s="13" t="s">
        <v>5016</v>
      </c>
      <c r="B31" s="14" t="s">
        <v>308</v>
      </c>
      <c r="C31" s="14" t="s">
        <v>5030</v>
      </c>
      <c r="D31" s="19">
        <f>COUNTIFS(SSC_Ontology_Ver0.5!$A$1681:$A$2208,SUBSTITUTE($A31,"{F}",D$17),SSC_Ontology_Ver0.5!$C$1681:$C$2208,$B31,SSC_Ontology_Ver0.5!$D$1681:$D$2208,SUBSTITUTE($C31,"{F}",D$17))</f>
        <v>1</v>
      </c>
      <c r="E31" s="19">
        <f>COUNTIFS(SSC_Ontology_Ver0.5!$A$1681:$A$2208,SUBSTITUTE($A31,"{F}",E$17),SSC_Ontology_Ver0.5!$C$1681:$C$2208,$B31,SSC_Ontology_Ver0.5!$D$1681:$D$2208,SUBSTITUTE($C31,"{F}",E$17))</f>
        <v>1</v>
      </c>
      <c r="F31" s="19">
        <f>COUNTIFS(SSC_Ontology_Ver0.5!$A$1681:$A$2208,SUBSTITUTE($A31,"{F}",F$17),SSC_Ontology_Ver0.5!$C$1681:$C$2208,$B31,SSC_Ontology_Ver0.5!$D$1681:$D$2208,SUBSTITUTE($C31,"{F}",F$17))</f>
        <v>1</v>
      </c>
      <c r="G31" s="19">
        <f>COUNTIFS(SSC_Ontology_Ver0.5!$A$1681:$A$2208,SUBSTITUTE($A31,"{F}",G$17),SSC_Ontology_Ver0.5!$C$1681:$C$2208,$B31,SSC_Ontology_Ver0.5!$D$1681:$D$2208,SUBSTITUTE($C31,"{F}",G$17))</f>
        <v>1</v>
      </c>
      <c r="H31" s="19">
        <f>COUNTIFS(SSC_Ontology_Ver0.5!$A$1681:$A$2208,SUBSTITUTE($A31,"{F}",H$17),SSC_Ontology_Ver0.5!$C$1681:$C$2208,$B31,SSC_Ontology_Ver0.5!$D$1681:$D$2208,SUBSTITUTE($C31,"{F}",H$17))</f>
        <v>1</v>
      </c>
      <c r="I31" s="19">
        <f>COUNTIFS(SSC_Ontology_Ver0.5!$A$1681:$A$2208,SUBSTITUTE($A31,"{F}",I$17),SSC_Ontology_Ver0.5!$C$1681:$C$2208,$B31,SSC_Ontology_Ver0.5!$D$1681:$D$2208,SUBSTITUTE($C31,"{F}",I$17))</f>
        <v>1</v>
      </c>
      <c r="J31" s="19">
        <f>COUNTIFS(SSC_Ontology_Ver0.5!$A$1681:$A$2208,SUBSTITUTE($A31,"{F}",J$17),SSC_Ontology_Ver0.5!$C$1681:$C$2208,$B31,SSC_Ontology_Ver0.5!$D$1681:$D$2208,SUBSTITUTE($C31,"{F}",J$17))</f>
        <v>1</v>
      </c>
      <c r="K31" s="19">
        <f>COUNTIFS(SSC_Ontology_Ver0.5!$A$1681:$A$2208,SUBSTITUTE($A31,"{F}",K$17),SSC_Ontology_Ver0.5!$C$1681:$C$2208,$B31,SSC_Ontology_Ver0.5!$D$1681:$D$2208,SUBSTITUTE($C31,"{F}",K$17))</f>
        <v>1</v>
      </c>
      <c r="L31" s="19">
        <f>COUNTIFS(SSC_Ontology_Ver0.5!$A$1681:$A$2208,SUBSTITUTE($A31,"{F}",L$17),SSC_Ontology_Ver0.5!$C$1681:$C$2208,$B31,SSC_Ontology_Ver0.5!$D$1681:$D$2208,SUBSTITUTE($C31,"{F}",L$17))</f>
        <v>1</v>
      </c>
      <c r="M31" s="19">
        <f>COUNTIFS(SSC_Ontology_Ver0.5!$A$1681:$A$2208,SUBSTITUTE($A31,"{F}",M$17),SSC_Ontology_Ver0.5!$C$1681:$C$2208,$B31,SSC_Ontology_Ver0.5!$D$1681:$D$2208,SUBSTITUTE($C31,"{F}",M$17))</f>
        <v>1</v>
      </c>
      <c r="N31" s="19">
        <f>COUNTIFS(SSC_Ontology_Ver0.5!$A$1681:$A$2208,SUBSTITUTE($A31,"{F}",N$17),SSC_Ontology_Ver0.5!$C$1681:$C$2208,$B31,SSC_Ontology_Ver0.5!$D$1681:$D$2208,SUBSTITUTE($C31,"{F}",N$17))</f>
        <v>1</v>
      </c>
      <c r="O31" s="15" t="str">
        <f>IF(OR($B31="rec:locatedIn",$B31="rec:feeds"),"Excluded - varies by room",IF(AND(MIN(D31:N31)=MAX(D31:N31),MAX(D31:N31)=1),"OK",IF(MIN(D31:N31)=0,"Not on all units","Duplicated")))</f>
        <v>OK</v>
      </c>
    </row>
    <row r="32" spans="1:15" x14ac:dyDescent="0.3">
      <c r="A32" s="13" t="s">
        <v>5016</v>
      </c>
      <c r="B32" s="14" t="s">
        <v>22</v>
      </c>
      <c r="C32" s="14" t="s">
        <v>23</v>
      </c>
      <c r="D32" s="19">
        <f>COUNTIFS(SSC_Ontology_Ver0.5!$A$1681:$A$2208,SUBSTITUTE($A32,"{F}",D$17),SSC_Ontology_Ver0.5!$C$1681:$C$2208,$B32,SSC_Ontology_Ver0.5!$D$1681:$D$2208,SUBSTITUTE($C32,"{F}",D$17))</f>
        <v>1</v>
      </c>
      <c r="E32" s="19">
        <f>COUNTIFS(SSC_Ontology_Ver0.5!$A$1681:$A$2208,SUBSTITUTE($A32,"{F}",E$17),SSC_Ontology_Ver0.5!$C$1681:$C$2208,$B32,SSC_Ontology_Ver0.5!$D$1681:$D$2208,SUBSTITUTE($C32,"{F}",E$17))</f>
        <v>1</v>
      </c>
      <c r="F32" s="19">
        <f>COUNTIFS(SSC_Ontology_Ver0.5!$A$1681:$A$2208,SUBSTITUTE($A32,"{F}",F$17),SSC_Ontology_Ver0.5!$C$1681:$C$2208,$B32,SSC_Ontology_Ver0.5!$D$1681:$D$2208,SUBSTITUTE($C32,"{F}",F$17))</f>
        <v>1</v>
      </c>
      <c r="G32" s="19">
        <f>COUNTIFS(SSC_Ontology_Ver0.5!$A$1681:$A$2208,SUBSTITUTE($A32,"{F}",G$17),SSC_Ontology_Ver0.5!$C$1681:$C$2208,$B32,SSC_Ontology_Ver0.5!$D$1681:$D$2208,SUBSTITUTE($C32,"{F}",G$17))</f>
        <v>1</v>
      </c>
      <c r="H32" s="19">
        <f>COUNTIFS(SSC_Ontology_Ver0.5!$A$1681:$A$2208,SUBSTITUTE($A32,"{F}",H$17),SSC_Ontology_Ver0.5!$C$1681:$C$2208,$B32,SSC_Ontology_Ver0.5!$D$1681:$D$2208,SUBSTITUTE($C32,"{F}",H$17))</f>
        <v>1</v>
      </c>
      <c r="I32" s="19">
        <f>COUNTIFS(SSC_Ontology_Ver0.5!$A$1681:$A$2208,SUBSTITUTE($A32,"{F}",I$17),SSC_Ontology_Ver0.5!$C$1681:$C$2208,$B32,SSC_Ontology_Ver0.5!$D$1681:$D$2208,SUBSTITUTE($C32,"{F}",I$17))</f>
        <v>1</v>
      </c>
      <c r="J32" s="19">
        <f>COUNTIFS(SSC_Ontology_Ver0.5!$A$1681:$A$2208,SUBSTITUTE($A32,"{F}",J$17),SSC_Ontology_Ver0.5!$C$1681:$C$2208,$B32,SSC_Ontology_Ver0.5!$D$1681:$D$2208,SUBSTITUTE($C32,"{F}",J$17))</f>
        <v>1</v>
      </c>
      <c r="K32" s="19">
        <f>COUNTIFS(SSC_Ontology_Ver0.5!$A$1681:$A$2208,SUBSTITUTE($A32,"{F}",K$17),SSC_Ontology_Ver0.5!$C$1681:$C$2208,$B32,SSC_Ontology_Ver0.5!$D$1681:$D$2208,SUBSTITUTE($C32,"{F}",K$17))</f>
        <v>1</v>
      </c>
      <c r="L32" s="19">
        <f>COUNTIFS(SSC_Ontology_Ver0.5!$A$1681:$A$2208,SUBSTITUTE($A32,"{F}",L$17),SSC_Ontology_Ver0.5!$C$1681:$C$2208,$B32,SSC_Ontology_Ver0.5!$D$1681:$D$2208,SUBSTITUTE($C32,"{F}",L$17))</f>
        <v>1</v>
      </c>
      <c r="M32" s="19">
        <f>COUNTIFS(SSC_Ontology_Ver0.5!$A$1681:$A$2208,SUBSTITUTE($A32,"{F}",M$17),SSC_Ontology_Ver0.5!$C$1681:$C$2208,$B32,SSC_Ontology_Ver0.5!$D$1681:$D$2208,SUBSTITUTE($C32,"{F}",M$17))</f>
        <v>1</v>
      </c>
      <c r="N32" s="19">
        <f>COUNTIFS(SSC_Ontology_Ver0.5!$A$1681:$A$2208,SUBSTITUTE($A32,"{F}",N$17),SSC_Ontology_Ver0.5!$C$1681:$C$2208,$B32,SSC_Ontology_Ver0.5!$D$1681:$D$2208,SUBSTITUTE($C32,"{F}",N$17))</f>
        <v>1</v>
      </c>
      <c r="O32" s="15" t="str">
        <f>IF(OR($B32="rec:locatedIn",$B32="rec:feeds"),"Excluded - varies by room",IF(AND(MIN(D32:N32)=MAX(D32:N32),MAX(D32:N32)=1),"OK",IF(MIN(D32:N32)=0,"Not on all units","Duplicated")))</f>
        <v>OK</v>
      </c>
    </row>
    <row r="33" spans="1:15" x14ac:dyDescent="0.3">
      <c r="A33" s="13" t="s">
        <v>5016</v>
      </c>
      <c r="B33" s="14" t="s">
        <v>1692</v>
      </c>
      <c r="C33" s="14" t="s">
        <v>1077</v>
      </c>
      <c r="D33" s="19">
        <f>COUNTIFS(SSC_Ontology_Ver0.5!$A$1681:$A$2208,SUBSTITUTE($A33,"{F}",D$17),SSC_Ontology_Ver0.5!$C$1681:$C$2208,$B33,SSC_Ontology_Ver0.5!$D$1681:$D$2208,SUBSTITUTE($C33,"{F}",D$17))</f>
        <v>1</v>
      </c>
      <c r="E33" s="19">
        <f>COUNTIFS(SSC_Ontology_Ver0.5!$A$1681:$A$2208,SUBSTITUTE($A33,"{F}",E$17),SSC_Ontology_Ver0.5!$C$1681:$C$2208,$B33,SSC_Ontology_Ver0.5!$D$1681:$D$2208,SUBSTITUTE($C33,"{F}",E$17))</f>
        <v>0</v>
      </c>
      <c r="F33" s="19">
        <f>COUNTIFS(SSC_Ontology_Ver0.5!$A$1681:$A$2208,SUBSTITUTE($A33,"{F}",F$17),SSC_Ontology_Ver0.5!$C$1681:$C$2208,$B33,SSC_Ontology_Ver0.5!$D$1681:$D$2208,SUBSTITUTE($C33,"{F}",F$17))</f>
        <v>0</v>
      </c>
      <c r="G33" s="19">
        <f>COUNTIFS(SSC_Ontology_Ver0.5!$A$1681:$A$2208,SUBSTITUTE($A33,"{F}",G$17),SSC_Ontology_Ver0.5!$C$1681:$C$2208,$B33,SSC_Ontology_Ver0.5!$D$1681:$D$2208,SUBSTITUTE($C33,"{F}",G$17))</f>
        <v>0</v>
      </c>
      <c r="H33" s="19">
        <f>COUNTIFS(SSC_Ontology_Ver0.5!$A$1681:$A$2208,SUBSTITUTE($A33,"{F}",H$17),SSC_Ontology_Ver0.5!$C$1681:$C$2208,$B33,SSC_Ontology_Ver0.5!$D$1681:$D$2208,SUBSTITUTE($C33,"{F}",H$17))</f>
        <v>0</v>
      </c>
      <c r="I33" s="19">
        <f>COUNTIFS(SSC_Ontology_Ver0.5!$A$1681:$A$2208,SUBSTITUTE($A33,"{F}",I$17),SSC_Ontology_Ver0.5!$C$1681:$C$2208,$B33,SSC_Ontology_Ver0.5!$D$1681:$D$2208,SUBSTITUTE($C33,"{F}",I$17))</f>
        <v>0</v>
      </c>
      <c r="J33" s="19">
        <f>COUNTIFS(SSC_Ontology_Ver0.5!$A$1681:$A$2208,SUBSTITUTE($A33,"{F}",J$17),SSC_Ontology_Ver0.5!$C$1681:$C$2208,$B33,SSC_Ontology_Ver0.5!$D$1681:$D$2208,SUBSTITUTE($C33,"{F}",J$17))</f>
        <v>0</v>
      </c>
      <c r="K33" s="19">
        <f>COUNTIFS(SSC_Ontology_Ver0.5!$A$1681:$A$2208,SUBSTITUTE($A33,"{F}",K$17),SSC_Ontology_Ver0.5!$C$1681:$C$2208,$B33,SSC_Ontology_Ver0.5!$D$1681:$D$2208,SUBSTITUTE($C33,"{F}",K$17))</f>
        <v>0</v>
      </c>
      <c r="L33" s="19">
        <f>COUNTIFS(SSC_Ontology_Ver0.5!$A$1681:$A$2208,SUBSTITUTE($A33,"{F}",L$17),SSC_Ontology_Ver0.5!$C$1681:$C$2208,$B33,SSC_Ontology_Ver0.5!$D$1681:$D$2208,SUBSTITUTE($C33,"{F}",L$17))</f>
        <v>0</v>
      </c>
      <c r="M33" s="19">
        <f>COUNTIFS(SSC_Ontology_Ver0.5!$A$1681:$A$2208,SUBSTITUTE($A33,"{F}",M$17),SSC_Ontology_Ver0.5!$C$1681:$C$2208,$B33,SSC_Ontology_Ver0.5!$D$1681:$D$2208,SUBSTITUTE($C33,"{F}",M$17))</f>
        <v>0</v>
      </c>
      <c r="N33" s="19">
        <f>COUNTIFS(SSC_Ontology_Ver0.5!$A$1681:$A$2208,SUBSTITUTE($A33,"{F}",N$17),SSC_Ontology_Ver0.5!$C$1681:$C$2208,$B33,SSC_Ontology_Ver0.5!$D$1681:$D$2208,SUBSTITUTE($C33,"{F}",N$17))</f>
        <v>0</v>
      </c>
      <c r="O33" s="15" t="str">
        <f>IF(OR($B33="rec:locatedIn",$B33="rec:feeds"),"Excluded - varies by room",IF(AND(MIN(D33:N33)=MAX(D33:N33),MAX(D33:N33)=1),"OK",IF(MIN(D33:N33)=0,"Not on all units","Duplicated")))</f>
        <v>Excluded - varies by room</v>
      </c>
    </row>
    <row r="34" spans="1:15" x14ac:dyDescent="0.3">
      <c r="A34" s="13" t="s">
        <v>5016</v>
      </c>
      <c r="B34" s="14" t="s">
        <v>380</v>
      </c>
      <c r="C34" s="14" t="s">
        <v>9</v>
      </c>
      <c r="D34" s="19">
        <f>COUNTIFS(SSC_Ontology_Ver0.5!$A$1681:$A$2208,SUBSTITUTE($A34,"{F}",D$17),SSC_Ontology_Ver0.5!$C$1681:$C$2208,$B34,SSC_Ontology_Ver0.5!$D$1681:$D$2208,SUBSTITUTE($C34,"{F}",D$17))</f>
        <v>1</v>
      </c>
      <c r="E34" s="19">
        <f>COUNTIFS(SSC_Ontology_Ver0.5!$A$1681:$A$2208,SUBSTITUTE($A34,"{F}",E$17),SSC_Ontology_Ver0.5!$C$1681:$C$2208,$B34,SSC_Ontology_Ver0.5!$D$1681:$D$2208,SUBSTITUTE($C34,"{F}",E$17))</f>
        <v>1</v>
      </c>
      <c r="F34" s="19">
        <f>COUNTIFS(SSC_Ontology_Ver0.5!$A$1681:$A$2208,SUBSTITUTE($A34,"{F}",F$17),SSC_Ontology_Ver0.5!$C$1681:$C$2208,$B34,SSC_Ontology_Ver0.5!$D$1681:$D$2208,SUBSTITUTE($C34,"{F}",F$17))</f>
        <v>1</v>
      </c>
      <c r="G34" s="19">
        <f>COUNTIFS(SSC_Ontology_Ver0.5!$A$1681:$A$2208,SUBSTITUTE($A34,"{F}",G$17),SSC_Ontology_Ver0.5!$C$1681:$C$2208,$B34,SSC_Ontology_Ver0.5!$D$1681:$D$2208,SUBSTITUTE($C34,"{F}",G$17))</f>
        <v>1</v>
      </c>
      <c r="H34" s="19">
        <f>COUNTIFS(SSC_Ontology_Ver0.5!$A$1681:$A$2208,SUBSTITUTE($A34,"{F}",H$17),SSC_Ontology_Ver0.5!$C$1681:$C$2208,$B34,SSC_Ontology_Ver0.5!$D$1681:$D$2208,SUBSTITUTE($C34,"{F}",H$17))</f>
        <v>1</v>
      </c>
      <c r="I34" s="19">
        <f>COUNTIFS(SSC_Ontology_Ver0.5!$A$1681:$A$2208,SUBSTITUTE($A34,"{F}",I$17),SSC_Ontology_Ver0.5!$C$1681:$C$2208,$B34,SSC_Ontology_Ver0.5!$D$1681:$D$2208,SUBSTITUTE($C34,"{F}",I$17))</f>
        <v>1</v>
      </c>
      <c r="J34" s="19">
        <f>COUNTIFS(SSC_Ontology_Ver0.5!$A$1681:$A$2208,SUBSTITUTE($A34,"{F}",J$17),SSC_Ontology_Ver0.5!$C$1681:$C$2208,$B34,SSC_Ontology_Ver0.5!$D$1681:$D$2208,SUBSTITUTE($C34,"{F}",J$17))</f>
        <v>1</v>
      </c>
      <c r="K34" s="19">
        <f>COUNTIFS(SSC_Ontology_Ver0.5!$A$1681:$A$2208,SUBSTITUTE($A34,"{F}",K$17),SSC_Ontology_Ver0.5!$C$1681:$C$2208,$B34,SSC_Ontology_Ver0.5!$D$1681:$D$2208,SUBSTITUTE($C34,"{F}",K$17))</f>
        <v>1</v>
      </c>
      <c r="L34" s="19">
        <f>COUNTIFS(SSC_Ontology_Ver0.5!$A$1681:$A$2208,SUBSTITUTE($A34,"{F}",L$17),SSC_Ontology_Ver0.5!$C$1681:$C$2208,$B34,SSC_Ontology_Ver0.5!$D$1681:$D$2208,SUBSTITUTE($C34,"{F}",L$17))</f>
        <v>1</v>
      </c>
      <c r="M34" s="19">
        <f>COUNTIFS(SSC_Ontology_Ver0.5!$A$1681:$A$2208,SUBSTITUTE($A34,"{F}",M$17),SSC_Ontology_Ver0.5!$C$1681:$C$2208,$B34,SSC_Ontology_Ver0.5!$D$1681:$D$2208,SUBSTITUTE($C34,"{F}",M$17))</f>
        <v>1</v>
      </c>
      <c r="N34" s="19">
        <f>COUNTIFS(SSC_Ontology_Ver0.5!$A$1681:$A$2208,SUBSTITUTE($A34,"{F}",N$17),SSC_Ontology_Ver0.5!$C$1681:$C$2208,$B34,SSC_Ontology_Ver0.5!$D$1681:$D$2208,SUBSTITUTE($C34,"{F}",N$17))</f>
        <v>1</v>
      </c>
      <c r="O34" s="15" t="str">
        <f>IF(OR($B34="rec:locatedIn",$B34="rec:feeds"),"Excluded - varies by room",IF(AND(MIN(D34:N34)=MAX(D34:N34),MAX(D34:N34)=1),"OK",IF(MIN(D34:N34)=0,"Not on all units","Duplicated")))</f>
        <v>OK</v>
      </c>
    </row>
    <row r="35" spans="1:15" x14ac:dyDescent="0.3">
      <c r="A35" s="13" t="s">
        <v>5016</v>
      </c>
      <c r="B35" s="14" t="s">
        <v>16</v>
      </c>
      <c r="C35" s="14" t="s">
        <v>1077</v>
      </c>
      <c r="D35" s="19">
        <f>COUNTIFS(SSC_Ontology_Ver0.5!$A$1681:$A$2208,SUBSTITUTE($A35,"{F}",D$17),SSC_Ontology_Ver0.5!$C$1681:$C$2208,$B35,SSC_Ontology_Ver0.5!$D$1681:$D$2208,SUBSTITUTE($C35,"{F}",D$17))</f>
        <v>1</v>
      </c>
      <c r="E35" s="19">
        <f>COUNTIFS(SSC_Ontology_Ver0.5!$A$1681:$A$2208,SUBSTITUTE($A35,"{F}",E$17),SSC_Ontology_Ver0.5!$C$1681:$C$2208,$B35,SSC_Ontology_Ver0.5!$D$1681:$D$2208,SUBSTITUTE($C35,"{F}",E$17))</f>
        <v>0</v>
      </c>
      <c r="F35" s="19">
        <f>COUNTIFS(SSC_Ontology_Ver0.5!$A$1681:$A$2208,SUBSTITUTE($A35,"{F}",F$17),SSC_Ontology_Ver0.5!$C$1681:$C$2208,$B35,SSC_Ontology_Ver0.5!$D$1681:$D$2208,SUBSTITUTE($C35,"{F}",F$17))</f>
        <v>0</v>
      </c>
      <c r="G35" s="19">
        <f>COUNTIFS(SSC_Ontology_Ver0.5!$A$1681:$A$2208,SUBSTITUTE($A35,"{F}",G$17),SSC_Ontology_Ver0.5!$C$1681:$C$2208,$B35,SSC_Ontology_Ver0.5!$D$1681:$D$2208,SUBSTITUTE($C35,"{F}",G$17))</f>
        <v>0</v>
      </c>
      <c r="H35" s="19">
        <f>COUNTIFS(SSC_Ontology_Ver0.5!$A$1681:$A$2208,SUBSTITUTE($A35,"{F}",H$17),SSC_Ontology_Ver0.5!$C$1681:$C$2208,$B35,SSC_Ontology_Ver0.5!$D$1681:$D$2208,SUBSTITUTE($C35,"{F}",H$17))</f>
        <v>0</v>
      </c>
      <c r="I35" s="19">
        <f>COUNTIFS(SSC_Ontology_Ver0.5!$A$1681:$A$2208,SUBSTITUTE($A35,"{F}",I$17),SSC_Ontology_Ver0.5!$C$1681:$C$2208,$B35,SSC_Ontology_Ver0.5!$D$1681:$D$2208,SUBSTITUTE($C35,"{F}",I$17))</f>
        <v>0</v>
      </c>
      <c r="J35" s="19">
        <f>COUNTIFS(SSC_Ontology_Ver0.5!$A$1681:$A$2208,SUBSTITUTE($A35,"{F}",J$17),SSC_Ontology_Ver0.5!$C$1681:$C$2208,$B35,SSC_Ontology_Ver0.5!$D$1681:$D$2208,SUBSTITUTE($C35,"{F}",J$17))</f>
        <v>0</v>
      </c>
      <c r="K35" s="19">
        <f>COUNTIFS(SSC_Ontology_Ver0.5!$A$1681:$A$2208,SUBSTITUTE($A35,"{F}",K$17),SSC_Ontology_Ver0.5!$C$1681:$C$2208,$B35,SSC_Ontology_Ver0.5!$D$1681:$D$2208,SUBSTITUTE($C35,"{F}",K$17))</f>
        <v>0</v>
      </c>
      <c r="L35" s="19">
        <f>COUNTIFS(SSC_Ontology_Ver0.5!$A$1681:$A$2208,SUBSTITUTE($A35,"{F}",L$17),SSC_Ontology_Ver0.5!$C$1681:$C$2208,$B35,SSC_Ontology_Ver0.5!$D$1681:$D$2208,SUBSTITUTE($C35,"{F}",L$17))</f>
        <v>0</v>
      </c>
      <c r="M35" s="19">
        <f>COUNTIFS(SSC_Ontology_Ver0.5!$A$1681:$A$2208,SUBSTITUTE($A35,"{F}",M$17),SSC_Ontology_Ver0.5!$C$1681:$C$2208,$B35,SSC_Ontology_Ver0.5!$D$1681:$D$2208,SUBSTITUTE($C35,"{F}",M$17))</f>
        <v>0</v>
      </c>
      <c r="N35" s="19">
        <f>COUNTIFS(SSC_Ontology_Ver0.5!$A$1681:$A$2208,SUBSTITUTE($A35,"{F}",N$17),SSC_Ontology_Ver0.5!$C$1681:$C$2208,$B35,SSC_Ontology_Ver0.5!$D$1681:$D$2208,SUBSTITUTE($C35,"{F}",N$17))</f>
        <v>0</v>
      </c>
      <c r="O35" s="15" t="str">
        <f>IF(OR($B35="rec:locatedIn",$B35="rec:feeds"),"Excluded - varies by room",IF(AND(MIN(D35:N35)=MAX(D35:N35),MAX(D35:N35)=1),"OK",IF(MIN(D35:N35)=0,"Not on all units","Duplicated")))</f>
        <v>Excluded - varies by room</v>
      </c>
    </row>
    <row r="36" spans="1:15" x14ac:dyDescent="0.3">
      <c r="A36" s="13" t="s">
        <v>5016</v>
      </c>
      <c r="B36" s="14" t="s">
        <v>11</v>
      </c>
      <c r="C36" s="14" t="s">
        <v>12</v>
      </c>
      <c r="D36" s="19">
        <f>COUNTIFS(SSC_Ontology_Ver0.5!$A$1681:$A$2208,SUBSTITUTE($A36,"{F}",D$17),SSC_Ontology_Ver0.5!$C$1681:$C$2208,$B36,SSC_Ontology_Ver0.5!$D$1681:$D$2208,SUBSTITUTE($C36,"{F}",D$17))</f>
        <v>1</v>
      </c>
      <c r="E36" s="19">
        <f>COUNTIFS(SSC_Ontology_Ver0.5!$A$1681:$A$2208,SUBSTITUTE($A36,"{F}",E$17),SSC_Ontology_Ver0.5!$C$1681:$C$2208,$B36,SSC_Ontology_Ver0.5!$D$1681:$D$2208,SUBSTITUTE($C36,"{F}",E$17))</f>
        <v>1</v>
      </c>
      <c r="F36" s="19">
        <f>COUNTIFS(SSC_Ontology_Ver0.5!$A$1681:$A$2208,SUBSTITUTE($A36,"{F}",F$17),SSC_Ontology_Ver0.5!$C$1681:$C$2208,$B36,SSC_Ontology_Ver0.5!$D$1681:$D$2208,SUBSTITUTE($C36,"{F}",F$17))</f>
        <v>1</v>
      </c>
      <c r="G36" s="19">
        <f>COUNTIFS(SSC_Ontology_Ver0.5!$A$1681:$A$2208,SUBSTITUTE($A36,"{F}",G$17),SSC_Ontology_Ver0.5!$C$1681:$C$2208,$B36,SSC_Ontology_Ver0.5!$D$1681:$D$2208,SUBSTITUTE($C36,"{F}",G$17))</f>
        <v>1</v>
      </c>
      <c r="H36" s="19">
        <f>COUNTIFS(SSC_Ontology_Ver0.5!$A$1681:$A$2208,SUBSTITUTE($A36,"{F}",H$17),SSC_Ontology_Ver0.5!$C$1681:$C$2208,$B36,SSC_Ontology_Ver0.5!$D$1681:$D$2208,SUBSTITUTE($C36,"{F}",H$17))</f>
        <v>1</v>
      </c>
      <c r="I36" s="19">
        <f>COUNTIFS(SSC_Ontology_Ver0.5!$A$1681:$A$2208,SUBSTITUTE($A36,"{F}",I$17),SSC_Ontology_Ver0.5!$C$1681:$C$2208,$B36,SSC_Ontology_Ver0.5!$D$1681:$D$2208,SUBSTITUTE($C36,"{F}",I$17))</f>
        <v>1</v>
      </c>
      <c r="J36" s="19">
        <f>COUNTIFS(SSC_Ontology_Ver0.5!$A$1681:$A$2208,SUBSTITUTE($A36,"{F}",J$17),SSC_Ontology_Ver0.5!$C$1681:$C$2208,$B36,SSC_Ontology_Ver0.5!$D$1681:$D$2208,SUBSTITUTE($C36,"{F}",J$17))</f>
        <v>1</v>
      </c>
      <c r="K36" s="19">
        <f>COUNTIFS(SSC_Ontology_Ver0.5!$A$1681:$A$2208,SUBSTITUTE($A36,"{F}",K$17),SSC_Ontology_Ver0.5!$C$1681:$C$2208,$B36,SSC_Ontology_Ver0.5!$D$1681:$D$2208,SUBSTITUTE($C36,"{F}",K$17))</f>
        <v>1</v>
      </c>
      <c r="L36" s="19">
        <f>COUNTIFS(SSC_Ontology_Ver0.5!$A$1681:$A$2208,SUBSTITUTE($A36,"{F}",L$17),SSC_Ontology_Ver0.5!$C$1681:$C$2208,$B36,SSC_Ontology_Ver0.5!$D$1681:$D$2208,SUBSTITUTE($C36,"{F}",L$17))</f>
        <v>1</v>
      </c>
      <c r="M36" s="19">
        <f>COUNTIFS(SSC_Ontology_Ver0.5!$A$1681:$A$2208,SUBSTITUTE($A36,"{F}",M$17),SSC_Ontology_Ver0.5!$C$1681:$C$2208,$B36,SSC_Ontology_Ver0.5!$D$1681:$D$2208,SUBSTITUTE($C36,"{F}",M$17))</f>
        <v>1</v>
      </c>
      <c r="N36" s="19">
        <f>COUNTIFS(SSC_Ontology_Ver0.5!$A$1681:$A$2208,SUBSTITUTE($A36,"{F}",N$17),SSC_Ontology_Ver0.5!$C$1681:$C$2208,$B36,SSC_Ontology_Ver0.5!$D$1681:$D$2208,SUBSTITUTE($C36,"{F}",N$17))</f>
        <v>1</v>
      </c>
      <c r="O36" s="15" t="str">
        <f>IF(OR($B36="rec:locatedIn",$B36="rec:feeds"),"Excluded - varies by room",IF(AND(MIN(D36:N36)=MAX(D36:N36),MAX(D36:N36)=1),"OK",IF(MIN(D36:N36)=0,"Not on all units","Duplicated")))</f>
        <v>OK</v>
      </c>
    </row>
    <row r="37" spans="1:15" x14ac:dyDescent="0.3">
      <c r="A37" s="13" t="s">
        <v>5016</v>
      </c>
      <c r="B37" s="14" t="s">
        <v>308</v>
      </c>
      <c r="C37" s="14" t="s">
        <v>5031</v>
      </c>
      <c r="D37" s="19">
        <f>COUNTIFS(SSC_Ontology_Ver0.5!$A$1681:$A$2208,SUBSTITUTE($A37,"{F}",D$17),SSC_Ontology_Ver0.5!$C$1681:$C$2208,$B37,SSC_Ontology_Ver0.5!$D$1681:$D$2208,SUBSTITUTE($C37,"{F}",D$17))</f>
        <v>1</v>
      </c>
      <c r="E37" s="19">
        <f>COUNTIFS(SSC_Ontology_Ver0.5!$A$1681:$A$2208,SUBSTITUTE($A37,"{F}",E$17),SSC_Ontology_Ver0.5!$C$1681:$C$2208,$B37,SSC_Ontology_Ver0.5!$D$1681:$D$2208,SUBSTITUTE($C37,"{F}",E$17))</f>
        <v>1</v>
      </c>
      <c r="F37" s="19">
        <f>COUNTIFS(SSC_Ontology_Ver0.5!$A$1681:$A$2208,SUBSTITUTE($A37,"{F}",F$17),SSC_Ontology_Ver0.5!$C$1681:$C$2208,$B37,SSC_Ontology_Ver0.5!$D$1681:$D$2208,SUBSTITUTE($C37,"{F}",F$17))</f>
        <v>1</v>
      </c>
      <c r="G37" s="19">
        <f>COUNTIFS(SSC_Ontology_Ver0.5!$A$1681:$A$2208,SUBSTITUTE($A37,"{F}",G$17),SSC_Ontology_Ver0.5!$C$1681:$C$2208,$B37,SSC_Ontology_Ver0.5!$D$1681:$D$2208,SUBSTITUTE($C37,"{F}",G$17))</f>
        <v>1</v>
      </c>
      <c r="H37" s="19">
        <f>COUNTIFS(SSC_Ontology_Ver0.5!$A$1681:$A$2208,SUBSTITUTE($A37,"{F}",H$17),SSC_Ontology_Ver0.5!$C$1681:$C$2208,$B37,SSC_Ontology_Ver0.5!$D$1681:$D$2208,SUBSTITUTE($C37,"{F}",H$17))</f>
        <v>1</v>
      </c>
      <c r="I37" s="19">
        <f>COUNTIFS(SSC_Ontology_Ver0.5!$A$1681:$A$2208,SUBSTITUTE($A37,"{F}",I$17),SSC_Ontology_Ver0.5!$C$1681:$C$2208,$B37,SSC_Ontology_Ver0.5!$D$1681:$D$2208,SUBSTITUTE($C37,"{F}",I$17))</f>
        <v>1</v>
      </c>
      <c r="J37" s="19">
        <f>COUNTIFS(SSC_Ontology_Ver0.5!$A$1681:$A$2208,SUBSTITUTE($A37,"{F}",J$17),SSC_Ontology_Ver0.5!$C$1681:$C$2208,$B37,SSC_Ontology_Ver0.5!$D$1681:$D$2208,SUBSTITUTE($C37,"{F}",J$17))</f>
        <v>1</v>
      </c>
      <c r="K37" s="19">
        <f>COUNTIFS(SSC_Ontology_Ver0.5!$A$1681:$A$2208,SUBSTITUTE($A37,"{F}",K$17),SSC_Ontology_Ver0.5!$C$1681:$C$2208,$B37,SSC_Ontology_Ver0.5!$D$1681:$D$2208,SUBSTITUTE($C37,"{F}",K$17))</f>
        <v>1</v>
      </c>
      <c r="L37" s="19">
        <f>COUNTIFS(SSC_Ontology_Ver0.5!$A$1681:$A$2208,SUBSTITUTE($A37,"{F}",L$17),SSC_Ontology_Ver0.5!$C$1681:$C$2208,$B37,SSC_Ontology_Ver0.5!$D$1681:$D$2208,SUBSTITUTE($C37,"{F}",L$17))</f>
        <v>1</v>
      </c>
      <c r="M37" s="19">
        <f>COUNTIFS(SSC_Ontology_Ver0.5!$A$1681:$A$2208,SUBSTITUTE($A37,"{F}",M$17),SSC_Ontology_Ver0.5!$C$1681:$C$2208,$B37,SSC_Ontology_Ver0.5!$D$1681:$D$2208,SUBSTITUTE($C37,"{F}",M$17))</f>
        <v>1</v>
      </c>
      <c r="N37" s="19">
        <f>COUNTIFS(SSC_Ontology_Ver0.5!$A$1681:$A$2208,SUBSTITUTE($A37,"{F}",N$17),SSC_Ontology_Ver0.5!$C$1681:$C$2208,$B37,SSC_Ontology_Ver0.5!$D$1681:$D$2208,SUBSTITUTE($C37,"{F}",N$17))</f>
        <v>1</v>
      </c>
      <c r="O37" s="15" t="str">
        <f>IF(OR($B37="rec:locatedIn",$B37="rec:feeds"),"Excluded - varies by room",IF(AND(MIN(D37:N37)=MAX(D37:N37),MAX(D37:N37)=1),"OK",IF(MIN(D37:N37)=0,"Not on all units","Duplicated")))</f>
        <v>OK</v>
      </c>
    </row>
    <row r="38" spans="1:15" x14ac:dyDescent="0.3">
      <c r="A38" s="13" t="s">
        <v>5016</v>
      </c>
      <c r="B38" s="14" t="s">
        <v>308</v>
      </c>
      <c r="C38" s="14" t="s">
        <v>5032</v>
      </c>
      <c r="D38" s="19">
        <f>COUNTIFS(SSC_Ontology_Ver0.5!$A$1681:$A$2208,SUBSTITUTE($A38,"{F}",D$17),SSC_Ontology_Ver0.5!$C$1681:$C$2208,$B38,SSC_Ontology_Ver0.5!$D$1681:$D$2208,SUBSTITUTE($C38,"{F}",D$17))</f>
        <v>1</v>
      </c>
      <c r="E38" s="19">
        <f>COUNTIFS(SSC_Ontology_Ver0.5!$A$1681:$A$2208,SUBSTITUTE($A38,"{F}",E$17),SSC_Ontology_Ver0.5!$C$1681:$C$2208,$B38,SSC_Ontology_Ver0.5!$D$1681:$D$2208,SUBSTITUTE($C38,"{F}",E$17))</f>
        <v>1</v>
      </c>
      <c r="F38" s="19">
        <f>COUNTIFS(SSC_Ontology_Ver0.5!$A$1681:$A$2208,SUBSTITUTE($A38,"{F}",F$17),SSC_Ontology_Ver0.5!$C$1681:$C$2208,$B38,SSC_Ontology_Ver0.5!$D$1681:$D$2208,SUBSTITUTE($C38,"{F}",F$17))</f>
        <v>1</v>
      </c>
      <c r="G38" s="19">
        <f>COUNTIFS(SSC_Ontology_Ver0.5!$A$1681:$A$2208,SUBSTITUTE($A38,"{F}",G$17),SSC_Ontology_Ver0.5!$C$1681:$C$2208,$B38,SSC_Ontology_Ver0.5!$D$1681:$D$2208,SUBSTITUTE($C38,"{F}",G$17))</f>
        <v>1</v>
      </c>
      <c r="H38" s="19">
        <f>COUNTIFS(SSC_Ontology_Ver0.5!$A$1681:$A$2208,SUBSTITUTE($A38,"{F}",H$17),SSC_Ontology_Ver0.5!$C$1681:$C$2208,$B38,SSC_Ontology_Ver0.5!$D$1681:$D$2208,SUBSTITUTE($C38,"{F}",H$17))</f>
        <v>1</v>
      </c>
      <c r="I38" s="19">
        <f>COUNTIFS(SSC_Ontology_Ver0.5!$A$1681:$A$2208,SUBSTITUTE($A38,"{F}",I$17),SSC_Ontology_Ver0.5!$C$1681:$C$2208,$B38,SSC_Ontology_Ver0.5!$D$1681:$D$2208,SUBSTITUTE($C38,"{F}",I$17))</f>
        <v>1</v>
      </c>
      <c r="J38" s="19">
        <f>COUNTIFS(SSC_Ontology_Ver0.5!$A$1681:$A$2208,SUBSTITUTE($A38,"{F}",J$17),SSC_Ontology_Ver0.5!$C$1681:$C$2208,$B38,SSC_Ontology_Ver0.5!$D$1681:$D$2208,SUBSTITUTE($C38,"{F}",J$17))</f>
        <v>1</v>
      </c>
      <c r="K38" s="19">
        <f>COUNTIFS(SSC_Ontology_Ver0.5!$A$1681:$A$2208,SUBSTITUTE($A38,"{F}",K$17),SSC_Ontology_Ver0.5!$C$1681:$C$2208,$B38,SSC_Ontology_Ver0.5!$D$1681:$D$2208,SUBSTITUTE($C38,"{F}",K$17))</f>
        <v>1</v>
      </c>
      <c r="L38" s="19">
        <f>COUNTIFS(SSC_Ontology_Ver0.5!$A$1681:$A$2208,SUBSTITUTE($A38,"{F}",L$17),SSC_Ontology_Ver0.5!$C$1681:$C$2208,$B38,SSC_Ontology_Ver0.5!$D$1681:$D$2208,SUBSTITUTE($C38,"{F}",L$17))</f>
        <v>1</v>
      </c>
      <c r="M38" s="19">
        <f>COUNTIFS(SSC_Ontology_Ver0.5!$A$1681:$A$2208,SUBSTITUTE($A38,"{F}",M$17),SSC_Ontology_Ver0.5!$C$1681:$C$2208,$B38,SSC_Ontology_Ver0.5!$D$1681:$D$2208,SUBSTITUTE($C38,"{F}",M$17))</f>
        <v>1</v>
      </c>
      <c r="N38" s="19">
        <f>COUNTIFS(SSC_Ontology_Ver0.5!$A$1681:$A$2208,SUBSTITUTE($A38,"{F}",N$17),SSC_Ontology_Ver0.5!$C$1681:$C$2208,$B38,SSC_Ontology_Ver0.5!$D$1681:$D$2208,SUBSTITUTE($C38,"{F}",N$17))</f>
        <v>1</v>
      </c>
      <c r="O38" s="15" t="str">
        <f>IF(OR($B38="rec:locatedIn",$B38="rec:feeds"),"Excluded - varies by room",IF(AND(MIN(D38:N38)=MAX(D38:N38),MAX(D38:N38)=1),"OK",IF(MIN(D38:N38)=0,"Not on all units","Duplicated")))</f>
        <v>OK</v>
      </c>
    </row>
    <row r="39" spans="1:15" x14ac:dyDescent="0.3">
      <c r="A39" s="13" t="s">
        <v>5017</v>
      </c>
      <c r="B39" s="14" t="s">
        <v>384</v>
      </c>
      <c r="C39" s="14" t="s">
        <v>12</v>
      </c>
      <c r="D39" s="19">
        <f>COUNTIFS(SSC_Ontology_Ver0.5!$A$1681:$A$2208,SUBSTITUTE($A39,"{F}",D$17),SSC_Ontology_Ver0.5!$C$1681:$C$2208,$B39,SSC_Ontology_Ver0.5!$D$1681:$D$2208,SUBSTITUTE($C39,"{F}",D$17))</f>
        <v>1</v>
      </c>
      <c r="E39" s="19">
        <f>COUNTIFS(SSC_Ontology_Ver0.5!$A$1681:$A$2208,SUBSTITUTE($A39,"{F}",E$17),SSC_Ontology_Ver0.5!$C$1681:$C$2208,$B39,SSC_Ontology_Ver0.5!$D$1681:$D$2208,SUBSTITUTE($C39,"{F}",E$17))</f>
        <v>1</v>
      </c>
      <c r="F39" s="19">
        <f>COUNTIFS(SSC_Ontology_Ver0.5!$A$1681:$A$2208,SUBSTITUTE($A39,"{F}",F$17),SSC_Ontology_Ver0.5!$C$1681:$C$2208,$B39,SSC_Ontology_Ver0.5!$D$1681:$D$2208,SUBSTITUTE($C39,"{F}",F$17))</f>
        <v>1</v>
      </c>
      <c r="G39" s="19">
        <f>COUNTIFS(SSC_Ontology_Ver0.5!$A$1681:$A$2208,SUBSTITUTE($A39,"{F}",G$17),SSC_Ontology_Ver0.5!$C$1681:$C$2208,$B39,SSC_Ontology_Ver0.5!$D$1681:$D$2208,SUBSTITUTE($C39,"{F}",G$17))</f>
        <v>1</v>
      </c>
      <c r="H39" s="19">
        <f>COUNTIFS(SSC_Ontology_Ver0.5!$A$1681:$A$2208,SUBSTITUTE($A39,"{F}",H$17),SSC_Ontology_Ver0.5!$C$1681:$C$2208,$B39,SSC_Ontology_Ver0.5!$D$1681:$D$2208,SUBSTITUTE($C39,"{F}",H$17))</f>
        <v>1</v>
      </c>
      <c r="I39" s="19">
        <f>COUNTIFS(SSC_Ontology_Ver0.5!$A$1681:$A$2208,SUBSTITUTE($A39,"{F}",I$17),SSC_Ontology_Ver0.5!$C$1681:$C$2208,$B39,SSC_Ontology_Ver0.5!$D$1681:$D$2208,SUBSTITUTE($C39,"{F}",I$17))</f>
        <v>1</v>
      </c>
      <c r="J39" s="19">
        <f>COUNTIFS(SSC_Ontology_Ver0.5!$A$1681:$A$2208,SUBSTITUTE($A39,"{F}",J$17),SSC_Ontology_Ver0.5!$C$1681:$C$2208,$B39,SSC_Ontology_Ver0.5!$D$1681:$D$2208,SUBSTITUTE($C39,"{F}",J$17))</f>
        <v>1</v>
      </c>
      <c r="K39" s="19">
        <f>COUNTIFS(SSC_Ontology_Ver0.5!$A$1681:$A$2208,SUBSTITUTE($A39,"{F}",K$17),SSC_Ontology_Ver0.5!$C$1681:$C$2208,$B39,SSC_Ontology_Ver0.5!$D$1681:$D$2208,SUBSTITUTE($C39,"{F}",K$17))</f>
        <v>1</v>
      </c>
      <c r="L39" s="19">
        <f>COUNTIFS(SSC_Ontology_Ver0.5!$A$1681:$A$2208,SUBSTITUTE($A39,"{F}",L$17),SSC_Ontology_Ver0.5!$C$1681:$C$2208,$B39,SSC_Ontology_Ver0.5!$D$1681:$D$2208,SUBSTITUTE($C39,"{F}",L$17))</f>
        <v>1</v>
      </c>
      <c r="M39" s="19">
        <f>COUNTIFS(SSC_Ontology_Ver0.5!$A$1681:$A$2208,SUBSTITUTE($A39,"{F}",M$17),SSC_Ontology_Ver0.5!$C$1681:$C$2208,$B39,SSC_Ontology_Ver0.5!$D$1681:$D$2208,SUBSTITUTE($C39,"{F}",M$17))</f>
        <v>1</v>
      </c>
      <c r="N39" s="19">
        <f>COUNTIFS(SSC_Ontology_Ver0.5!$A$1681:$A$2208,SUBSTITUTE($A39,"{F}",N$17),SSC_Ontology_Ver0.5!$C$1681:$C$2208,$B39,SSC_Ontology_Ver0.5!$D$1681:$D$2208,SUBSTITUTE($C39,"{F}",N$17))</f>
        <v>1</v>
      </c>
      <c r="O39" s="15" t="str">
        <f>IF(OR($B39="rec:locatedIn",$B39="rec:feeds"),"Excluded - varies by room",IF(AND(MIN(D39:N39)=MAX(D39:N39),MAX(D39:N39)=1),"OK",IF(MIN(D39:N39)=0,"Not on all units","Duplicated")))</f>
        <v>OK</v>
      </c>
    </row>
    <row r="40" spans="1:15" x14ac:dyDescent="0.3">
      <c r="A40" s="13" t="s">
        <v>5017</v>
      </c>
      <c r="B40" s="14" t="s">
        <v>280</v>
      </c>
      <c r="C40" s="14" t="s">
        <v>5033</v>
      </c>
      <c r="D40" s="19">
        <f>COUNTIFS(SSC_Ontology_Ver0.5!$A$1681:$A$2208,SUBSTITUTE($A40,"{F}",D$17),SSC_Ontology_Ver0.5!$C$1681:$C$2208,$B40,SSC_Ontology_Ver0.5!$D$1681:$D$2208,SUBSTITUTE($C40,"{F}",D$17))</f>
        <v>1</v>
      </c>
      <c r="E40" s="19">
        <f>COUNTIFS(SSC_Ontology_Ver0.5!$A$1681:$A$2208,SUBSTITUTE($A40,"{F}",E$17),SSC_Ontology_Ver0.5!$C$1681:$C$2208,$B40,SSC_Ontology_Ver0.5!$D$1681:$D$2208,SUBSTITUTE($C40,"{F}",E$17))</f>
        <v>1</v>
      </c>
      <c r="F40" s="19">
        <f>COUNTIFS(SSC_Ontology_Ver0.5!$A$1681:$A$2208,SUBSTITUTE($A40,"{F}",F$17),SSC_Ontology_Ver0.5!$C$1681:$C$2208,$B40,SSC_Ontology_Ver0.5!$D$1681:$D$2208,SUBSTITUTE($C40,"{F}",F$17))</f>
        <v>1</v>
      </c>
      <c r="G40" s="19">
        <f>COUNTIFS(SSC_Ontology_Ver0.5!$A$1681:$A$2208,SUBSTITUTE($A40,"{F}",G$17),SSC_Ontology_Ver0.5!$C$1681:$C$2208,$B40,SSC_Ontology_Ver0.5!$D$1681:$D$2208,SUBSTITUTE($C40,"{F}",G$17))</f>
        <v>1</v>
      </c>
      <c r="H40" s="19">
        <f>COUNTIFS(SSC_Ontology_Ver0.5!$A$1681:$A$2208,SUBSTITUTE($A40,"{F}",H$17),SSC_Ontology_Ver0.5!$C$1681:$C$2208,$B40,SSC_Ontology_Ver0.5!$D$1681:$D$2208,SUBSTITUTE($C40,"{F}",H$17))</f>
        <v>1</v>
      </c>
      <c r="I40" s="19">
        <f>COUNTIFS(SSC_Ontology_Ver0.5!$A$1681:$A$2208,SUBSTITUTE($A40,"{F}",I$17),SSC_Ontology_Ver0.5!$C$1681:$C$2208,$B40,SSC_Ontology_Ver0.5!$D$1681:$D$2208,SUBSTITUTE($C40,"{F}",I$17))</f>
        <v>1</v>
      </c>
      <c r="J40" s="19">
        <f>COUNTIFS(SSC_Ontology_Ver0.5!$A$1681:$A$2208,SUBSTITUTE($A40,"{F}",J$17),SSC_Ontology_Ver0.5!$C$1681:$C$2208,$B40,SSC_Ontology_Ver0.5!$D$1681:$D$2208,SUBSTITUTE($C40,"{F}",J$17))</f>
        <v>1</v>
      </c>
      <c r="K40" s="19">
        <f>COUNTIFS(SSC_Ontology_Ver0.5!$A$1681:$A$2208,SUBSTITUTE($A40,"{F}",K$17),SSC_Ontology_Ver0.5!$C$1681:$C$2208,$B40,SSC_Ontology_Ver0.5!$D$1681:$D$2208,SUBSTITUTE($C40,"{F}",K$17))</f>
        <v>1</v>
      </c>
      <c r="L40" s="19">
        <f>COUNTIFS(SSC_Ontology_Ver0.5!$A$1681:$A$2208,SUBSTITUTE($A40,"{F}",L$17),SSC_Ontology_Ver0.5!$C$1681:$C$2208,$B40,SSC_Ontology_Ver0.5!$D$1681:$D$2208,SUBSTITUTE($C40,"{F}",L$17))</f>
        <v>1</v>
      </c>
      <c r="M40" s="19">
        <f>COUNTIFS(SSC_Ontology_Ver0.5!$A$1681:$A$2208,SUBSTITUTE($A40,"{F}",M$17),SSC_Ontology_Ver0.5!$C$1681:$C$2208,$B40,SSC_Ontology_Ver0.5!$D$1681:$D$2208,SUBSTITUTE($C40,"{F}",M$17))</f>
        <v>1</v>
      </c>
      <c r="N40" s="19">
        <f>COUNTIFS(SSC_Ontology_Ver0.5!$A$1681:$A$2208,SUBSTITUTE($A40,"{F}",N$17),SSC_Ontology_Ver0.5!$C$1681:$C$2208,$B40,SSC_Ontology_Ver0.5!$D$1681:$D$2208,SUBSTITUTE($C40,"{F}",N$17))</f>
        <v>1</v>
      </c>
      <c r="O40" s="15" t="str">
        <f>IF(OR($B40="rec:locatedIn",$B40="rec:feeds"),"Excluded - varies by room",IF(AND(MIN(D40:N40)=MAX(D40:N40),MAX(D40:N40)=1),"OK",IF(MIN(D40:N40)=0,"Not on all units","Duplicated")))</f>
        <v>OK</v>
      </c>
    </row>
    <row r="41" spans="1:15" x14ac:dyDescent="0.3">
      <c r="A41" s="13" t="s">
        <v>5034</v>
      </c>
      <c r="B41" s="14" t="s">
        <v>11</v>
      </c>
      <c r="C41" s="14" t="s">
        <v>12</v>
      </c>
      <c r="D41" s="19">
        <f>COUNTIFS(SSC_Ontology_Ver0.5!$A$1681:$A$2208,SUBSTITUTE($A41,"{F}",D$17),SSC_Ontology_Ver0.5!$C$1681:$C$2208,$B41,SSC_Ontology_Ver0.5!$D$1681:$D$2208,SUBSTITUTE($C41,"{F}",D$17))</f>
        <v>1</v>
      </c>
      <c r="E41" s="19">
        <f>COUNTIFS(SSC_Ontology_Ver0.5!$A$1681:$A$2208,SUBSTITUTE($A41,"{F}",E$17),SSC_Ontology_Ver0.5!$C$1681:$C$2208,$B41,SSC_Ontology_Ver0.5!$D$1681:$D$2208,SUBSTITUTE($C41,"{F}",E$17))</f>
        <v>1</v>
      </c>
      <c r="F41" s="19">
        <f>COUNTIFS(SSC_Ontology_Ver0.5!$A$1681:$A$2208,SUBSTITUTE($A41,"{F}",F$17),SSC_Ontology_Ver0.5!$C$1681:$C$2208,$B41,SSC_Ontology_Ver0.5!$D$1681:$D$2208,SUBSTITUTE($C41,"{F}",F$17))</f>
        <v>1</v>
      </c>
      <c r="G41" s="19">
        <f>COUNTIFS(SSC_Ontology_Ver0.5!$A$1681:$A$2208,SUBSTITUTE($A41,"{F}",G$17),SSC_Ontology_Ver0.5!$C$1681:$C$2208,$B41,SSC_Ontology_Ver0.5!$D$1681:$D$2208,SUBSTITUTE($C41,"{F}",G$17))</f>
        <v>1</v>
      </c>
      <c r="H41" s="19">
        <f>COUNTIFS(SSC_Ontology_Ver0.5!$A$1681:$A$2208,SUBSTITUTE($A41,"{F}",H$17),SSC_Ontology_Ver0.5!$C$1681:$C$2208,$B41,SSC_Ontology_Ver0.5!$D$1681:$D$2208,SUBSTITUTE($C41,"{F}",H$17))</f>
        <v>1</v>
      </c>
      <c r="I41" s="19">
        <f>COUNTIFS(SSC_Ontology_Ver0.5!$A$1681:$A$2208,SUBSTITUTE($A41,"{F}",I$17),SSC_Ontology_Ver0.5!$C$1681:$C$2208,$B41,SSC_Ontology_Ver0.5!$D$1681:$D$2208,SUBSTITUTE($C41,"{F}",I$17))</f>
        <v>1</v>
      </c>
      <c r="J41" s="19">
        <f>COUNTIFS(SSC_Ontology_Ver0.5!$A$1681:$A$2208,SUBSTITUTE($A41,"{F}",J$17),SSC_Ontology_Ver0.5!$C$1681:$C$2208,$B41,SSC_Ontology_Ver0.5!$D$1681:$D$2208,SUBSTITUTE($C41,"{F}",J$17))</f>
        <v>1</v>
      </c>
      <c r="K41" s="19">
        <f>COUNTIFS(SSC_Ontology_Ver0.5!$A$1681:$A$2208,SUBSTITUTE($A41,"{F}",K$17),SSC_Ontology_Ver0.5!$C$1681:$C$2208,$B41,SSC_Ontology_Ver0.5!$D$1681:$D$2208,SUBSTITUTE($C41,"{F}",K$17))</f>
        <v>1</v>
      </c>
      <c r="L41" s="19">
        <f>COUNTIFS(SSC_Ontology_Ver0.5!$A$1681:$A$2208,SUBSTITUTE($A41,"{F}",L$17),SSC_Ontology_Ver0.5!$C$1681:$C$2208,$B41,SSC_Ontology_Ver0.5!$D$1681:$D$2208,SUBSTITUTE($C41,"{F}",L$17))</f>
        <v>1</v>
      </c>
      <c r="M41" s="19">
        <f>COUNTIFS(SSC_Ontology_Ver0.5!$A$1681:$A$2208,SUBSTITUTE($A41,"{F}",M$17),SSC_Ontology_Ver0.5!$C$1681:$C$2208,$B41,SSC_Ontology_Ver0.5!$D$1681:$D$2208,SUBSTITUTE($C41,"{F}",M$17))</f>
        <v>1</v>
      </c>
      <c r="N41" s="19">
        <f>COUNTIFS(SSC_Ontology_Ver0.5!$A$1681:$A$2208,SUBSTITUTE($A41,"{F}",N$17),SSC_Ontology_Ver0.5!$C$1681:$C$2208,$B41,SSC_Ontology_Ver0.5!$D$1681:$D$2208,SUBSTITUTE($C41,"{F}",N$17))</f>
        <v>1</v>
      </c>
      <c r="O41" s="15" t="str">
        <f>IF(OR($B41="rec:locatedIn",$B41="rec:feeds"),"Excluded - varies by room",IF(AND(MIN(D41:N41)=MAX(D41:N41),MAX(D41:N41)=1),"OK",IF(MIN(D41:N41)=0,"Not on all units","Duplicated")))</f>
        <v>OK</v>
      </c>
    </row>
    <row r="42" spans="1:15" x14ac:dyDescent="0.3">
      <c r="A42" s="13" t="s">
        <v>5035</v>
      </c>
      <c r="B42" s="14" t="s">
        <v>11</v>
      </c>
      <c r="C42" s="14" t="s">
        <v>12</v>
      </c>
      <c r="D42" s="19">
        <f>COUNTIFS(SSC_Ontology_Ver0.5!$A$1681:$A$2208,SUBSTITUTE($A42,"{F}",D$17),SSC_Ontology_Ver0.5!$C$1681:$C$2208,$B42,SSC_Ontology_Ver0.5!$D$1681:$D$2208,SUBSTITUTE($C42,"{F}",D$17))</f>
        <v>1</v>
      </c>
      <c r="E42" s="19">
        <f>COUNTIFS(SSC_Ontology_Ver0.5!$A$1681:$A$2208,SUBSTITUTE($A42,"{F}",E$17),SSC_Ontology_Ver0.5!$C$1681:$C$2208,$B42,SSC_Ontology_Ver0.5!$D$1681:$D$2208,SUBSTITUTE($C42,"{F}",E$17))</f>
        <v>1</v>
      </c>
      <c r="F42" s="19">
        <f>COUNTIFS(SSC_Ontology_Ver0.5!$A$1681:$A$2208,SUBSTITUTE($A42,"{F}",F$17),SSC_Ontology_Ver0.5!$C$1681:$C$2208,$B42,SSC_Ontology_Ver0.5!$D$1681:$D$2208,SUBSTITUTE($C42,"{F}",F$17))</f>
        <v>1</v>
      </c>
      <c r="G42" s="19">
        <f>COUNTIFS(SSC_Ontology_Ver0.5!$A$1681:$A$2208,SUBSTITUTE($A42,"{F}",G$17),SSC_Ontology_Ver0.5!$C$1681:$C$2208,$B42,SSC_Ontology_Ver0.5!$D$1681:$D$2208,SUBSTITUTE($C42,"{F}",G$17))</f>
        <v>1</v>
      </c>
      <c r="H42" s="19">
        <f>COUNTIFS(SSC_Ontology_Ver0.5!$A$1681:$A$2208,SUBSTITUTE($A42,"{F}",H$17),SSC_Ontology_Ver0.5!$C$1681:$C$2208,$B42,SSC_Ontology_Ver0.5!$D$1681:$D$2208,SUBSTITUTE($C42,"{F}",H$17))</f>
        <v>1</v>
      </c>
      <c r="I42" s="19">
        <f>COUNTIFS(SSC_Ontology_Ver0.5!$A$1681:$A$2208,SUBSTITUTE($A42,"{F}",I$17),SSC_Ontology_Ver0.5!$C$1681:$C$2208,$B42,SSC_Ontology_Ver0.5!$D$1681:$D$2208,SUBSTITUTE($C42,"{F}",I$17))</f>
        <v>1</v>
      </c>
      <c r="J42" s="19">
        <f>COUNTIFS(SSC_Ontology_Ver0.5!$A$1681:$A$2208,SUBSTITUTE($A42,"{F}",J$17),SSC_Ontology_Ver0.5!$C$1681:$C$2208,$B42,SSC_Ontology_Ver0.5!$D$1681:$D$2208,SUBSTITUTE($C42,"{F}",J$17))</f>
        <v>1</v>
      </c>
      <c r="K42" s="19">
        <f>COUNTIFS(SSC_Ontology_Ver0.5!$A$1681:$A$2208,SUBSTITUTE($A42,"{F}",K$17),SSC_Ontology_Ver0.5!$C$1681:$C$2208,$B42,SSC_Ontology_Ver0.5!$D$1681:$D$2208,SUBSTITUTE($C42,"{F}",K$17))</f>
        <v>1</v>
      </c>
      <c r="L42" s="19">
        <f>COUNTIFS(SSC_Ontology_Ver0.5!$A$1681:$A$2208,SUBSTITUTE($A42,"{F}",L$17),SSC_Ontology_Ver0.5!$C$1681:$C$2208,$B42,SSC_Ontology_Ver0.5!$D$1681:$D$2208,SUBSTITUTE($C42,"{F}",L$17))</f>
        <v>1</v>
      </c>
      <c r="M42" s="19">
        <f>COUNTIFS(SSC_Ontology_Ver0.5!$A$1681:$A$2208,SUBSTITUTE($A42,"{F}",M$17),SSC_Ontology_Ver0.5!$C$1681:$C$2208,$B42,SSC_Ontology_Ver0.5!$D$1681:$D$2208,SUBSTITUTE($C42,"{F}",M$17))</f>
        <v>1</v>
      </c>
      <c r="N42" s="19">
        <f>COUNTIFS(SSC_Ontology_Ver0.5!$A$1681:$A$2208,SUBSTITUTE($A42,"{F}",N$17),SSC_Ontology_Ver0.5!$C$1681:$C$2208,$B42,SSC_Ontology_Ver0.5!$D$1681:$D$2208,SUBSTITUTE($C42,"{F}",N$17))</f>
        <v>1</v>
      </c>
      <c r="O42" s="15" t="str">
        <f>IF(OR($B42="rec:locatedIn",$B42="rec:feeds"),"Excluded - varies by room",IF(AND(MIN(D42:N42)=MAX(D42:N42),MAX(D42:N42)=1),"OK",IF(MIN(D42:N42)=0,"Not on all units","Duplicated")))</f>
        <v>OK</v>
      </c>
    </row>
    <row r="43" spans="1:15" x14ac:dyDescent="0.3">
      <c r="A43" s="13" t="s">
        <v>5026</v>
      </c>
      <c r="B43" s="14" t="s">
        <v>11</v>
      </c>
      <c r="C43" s="14" t="s">
        <v>12</v>
      </c>
      <c r="D43" s="19">
        <f>COUNTIFS(SSC_Ontology_Ver0.5!$A$1681:$A$2208,SUBSTITUTE($A43,"{F}",D$17),SSC_Ontology_Ver0.5!$C$1681:$C$2208,$B43,SSC_Ontology_Ver0.5!$D$1681:$D$2208,SUBSTITUTE($C43,"{F}",D$17))</f>
        <v>1</v>
      </c>
      <c r="E43" s="19">
        <f>COUNTIFS(SSC_Ontology_Ver0.5!$A$1681:$A$2208,SUBSTITUTE($A43,"{F}",E$17),SSC_Ontology_Ver0.5!$C$1681:$C$2208,$B43,SSC_Ontology_Ver0.5!$D$1681:$D$2208,SUBSTITUTE($C43,"{F}",E$17))</f>
        <v>1</v>
      </c>
      <c r="F43" s="19">
        <f>COUNTIFS(SSC_Ontology_Ver0.5!$A$1681:$A$2208,SUBSTITUTE($A43,"{F}",F$17),SSC_Ontology_Ver0.5!$C$1681:$C$2208,$B43,SSC_Ontology_Ver0.5!$D$1681:$D$2208,SUBSTITUTE($C43,"{F}",F$17))</f>
        <v>1</v>
      </c>
      <c r="G43" s="19">
        <f>COUNTIFS(SSC_Ontology_Ver0.5!$A$1681:$A$2208,SUBSTITUTE($A43,"{F}",G$17),SSC_Ontology_Ver0.5!$C$1681:$C$2208,$B43,SSC_Ontology_Ver0.5!$D$1681:$D$2208,SUBSTITUTE($C43,"{F}",G$17))</f>
        <v>1</v>
      </c>
      <c r="H43" s="19">
        <f>COUNTIFS(SSC_Ontology_Ver0.5!$A$1681:$A$2208,SUBSTITUTE($A43,"{F}",H$17),SSC_Ontology_Ver0.5!$C$1681:$C$2208,$B43,SSC_Ontology_Ver0.5!$D$1681:$D$2208,SUBSTITUTE($C43,"{F}",H$17))</f>
        <v>1</v>
      </c>
      <c r="I43" s="19">
        <f>COUNTIFS(SSC_Ontology_Ver0.5!$A$1681:$A$2208,SUBSTITUTE($A43,"{F}",I$17),SSC_Ontology_Ver0.5!$C$1681:$C$2208,$B43,SSC_Ontology_Ver0.5!$D$1681:$D$2208,SUBSTITUTE($C43,"{F}",I$17))</f>
        <v>1</v>
      </c>
      <c r="J43" s="19">
        <f>COUNTIFS(SSC_Ontology_Ver0.5!$A$1681:$A$2208,SUBSTITUTE($A43,"{F}",J$17),SSC_Ontology_Ver0.5!$C$1681:$C$2208,$B43,SSC_Ontology_Ver0.5!$D$1681:$D$2208,SUBSTITUTE($C43,"{F}",J$17))</f>
        <v>1</v>
      </c>
      <c r="K43" s="19">
        <f>COUNTIFS(SSC_Ontology_Ver0.5!$A$1681:$A$2208,SUBSTITUTE($A43,"{F}",K$17),SSC_Ontology_Ver0.5!$C$1681:$C$2208,$B43,SSC_Ontology_Ver0.5!$D$1681:$D$2208,SUBSTITUTE($C43,"{F}",K$17))</f>
        <v>1</v>
      </c>
      <c r="L43" s="19">
        <f>COUNTIFS(SSC_Ontology_Ver0.5!$A$1681:$A$2208,SUBSTITUTE($A43,"{F}",L$17),SSC_Ontology_Ver0.5!$C$1681:$C$2208,$B43,SSC_Ontology_Ver0.5!$D$1681:$D$2208,SUBSTITUTE($C43,"{F}",L$17))</f>
        <v>1</v>
      </c>
      <c r="M43" s="19">
        <f>COUNTIFS(SSC_Ontology_Ver0.5!$A$1681:$A$2208,SUBSTITUTE($A43,"{F}",M$17),SSC_Ontology_Ver0.5!$C$1681:$C$2208,$B43,SSC_Ontology_Ver0.5!$D$1681:$D$2208,SUBSTITUTE($C43,"{F}",M$17))</f>
        <v>1</v>
      </c>
      <c r="N43" s="19">
        <f>COUNTIFS(SSC_Ontology_Ver0.5!$A$1681:$A$2208,SUBSTITUTE($A43,"{F}",N$17),SSC_Ontology_Ver0.5!$C$1681:$C$2208,$B43,SSC_Ontology_Ver0.5!$D$1681:$D$2208,SUBSTITUTE($C43,"{F}",N$17))</f>
        <v>1</v>
      </c>
      <c r="O43" s="15" t="str">
        <f>IF(OR($B43="rec:locatedIn",$B43="rec:feeds"),"Excluded - varies by room",IF(AND(MIN(D43:N43)=MAX(D43:N43),MAX(D43:N43)=1),"OK",IF(MIN(D43:N43)=0,"Not on all units","Duplicated")))</f>
        <v>OK</v>
      </c>
    </row>
    <row r="44" spans="1:15" x14ac:dyDescent="0.3">
      <c r="A44" s="13" t="s">
        <v>5018</v>
      </c>
      <c r="B44" s="14" t="s">
        <v>308</v>
      </c>
      <c r="C44" s="14" t="s">
        <v>5034</v>
      </c>
      <c r="D44" s="19">
        <f>COUNTIFS(SSC_Ontology_Ver0.5!$A$1681:$A$2208,SUBSTITUTE($A44,"{F}",D$17),SSC_Ontology_Ver0.5!$C$1681:$C$2208,$B44,SSC_Ontology_Ver0.5!$D$1681:$D$2208,SUBSTITUTE($C44,"{F}",D$17))</f>
        <v>1</v>
      </c>
      <c r="E44" s="19">
        <f>COUNTIFS(SSC_Ontology_Ver0.5!$A$1681:$A$2208,SUBSTITUTE($A44,"{F}",E$17),SSC_Ontology_Ver0.5!$C$1681:$C$2208,$B44,SSC_Ontology_Ver0.5!$D$1681:$D$2208,SUBSTITUTE($C44,"{F}",E$17))</f>
        <v>1</v>
      </c>
      <c r="F44" s="19">
        <f>COUNTIFS(SSC_Ontology_Ver0.5!$A$1681:$A$2208,SUBSTITUTE($A44,"{F}",F$17),SSC_Ontology_Ver0.5!$C$1681:$C$2208,$B44,SSC_Ontology_Ver0.5!$D$1681:$D$2208,SUBSTITUTE($C44,"{F}",F$17))</f>
        <v>1</v>
      </c>
      <c r="G44" s="19">
        <f>COUNTIFS(SSC_Ontology_Ver0.5!$A$1681:$A$2208,SUBSTITUTE($A44,"{F}",G$17),SSC_Ontology_Ver0.5!$C$1681:$C$2208,$B44,SSC_Ontology_Ver0.5!$D$1681:$D$2208,SUBSTITUTE($C44,"{F}",G$17))</f>
        <v>1</v>
      </c>
      <c r="H44" s="19">
        <f>COUNTIFS(SSC_Ontology_Ver0.5!$A$1681:$A$2208,SUBSTITUTE($A44,"{F}",H$17),SSC_Ontology_Ver0.5!$C$1681:$C$2208,$B44,SSC_Ontology_Ver0.5!$D$1681:$D$2208,SUBSTITUTE($C44,"{F}",H$17))</f>
        <v>1</v>
      </c>
      <c r="I44" s="19">
        <f>COUNTIFS(SSC_Ontology_Ver0.5!$A$1681:$A$2208,SUBSTITUTE($A44,"{F}",I$17),SSC_Ontology_Ver0.5!$C$1681:$C$2208,$B44,SSC_Ontology_Ver0.5!$D$1681:$D$2208,SUBSTITUTE($C44,"{F}",I$17))</f>
        <v>1</v>
      </c>
      <c r="J44" s="19">
        <f>COUNTIFS(SSC_Ontology_Ver0.5!$A$1681:$A$2208,SUBSTITUTE($A44,"{F}",J$17),SSC_Ontology_Ver0.5!$C$1681:$C$2208,$B44,SSC_Ontology_Ver0.5!$D$1681:$D$2208,SUBSTITUTE($C44,"{F}",J$17))</f>
        <v>1</v>
      </c>
      <c r="K44" s="19">
        <f>COUNTIFS(SSC_Ontology_Ver0.5!$A$1681:$A$2208,SUBSTITUTE($A44,"{F}",K$17),SSC_Ontology_Ver0.5!$C$1681:$C$2208,$B44,SSC_Ontology_Ver0.5!$D$1681:$D$2208,SUBSTITUTE($C44,"{F}",K$17))</f>
        <v>1</v>
      </c>
      <c r="L44" s="19">
        <f>COUNTIFS(SSC_Ontology_Ver0.5!$A$1681:$A$2208,SUBSTITUTE($A44,"{F}",L$17),SSC_Ontology_Ver0.5!$C$1681:$C$2208,$B44,SSC_Ontology_Ver0.5!$D$1681:$D$2208,SUBSTITUTE($C44,"{F}",L$17))</f>
        <v>1</v>
      </c>
      <c r="M44" s="19">
        <f>COUNTIFS(SSC_Ontology_Ver0.5!$A$1681:$A$2208,SUBSTITUTE($A44,"{F}",M$17),SSC_Ontology_Ver0.5!$C$1681:$C$2208,$B44,SSC_Ontology_Ver0.5!$D$1681:$D$2208,SUBSTITUTE($C44,"{F}",M$17))</f>
        <v>1</v>
      </c>
      <c r="N44" s="19">
        <f>COUNTIFS(SSC_Ontology_Ver0.5!$A$1681:$A$2208,SUBSTITUTE($A44,"{F}",N$17),SSC_Ontology_Ver0.5!$C$1681:$C$2208,$B44,SSC_Ontology_Ver0.5!$D$1681:$D$2208,SUBSTITUTE($C44,"{F}",N$17))</f>
        <v>1</v>
      </c>
      <c r="O44" s="15" t="str">
        <f>IF(OR($B44="rec:locatedIn",$B44="rec:feeds"),"Excluded - varies by room",IF(AND(MIN(D44:N44)=MAX(D44:N44),MAX(D44:N44)=1),"OK",IF(MIN(D44:N44)=0,"Not on all units","Duplicated")))</f>
        <v>OK</v>
      </c>
    </row>
    <row r="45" spans="1:15" x14ac:dyDescent="0.3">
      <c r="A45" s="13" t="s">
        <v>5018</v>
      </c>
      <c r="B45" s="14" t="s">
        <v>308</v>
      </c>
      <c r="C45" s="14" t="s">
        <v>5035</v>
      </c>
      <c r="D45" s="19">
        <f>COUNTIFS(SSC_Ontology_Ver0.5!$A$1681:$A$2208,SUBSTITUTE($A45,"{F}",D$17),SSC_Ontology_Ver0.5!$C$1681:$C$2208,$B45,SSC_Ontology_Ver0.5!$D$1681:$D$2208,SUBSTITUTE($C45,"{F}",D$17))</f>
        <v>1</v>
      </c>
      <c r="E45" s="19">
        <f>COUNTIFS(SSC_Ontology_Ver0.5!$A$1681:$A$2208,SUBSTITUTE($A45,"{F}",E$17),SSC_Ontology_Ver0.5!$C$1681:$C$2208,$B45,SSC_Ontology_Ver0.5!$D$1681:$D$2208,SUBSTITUTE($C45,"{F}",E$17))</f>
        <v>1</v>
      </c>
      <c r="F45" s="19">
        <f>COUNTIFS(SSC_Ontology_Ver0.5!$A$1681:$A$2208,SUBSTITUTE($A45,"{F}",F$17),SSC_Ontology_Ver0.5!$C$1681:$C$2208,$B45,SSC_Ontology_Ver0.5!$D$1681:$D$2208,SUBSTITUTE($C45,"{F}",F$17))</f>
        <v>1</v>
      </c>
      <c r="G45" s="19">
        <f>COUNTIFS(SSC_Ontology_Ver0.5!$A$1681:$A$2208,SUBSTITUTE($A45,"{F}",G$17),SSC_Ontology_Ver0.5!$C$1681:$C$2208,$B45,SSC_Ontology_Ver0.5!$D$1681:$D$2208,SUBSTITUTE($C45,"{F}",G$17))</f>
        <v>1</v>
      </c>
      <c r="H45" s="19">
        <f>COUNTIFS(SSC_Ontology_Ver0.5!$A$1681:$A$2208,SUBSTITUTE($A45,"{F}",H$17),SSC_Ontology_Ver0.5!$C$1681:$C$2208,$B45,SSC_Ontology_Ver0.5!$D$1681:$D$2208,SUBSTITUTE($C45,"{F}",H$17))</f>
        <v>1</v>
      </c>
      <c r="I45" s="19">
        <f>COUNTIFS(SSC_Ontology_Ver0.5!$A$1681:$A$2208,SUBSTITUTE($A45,"{F}",I$17),SSC_Ontology_Ver0.5!$C$1681:$C$2208,$B45,SSC_Ontology_Ver0.5!$D$1681:$D$2208,SUBSTITUTE($C45,"{F}",I$17))</f>
        <v>1</v>
      </c>
      <c r="J45" s="19">
        <f>COUNTIFS(SSC_Ontology_Ver0.5!$A$1681:$A$2208,SUBSTITUTE($A45,"{F}",J$17),SSC_Ontology_Ver0.5!$C$1681:$C$2208,$B45,SSC_Ontology_Ver0.5!$D$1681:$D$2208,SUBSTITUTE($C45,"{F}",J$17))</f>
        <v>1</v>
      </c>
      <c r="K45" s="19">
        <f>COUNTIFS(SSC_Ontology_Ver0.5!$A$1681:$A$2208,SUBSTITUTE($A45,"{F}",K$17),SSC_Ontology_Ver0.5!$C$1681:$C$2208,$B45,SSC_Ontology_Ver0.5!$D$1681:$D$2208,SUBSTITUTE($C45,"{F}",K$17))</f>
        <v>1</v>
      </c>
      <c r="L45" s="19">
        <f>COUNTIFS(SSC_Ontology_Ver0.5!$A$1681:$A$2208,SUBSTITUTE($A45,"{F}",L$17),SSC_Ontology_Ver0.5!$C$1681:$C$2208,$B45,SSC_Ontology_Ver0.5!$D$1681:$D$2208,SUBSTITUTE($C45,"{F}",L$17))</f>
        <v>1</v>
      </c>
      <c r="M45" s="19">
        <f>COUNTIFS(SSC_Ontology_Ver0.5!$A$1681:$A$2208,SUBSTITUTE($A45,"{F}",M$17),SSC_Ontology_Ver0.5!$C$1681:$C$2208,$B45,SSC_Ontology_Ver0.5!$D$1681:$D$2208,SUBSTITUTE($C45,"{F}",M$17))</f>
        <v>1</v>
      </c>
      <c r="N45" s="19">
        <f>COUNTIFS(SSC_Ontology_Ver0.5!$A$1681:$A$2208,SUBSTITUTE($A45,"{F}",N$17),SSC_Ontology_Ver0.5!$C$1681:$C$2208,$B45,SSC_Ontology_Ver0.5!$D$1681:$D$2208,SUBSTITUTE($C45,"{F}",N$17))</f>
        <v>1</v>
      </c>
      <c r="O45" s="15" t="str">
        <f>IF(OR($B45="rec:locatedIn",$B45="rec:feeds"),"Excluded - varies by room",IF(AND(MIN(D45:N45)=MAX(D45:N45),MAX(D45:N45)=1),"OK",IF(MIN(D45:N45)=0,"Not on all units","Duplicated")))</f>
        <v>OK</v>
      </c>
    </row>
    <row r="46" spans="1:15" x14ac:dyDescent="0.3">
      <c r="A46" s="13" t="s">
        <v>5036</v>
      </c>
      <c r="B46" s="14" t="s">
        <v>11</v>
      </c>
      <c r="C46" s="14" t="s">
        <v>12</v>
      </c>
      <c r="D46" s="19">
        <f>COUNTIFS(SSC_Ontology_Ver0.5!$A$1681:$A$2208,SUBSTITUTE($A46,"{F}",D$17),SSC_Ontology_Ver0.5!$C$1681:$C$2208,$B46,SSC_Ontology_Ver0.5!$D$1681:$D$2208,SUBSTITUTE($C46,"{F}",D$17))</f>
        <v>1</v>
      </c>
      <c r="E46" s="19">
        <f>COUNTIFS(SSC_Ontology_Ver0.5!$A$1681:$A$2208,SUBSTITUTE($A46,"{F}",E$17),SSC_Ontology_Ver0.5!$C$1681:$C$2208,$B46,SSC_Ontology_Ver0.5!$D$1681:$D$2208,SUBSTITUTE($C46,"{F}",E$17))</f>
        <v>1</v>
      </c>
      <c r="F46" s="19">
        <f>COUNTIFS(SSC_Ontology_Ver0.5!$A$1681:$A$2208,SUBSTITUTE($A46,"{F}",F$17),SSC_Ontology_Ver0.5!$C$1681:$C$2208,$B46,SSC_Ontology_Ver0.5!$D$1681:$D$2208,SUBSTITUTE($C46,"{F}",F$17))</f>
        <v>1</v>
      </c>
      <c r="G46" s="19">
        <f>COUNTIFS(SSC_Ontology_Ver0.5!$A$1681:$A$2208,SUBSTITUTE($A46,"{F}",G$17),SSC_Ontology_Ver0.5!$C$1681:$C$2208,$B46,SSC_Ontology_Ver0.5!$D$1681:$D$2208,SUBSTITUTE($C46,"{F}",G$17))</f>
        <v>1</v>
      </c>
      <c r="H46" s="19">
        <f>COUNTIFS(SSC_Ontology_Ver0.5!$A$1681:$A$2208,SUBSTITUTE($A46,"{F}",H$17),SSC_Ontology_Ver0.5!$C$1681:$C$2208,$B46,SSC_Ontology_Ver0.5!$D$1681:$D$2208,SUBSTITUTE($C46,"{F}",H$17))</f>
        <v>1</v>
      </c>
      <c r="I46" s="19">
        <f>COUNTIFS(SSC_Ontology_Ver0.5!$A$1681:$A$2208,SUBSTITUTE($A46,"{F}",I$17),SSC_Ontology_Ver0.5!$C$1681:$C$2208,$B46,SSC_Ontology_Ver0.5!$D$1681:$D$2208,SUBSTITUTE($C46,"{F}",I$17))</f>
        <v>1</v>
      </c>
      <c r="J46" s="19">
        <f>COUNTIFS(SSC_Ontology_Ver0.5!$A$1681:$A$2208,SUBSTITUTE($A46,"{F}",J$17),SSC_Ontology_Ver0.5!$C$1681:$C$2208,$B46,SSC_Ontology_Ver0.5!$D$1681:$D$2208,SUBSTITUTE($C46,"{F}",J$17))</f>
        <v>1</v>
      </c>
      <c r="K46" s="19">
        <f>COUNTIFS(SSC_Ontology_Ver0.5!$A$1681:$A$2208,SUBSTITUTE($A46,"{F}",K$17),SSC_Ontology_Ver0.5!$C$1681:$C$2208,$B46,SSC_Ontology_Ver0.5!$D$1681:$D$2208,SUBSTITUTE($C46,"{F}",K$17))</f>
        <v>1</v>
      </c>
      <c r="L46" s="19">
        <f>COUNTIFS(SSC_Ontology_Ver0.5!$A$1681:$A$2208,SUBSTITUTE($A46,"{F}",L$17),SSC_Ontology_Ver0.5!$C$1681:$C$2208,$B46,SSC_Ontology_Ver0.5!$D$1681:$D$2208,SUBSTITUTE($C46,"{F}",L$17))</f>
        <v>1</v>
      </c>
      <c r="M46" s="19">
        <f>COUNTIFS(SSC_Ontology_Ver0.5!$A$1681:$A$2208,SUBSTITUTE($A46,"{F}",M$17),SSC_Ontology_Ver0.5!$C$1681:$C$2208,$B46,SSC_Ontology_Ver0.5!$D$1681:$D$2208,SUBSTITUTE($C46,"{F}",M$17))</f>
        <v>1</v>
      </c>
      <c r="N46" s="19">
        <f>COUNTIFS(SSC_Ontology_Ver0.5!$A$1681:$A$2208,SUBSTITUTE($A46,"{F}",N$17),SSC_Ontology_Ver0.5!$C$1681:$C$2208,$B46,SSC_Ontology_Ver0.5!$D$1681:$D$2208,SUBSTITUTE($C46,"{F}",N$17))</f>
        <v>1</v>
      </c>
      <c r="O46" s="15" t="str">
        <f>IF(OR($B46="rec:locatedIn",$B46="rec:feeds"),"Excluded - varies by room",IF(AND(MIN(D46:N46)=MAX(D46:N46),MAX(D46:N46)=1),"OK",IF(MIN(D46:N46)=0,"Not on all units","Duplicated")))</f>
        <v>OK</v>
      </c>
    </row>
    <row r="47" spans="1:15" x14ac:dyDescent="0.3">
      <c r="A47" s="13" t="s">
        <v>5037</v>
      </c>
      <c r="B47" s="14" t="s">
        <v>11</v>
      </c>
      <c r="C47" s="14" t="s">
        <v>12</v>
      </c>
      <c r="D47" s="19">
        <f>COUNTIFS(SSC_Ontology_Ver0.5!$A$1681:$A$2208,SUBSTITUTE($A47,"{F}",D$17),SSC_Ontology_Ver0.5!$C$1681:$C$2208,$B47,SSC_Ontology_Ver0.5!$D$1681:$D$2208,SUBSTITUTE($C47,"{F}",D$17))</f>
        <v>1</v>
      </c>
      <c r="E47" s="19">
        <f>COUNTIFS(SSC_Ontology_Ver0.5!$A$1681:$A$2208,SUBSTITUTE($A47,"{F}",E$17),SSC_Ontology_Ver0.5!$C$1681:$C$2208,$B47,SSC_Ontology_Ver0.5!$D$1681:$D$2208,SUBSTITUTE($C47,"{F}",E$17))</f>
        <v>1</v>
      </c>
      <c r="F47" s="19">
        <f>COUNTIFS(SSC_Ontology_Ver0.5!$A$1681:$A$2208,SUBSTITUTE($A47,"{F}",F$17),SSC_Ontology_Ver0.5!$C$1681:$C$2208,$B47,SSC_Ontology_Ver0.5!$D$1681:$D$2208,SUBSTITUTE($C47,"{F}",F$17))</f>
        <v>1</v>
      </c>
      <c r="G47" s="19">
        <f>COUNTIFS(SSC_Ontology_Ver0.5!$A$1681:$A$2208,SUBSTITUTE($A47,"{F}",G$17),SSC_Ontology_Ver0.5!$C$1681:$C$2208,$B47,SSC_Ontology_Ver0.5!$D$1681:$D$2208,SUBSTITUTE($C47,"{F}",G$17))</f>
        <v>1</v>
      </c>
      <c r="H47" s="19">
        <f>COUNTIFS(SSC_Ontology_Ver0.5!$A$1681:$A$2208,SUBSTITUTE($A47,"{F}",H$17),SSC_Ontology_Ver0.5!$C$1681:$C$2208,$B47,SSC_Ontology_Ver0.5!$D$1681:$D$2208,SUBSTITUTE($C47,"{F}",H$17))</f>
        <v>1</v>
      </c>
      <c r="I47" s="19">
        <f>COUNTIFS(SSC_Ontology_Ver0.5!$A$1681:$A$2208,SUBSTITUTE($A47,"{F}",I$17),SSC_Ontology_Ver0.5!$C$1681:$C$2208,$B47,SSC_Ontology_Ver0.5!$D$1681:$D$2208,SUBSTITUTE($C47,"{F}",I$17))</f>
        <v>1</v>
      </c>
      <c r="J47" s="19">
        <f>COUNTIFS(SSC_Ontology_Ver0.5!$A$1681:$A$2208,SUBSTITUTE($A47,"{F}",J$17),SSC_Ontology_Ver0.5!$C$1681:$C$2208,$B47,SSC_Ontology_Ver0.5!$D$1681:$D$2208,SUBSTITUTE($C47,"{F}",J$17))</f>
        <v>1</v>
      </c>
      <c r="K47" s="19">
        <f>COUNTIFS(SSC_Ontology_Ver0.5!$A$1681:$A$2208,SUBSTITUTE($A47,"{F}",K$17),SSC_Ontology_Ver0.5!$C$1681:$C$2208,$B47,SSC_Ontology_Ver0.5!$D$1681:$D$2208,SUBSTITUTE($C47,"{F}",K$17))</f>
        <v>1</v>
      </c>
      <c r="L47" s="19">
        <f>COUNTIFS(SSC_Ontology_Ver0.5!$A$1681:$A$2208,SUBSTITUTE($A47,"{F}",L$17),SSC_Ontology_Ver0.5!$C$1681:$C$2208,$B47,SSC_Ontology_Ver0.5!$D$1681:$D$2208,SUBSTITUTE($C47,"{F}",L$17))</f>
        <v>1</v>
      </c>
      <c r="M47" s="19">
        <f>COUNTIFS(SSC_Ontology_Ver0.5!$A$1681:$A$2208,SUBSTITUTE($A47,"{F}",M$17),SSC_Ontology_Ver0.5!$C$1681:$C$2208,$B47,SSC_Ontology_Ver0.5!$D$1681:$D$2208,SUBSTITUTE($C47,"{F}",M$17))</f>
        <v>1</v>
      </c>
      <c r="N47" s="19">
        <f>COUNTIFS(SSC_Ontology_Ver0.5!$A$1681:$A$2208,SUBSTITUTE($A47,"{F}",N$17),SSC_Ontology_Ver0.5!$C$1681:$C$2208,$B47,SSC_Ontology_Ver0.5!$D$1681:$D$2208,SUBSTITUTE($C47,"{F}",N$17))</f>
        <v>1</v>
      </c>
      <c r="O47" s="15" t="str">
        <f>IF(OR($B47="rec:locatedIn",$B47="rec:feeds"),"Excluded - varies by room",IF(AND(MIN(D47:N47)=MAX(D47:N47),MAX(D47:N47)=1),"OK",IF(MIN(D47:N47)=0,"Not on all units","Duplicated")))</f>
        <v>OK</v>
      </c>
    </row>
    <row r="48" spans="1:15" x14ac:dyDescent="0.3">
      <c r="A48" s="13" t="s">
        <v>5019</v>
      </c>
      <c r="B48" s="14" t="s">
        <v>308</v>
      </c>
      <c r="C48" s="14" t="s">
        <v>5036</v>
      </c>
      <c r="D48" s="19">
        <f>COUNTIFS(SSC_Ontology_Ver0.5!$A$1681:$A$2208,SUBSTITUTE($A48,"{F}",D$17),SSC_Ontology_Ver0.5!$C$1681:$C$2208,$B48,SSC_Ontology_Ver0.5!$D$1681:$D$2208,SUBSTITUTE($C48,"{F}",D$17))</f>
        <v>1</v>
      </c>
      <c r="E48" s="19">
        <f>COUNTIFS(SSC_Ontology_Ver0.5!$A$1681:$A$2208,SUBSTITUTE($A48,"{F}",E$17),SSC_Ontology_Ver0.5!$C$1681:$C$2208,$B48,SSC_Ontology_Ver0.5!$D$1681:$D$2208,SUBSTITUTE($C48,"{F}",E$17))</f>
        <v>1</v>
      </c>
      <c r="F48" s="19">
        <f>COUNTIFS(SSC_Ontology_Ver0.5!$A$1681:$A$2208,SUBSTITUTE($A48,"{F}",F$17),SSC_Ontology_Ver0.5!$C$1681:$C$2208,$B48,SSC_Ontology_Ver0.5!$D$1681:$D$2208,SUBSTITUTE($C48,"{F}",F$17))</f>
        <v>1</v>
      </c>
      <c r="G48" s="19">
        <f>COUNTIFS(SSC_Ontology_Ver0.5!$A$1681:$A$2208,SUBSTITUTE($A48,"{F}",G$17),SSC_Ontology_Ver0.5!$C$1681:$C$2208,$B48,SSC_Ontology_Ver0.5!$D$1681:$D$2208,SUBSTITUTE($C48,"{F}",G$17))</f>
        <v>1</v>
      </c>
      <c r="H48" s="19">
        <f>COUNTIFS(SSC_Ontology_Ver0.5!$A$1681:$A$2208,SUBSTITUTE($A48,"{F}",H$17),SSC_Ontology_Ver0.5!$C$1681:$C$2208,$B48,SSC_Ontology_Ver0.5!$D$1681:$D$2208,SUBSTITUTE($C48,"{F}",H$17))</f>
        <v>1</v>
      </c>
      <c r="I48" s="19">
        <f>COUNTIFS(SSC_Ontology_Ver0.5!$A$1681:$A$2208,SUBSTITUTE($A48,"{F}",I$17),SSC_Ontology_Ver0.5!$C$1681:$C$2208,$B48,SSC_Ontology_Ver0.5!$D$1681:$D$2208,SUBSTITUTE($C48,"{F}",I$17))</f>
        <v>1</v>
      </c>
      <c r="J48" s="19">
        <f>COUNTIFS(SSC_Ontology_Ver0.5!$A$1681:$A$2208,SUBSTITUTE($A48,"{F}",J$17),SSC_Ontology_Ver0.5!$C$1681:$C$2208,$B48,SSC_Ontology_Ver0.5!$D$1681:$D$2208,SUBSTITUTE($C48,"{F}",J$17))</f>
        <v>1</v>
      </c>
      <c r="K48" s="19">
        <f>COUNTIFS(SSC_Ontology_Ver0.5!$A$1681:$A$2208,SUBSTITUTE($A48,"{F}",K$17),SSC_Ontology_Ver0.5!$C$1681:$C$2208,$B48,SSC_Ontology_Ver0.5!$D$1681:$D$2208,SUBSTITUTE($C48,"{F}",K$17))</f>
        <v>1</v>
      </c>
      <c r="L48" s="19">
        <f>COUNTIFS(SSC_Ontology_Ver0.5!$A$1681:$A$2208,SUBSTITUTE($A48,"{F}",L$17),SSC_Ontology_Ver0.5!$C$1681:$C$2208,$B48,SSC_Ontology_Ver0.5!$D$1681:$D$2208,SUBSTITUTE($C48,"{F}",L$17))</f>
        <v>1</v>
      </c>
      <c r="M48" s="19">
        <f>COUNTIFS(SSC_Ontology_Ver0.5!$A$1681:$A$2208,SUBSTITUTE($A48,"{F}",M$17),SSC_Ontology_Ver0.5!$C$1681:$C$2208,$B48,SSC_Ontology_Ver0.5!$D$1681:$D$2208,SUBSTITUTE($C48,"{F}",M$17))</f>
        <v>1</v>
      </c>
      <c r="N48" s="19">
        <f>COUNTIFS(SSC_Ontology_Ver0.5!$A$1681:$A$2208,SUBSTITUTE($A48,"{F}",N$17),SSC_Ontology_Ver0.5!$C$1681:$C$2208,$B48,SSC_Ontology_Ver0.5!$D$1681:$D$2208,SUBSTITUTE($C48,"{F}",N$17))</f>
        <v>1</v>
      </c>
      <c r="O48" s="15" t="str">
        <f>IF(OR($B48="rec:locatedIn",$B48="rec:feeds"),"Excluded - varies by room",IF(AND(MIN(D48:N48)=MAX(D48:N48),MAX(D48:N48)=1),"OK",IF(MIN(D48:N48)=0,"Not on all units","Duplicated")))</f>
        <v>OK</v>
      </c>
    </row>
    <row r="49" spans="1:15" x14ac:dyDescent="0.3">
      <c r="A49" s="13" t="s">
        <v>5019</v>
      </c>
      <c r="B49" s="14" t="s">
        <v>308</v>
      </c>
      <c r="C49" s="14" t="s">
        <v>5037</v>
      </c>
      <c r="D49" s="19">
        <f>COUNTIFS(SSC_Ontology_Ver0.5!$A$1681:$A$2208,SUBSTITUTE($A49,"{F}",D$17),SSC_Ontology_Ver0.5!$C$1681:$C$2208,$B49,SSC_Ontology_Ver0.5!$D$1681:$D$2208,SUBSTITUTE($C49,"{F}",D$17))</f>
        <v>1</v>
      </c>
      <c r="E49" s="19">
        <f>COUNTIFS(SSC_Ontology_Ver0.5!$A$1681:$A$2208,SUBSTITUTE($A49,"{F}",E$17),SSC_Ontology_Ver0.5!$C$1681:$C$2208,$B49,SSC_Ontology_Ver0.5!$D$1681:$D$2208,SUBSTITUTE($C49,"{F}",E$17))</f>
        <v>1</v>
      </c>
      <c r="F49" s="19">
        <f>COUNTIFS(SSC_Ontology_Ver0.5!$A$1681:$A$2208,SUBSTITUTE($A49,"{F}",F$17),SSC_Ontology_Ver0.5!$C$1681:$C$2208,$B49,SSC_Ontology_Ver0.5!$D$1681:$D$2208,SUBSTITUTE($C49,"{F}",F$17))</f>
        <v>1</v>
      </c>
      <c r="G49" s="19">
        <f>COUNTIFS(SSC_Ontology_Ver0.5!$A$1681:$A$2208,SUBSTITUTE($A49,"{F}",G$17),SSC_Ontology_Ver0.5!$C$1681:$C$2208,$B49,SSC_Ontology_Ver0.5!$D$1681:$D$2208,SUBSTITUTE($C49,"{F}",G$17))</f>
        <v>1</v>
      </c>
      <c r="H49" s="19">
        <f>COUNTIFS(SSC_Ontology_Ver0.5!$A$1681:$A$2208,SUBSTITUTE($A49,"{F}",H$17),SSC_Ontology_Ver0.5!$C$1681:$C$2208,$B49,SSC_Ontology_Ver0.5!$D$1681:$D$2208,SUBSTITUTE($C49,"{F}",H$17))</f>
        <v>1</v>
      </c>
      <c r="I49" s="19">
        <f>COUNTIFS(SSC_Ontology_Ver0.5!$A$1681:$A$2208,SUBSTITUTE($A49,"{F}",I$17),SSC_Ontology_Ver0.5!$C$1681:$C$2208,$B49,SSC_Ontology_Ver0.5!$D$1681:$D$2208,SUBSTITUTE($C49,"{F}",I$17))</f>
        <v>1</v>
      </c>
      <c r="J49" s="19">
        <f>COUNTIFS(SSC_Ontology_Ver0.5!$A$1681:$A$2208,SUBSTITUTE($A49,"{F}",J$17),SSC_Ontology_Ver0.5!$C$1681:$C$2208,$B49,SSC_Ontology_Ver0.5!$D$1681:$D$2208,SUBSTITUTE($C49,"{F}",J$17))</f>
        <v>1</v>
      </c>
      <c r="K49" s="19">
        <f>COUNTIFS(SSC_Ontology_Ver0.5!$A$1681:$A$2208,SUBSTITUTE($A49,"{F}",K$17),SSC_Ontology_Ver0.5!$C$1681:$C$2208,$B49,SSC_Ontology_Ver0.5!$D$1681:$D$2208,SUBSTITUTE($C49,"{F}",K$17))</f>
        <v>1</v>
      </c>
      <c r="L49" s="19">
        <f>COUNTIFS(SSC_Ontology_Ver0.5!$A$1681:$A$2208,SUBSTITUTE($A49,"{F}",L$17),SSC_Ontology_Ver0.5!$C$1681:$C$2208,$B49,SSC_Ontology_Ver0.5!$D$1681:$D$2208,SUBSTITUTE($C49,"{F}",L$17))</f>
        <v>1</v>
      </c>
      <c r="M49" s="19">
        <f>COUNTIFS(SSC_Ontology_Ver0.5!$A$1681:$A$2208,SUBSTITUTE($A49,"{F}",M$17),SSC_Ontology_Ver0.5!$C$1681:$C$2208,$B49,SSC_Ontology_Ver0.5!$D$1681:$D$2208,SUBSTITUTE($C49,"{F}",M$17))</f>
        <v>1</v>
      </c>
      <c r="N49" s="19">
        <f>COUNTIFS(SSC_Ontology_Ver0.5!$A$1681:$A$2208,SUBSTITUTE($A49,"{F}",N$17),SSC_Ontology_Ver0.5!$C$1681:$C$2208,$B49,SSC_Ontology_Ver0.5!$D$1681:$D$2208,SUBSTITUTE($C49,"{F}",N$17))</f>
        <v>1</v>
      </c>
      <c r="O49" s="15" t="str">
        <f>IF(OR($B49="rec:locatedIn",$B49="rec:feeds"),"Excluded - varies by room",IF(AND(MIN(D49:N49)=MAX(D49:N49),MAX(D49:N49)=1),"OK",IF(MIN(D49:N49)=0,"Not on all units","Duplicated")))</f>
        <v>OK</v>
      </c>
    </row>
    <row r="50" spans="1:15" x14ac:dyDescent="0.3">
      <c r="A50" s="13" t="s">
        <v>5027</v>
      </c>
      <c r="B50" s="14" t="s">
        <v>11</v>
      </c>
      <c r="C50" s="14" t="s">
        <v>12</v>
      </c>
      <c r="D50" s="19">
        <f>COUNTIFS(SSC_Ontology_Ver0.5!$A$1681:$A$2208,SUBSTITUTE($A50,"{F}",D$17),SSC_Ontology_Ver0.5!$C$1681:$C$2208,$B50,SSC_Ontology_Ver0.5!$D$1681:$D$2208,SUBSTITUTE($C50,"{F}",D$17))</f>
        <v>1</v>
      </c>
      <c r="E50" s="19">
        <f>COUNTIFS(SSC_Ontology_Ver0.5!$A$1681:$A$2208,SUBSTITUTE($A50,"{F}",E$17),SSC_Ontology_Ver0.5!$C$1681:$C$2208,$B50,SSC_Ontology_Ver0.5!$D$1681:$D$2208,SUBSTITUTE($C50,"{F}",E$17))</f>
        <v>1</v>
      </c>
      <c r="F50" s="19">
        <f>COUNTIFS(SSC_Ontology_Ver0.5!$A$1681:$A$2208,SUBSTITUTE($A50,"{F}",F$17),SSC_Ontology_Ver0.5!$C$1681:$C$2208,$B50,SSC_Ontology_Ver0.5!$D$1681:$D$2208,SUBSTITUTE($C50,"{F}",F$17))</f>
        <v>1</v>
      </c>
      <c r="G50" s="19">
        <f>COUNTIFS(SSC_Ontology_Ver0.5!$A$1681:$A$2208,SUBSTITUTE($A50,"{F}",G$17),SSC_Ontology_Ver0.5!$C$1681:$C$2208,$B50,SSC_Ontology_Ver0.5!$D$1681:$D$2208,SUBSTITUTE($C50,"{F}",G$17))</f>
        <v>1</v>
      </c>
      <c r="H50" s="19">
        <f>COUNTIFS(SSC_Ontology_Ver0.5!$A$1681:$A$2208,SUBSTITUTE($A50,"{F}",H$17),SSC_Ontology_Ver0.5!$C$1681:$C$2208,$B50,SSC_Ontology_Ver0.5!$D$1681:$D$2208,SUBSTITUTE($C50,"{F}",H$17))</f>
        <v>1</v>
      </c>
      <c r="I50" s="19">
        <f>COUNTIFS(SSC_Ontology_Ver0.5!$A$1681:$A$2208,SUBSTITUTE($A50,"{F}",I$17),SSC_Ontology_Ver0.5!$C$1681:$C$2208,$B50,SSC_Ontology_Ver0.5!$D$1681:$D$2208,SUBSTITUTE($C50,"{F}",I$17))</f>
        <v>1</v>
      </c>
      <c r="J50" s="19">
        <f>COUNTIFS(SSC_Ontology_Ver0.5!$A$1681:$A$2208,SUBSTITUTE($A50,"{F}",J$17),SSC_Ontology_Ver0.5!$C$1681:$C$2208,$B50,SSC_Ontology_Ver0.5!$D$1681:$D$2208,SUBSTITUTE($C50,"{F}",J$17))</f>
        <v>1</v>
      </c>
      <c r="K50" s="19">
        <f>COUNTIFS(SSC_Ontology_Ver0.5!$A$1681:$A$2208,SUBSTITUTE($A50,"{F}",K$17),SSC_Ontology_Ver0.5!$C$1681:$C$2208,$B50,SSC_Ontology_Ver0.5!$D$1681:$D$2208,SUBSTITUTE($C50,"{F}",K$17))</f>
        <v>1</v>
      </c>
      <c r="L50" s="19">
        <f>COUNTIFS(SSC_Ontology_Ver0.5!$A$1681:$A$2208,SUBSTITUTE($A50,"{F}",L$17),SSC_Ontology_Ver0.5!$C$1681:$C$2208,$B50,SSC_Ontology_Ver0.5!$D$1681:$D$2208,SUBSTITUTE($C50,"{F}",L$17))</f>
        <v>1</v>
      </c>
      <c r="M50" s="19">
        <f>COUNTIFS(SSC_Ontology_Ver0.5!$A$1681:$A$2208,SUBSTITUTE($A50,"{F}",M$17),SSC_Ontology_Ver0.5!$C$1681:$C$2208,$B50,SSC_Ontology_Ver0.5!$D$1681:$D$2208,SUBSTITUTE($C50,"{F}",M$17))</f>
        <v>1</v>
      </c>
      <c r="N50" s="19">
        <f>COUNTIFS(SSC_Ontology_Ver0.5!$A$1681:$A$2208,SUBSTITUTE($A50,"{F}",N$17),SSC_Ontology_Ver0.5!$C$1681:$C$2208,$B50,SSC_Ontology_Ver0.5!$D$1681:$D$2208,SUBSTITUTE($C50,"{F}",N$17))</f>
        <v>1</v>
      </c>
      <c r="O50" s="15" t="str">
        <f>IF(OR($B50="rec:locatedIn",$B50="rec:feeds"),"Excluded - varies by room",IF(AND(MIN(D50:N50)=MAX(D50:N50),MAX(D50:N50)=1),"OK",IF(MIN(D50:N50)=0,"Not on all units","Duplicated")))</f>
        <v>OK</v>
      </c>
    </row>
    <row r="51" spans="1:15" x14ac:dyDescent="0.3">
      <c r="A51" s="13" t="s">
        <v>5031</v>
      </c>
      <c r="B51" s="14" t="s">
        <v>11</v>
      </c>
      <c r="C51" s="14" t="s">
        <v>12</v>
      </c>
      <c r="D51" s="19">
        <f>COUNTIFS(SSC_Ontology_Ver0.5!$A$1681:$A$2208,SUBSTITUTE($A51,"{F}",D$17),SSC_Ontology_Ver0.5!$C$1681:$C$2208,$B51,SSC_Ontology_Ver0.5!$D$1681:$D$2208,SUBSTITUTE($C51,"{F}",D$17))</f>
        <v>1</v>
      </c>
      <c r="E51" s="19">
        <f>COUNTIFS(SSC_Ontology_Ver0.5!$A$1681:$A$2208,SUBSTITUTE($A51,"{F}",E$17),SSC_Ontology_Ver0.5!$C$1681:$C$2208,$B51,SSC_Ontology_Ver0.5!$D$1681:$D$2208,SUBSTITUTE($C51,"{F}",E$17))</f>
        <v>1</v>
      </c>
      <c r="F51" s="19">
        <f>COUNTIFS(SSC_Ontology_Ver0.5!$A$1681:$A$2208,SUBSTITUTE($A51,"{F}",F$17),SSC_Ontology_Ver0.5!$C$1681:$C$2208,$B51,SSC_Ontology_Ver0.5!$D$1681:$D$2208,SUBSTITUTE($C51,"{F}",F$17))</f>
        <v>1</v>
      </c>
      <c r="G51" s="19">
        <f>COUNTIFS(SSC_Ontology_Ver0.5!$A$1681:$A$2208,SUBSTITUTE($A51,"{F}",G$17),SSC_Ontology_Ver0.5!$C$1681:$C$2208,$B51,SSC_Ontology_Ver0.5!$D$1681:$D$2208,SUBSTITUTE($C51,"{F}",G$17))</f>
        <v>1</v>
      </c>
      <c r="H51" s="19">
        <f>COUNTIFS(SSC_Ontology_Ver0.5!$A$1681:$A$2208,SUBSTITUTE($A51,"{F}",H$17),SSC_Ontology_Ver0.5!$C$1681:$C$2208,$B51,SSC_Ontology_Ver0.5!$D$1681:$D$2208,SUBSTITUTE($C51,"{F}",H$17))</f>
        <v>1</v>
      </c>
      <c r="I51" s="19">
        <f>COUNTIFS(SSC_Ontology_Ver0.5!$A$1681:$A$2208,SUBSTITUTE($A51,"{F}",I$17),SSC_Ontology_Ver0.5!$C$1681:$C$2208,$B51,SSC_Ontology_Ver0.5!$D$1681:$D$2208,SUBSTITUTE($C51,"{F}",I$17))</f>
        <v>1</v>
      </c>
      <c r="J51" s="19">
        <f>COUNTIFS(SSC_Ontology_Ver0.5!$A$1681:$A$2208,SUBSTITUTE($A51,"{F}",J$17),SSC_Ontology_Ver0.5!$C$1681:$C$2208,$B51,SSC_Ontology_Ver0.5!$D$1681:$D$2208,SUBSTITUTE($C51,"{F}",J$17))</f>
        <v>1</v>
      </c>
      <c r="K51" s="19">
        <f>COUNTIFS(SSC_Ontology_Ver0.5!$A$1681:$A$2208,SUBSTITUTE($A51,"{F}",K$17),SSC_Ontology_Ver0.5!$C$1681:$C$2208,$B51,SSC_Ontology_Ver0.5!$D$1681:$D$2208,SUBSTITUTE($C51,"{F}",K$17))</f>
        <v>1</v>
      </c>
      <c r="L51" s="19">
        <f>COUNTIFS(SSC_Ontology_Ver0.5!$A$1681:$A$2208,SUBSTITUTE($A51,"{F}",L$17),SSC_Ontology_Ver0.5!$C$1681:$C$2208,$B51,SSC_Ontology_Ver0.5!$D$1681:$D$2208,SUBSTITUTE($C51,"{F}",L$17))</f>
        <v>1</v>
      </c>
      <c r="M51" s="19">
        <f>COUNTIFS(SSC_Ontology_Ver0.5!$A$1681:$A$2208,SUBSTITUTE($A51,"{F}",M$17),SSC_Ontology_Ver0.5!$C$1681:$C$2208,$B51,SSC_Ontology_Ver0.5!$D$1681:$D$2208,SUBSTITUTE($C51,"{F}",M$17))</f>
        <v>1</v>
      </c>
      <c r="N51" s="19">
        <f>COUNTIFS(SSC_Ontology_Ver0.5!$A$1681:$A$2208,SUBSTITUTE($A51,"{F}",N$17),SSC_Ontology_Ver0.5!$C$1681:$C$2208,$B51,SSC_Ontology_Ver0.5!$D$1681:$D$2208,SUBSTITUTE($C51,"{F}",N$17))</f>
        <v>1</v>
      </c>
      <c r="O51" s="15" t="str">
        <f>IF(OR($B51="rec:locatedIn",$B51="rec:feeds"),"Excluded - varies by room",IF(AND(MIN(D51:N51)=MAX(D51:N51),MAX(D51:N51)=1),"OK",IF(MIN(D51:N51)=0,"Not on all units","Duplicated")))</f>
        <v>OK</v>
      </c>
    </row>
    <row r="52" spans="1:15" x14ac:dyDescent="0.3">
      <c r="A52" s="13" t="s">
        <v>5024</v>
      </c>
      <c r="B52" s="14" t="s">
        <v>11</v>
      </c>
      <c r="C52" s="14" t="s">
        <v>12</v>
      </c>
      <c r="D52" s="19">
        <f>COUNTIFS(SSC_Ontology_Ver0.5!$A$1681:$A$2208,SUBSTITUTE($A52,"{F}",D$17),SSC_Ontology_Ver0.5!$C$1681:$C$2208,$B52,SSC_Ontology_Ver0.5!$D$1681:$D$2208,SUBSTITUTE($C52,"{F}",D$17))</f>
        <v>1</v>
      </c>
      <c r="E52" s="19">
        <f>COUNTIFS(SSC_Ontology_Ver0.5!$A$1681:$A$2208,SUBSTITUTE($A52,"{F}",E$17),SSC_Ontology_Ver0.5!$C$1681:$C$2208,$B52,SSC_Ontology_Ver0.5!$D$1681:$D$2208,SUBSTITUTE($C52,"{F}",E$17))</f>
        <v>1</v>
      </c>
      <c r="F52" s="19">
        <f>COUNTIFS(SSC_Ontology_Ver0.5!$A$1681:$A$2208,SUBSTITUTE($A52,"{F}",F$17),SSC_Ontology_Ver0.5!$C$1681:$C$2208,$B52,SSC_Ontology_Ver0.5!$D$1681:$D$2208,SUBSTITUTE($C52,"{F}",F$17))</f>
        <v>1</v>
      </c>
      <c r="G52" s="19">
        <f>COUNTIFS(SSC_Ontology_Ver0.5!$A$1681:$A$2208,SUBSTITUTE($A52,"{F}",G$17),SSC_Ontology_Ver0.5!$C$1681:$C$2208,$B52,SSC_Ontology_Ver0.5!$D$1681:$D$2208,SUBSTITUTE($C52,"{F}",G$17))</f>
        <v>1</v>
      </c>
      <c r="H52" s="19">
        <f>COUNTIFS(SSC_Ontology_Ver0.5!$A$1681:$A$2208,SUBSTITUTE($A52,"{F}",H$17),SSC_Ontology_Ver0.5!$C$1681:$C$2208,$B52,SSC_Ontology_Ver0.5!$D$1681:$D$2208,SUBSTITUTE($C52,"{F}",H$17))</f>
        <v>1</v>
      </c>
      <c r="I52" s="19">
        <f>COUNTIFS(SSC_Ontology_Ver0.5!$A$1681:$A$2208,SUBSTITUTE($A52,"{F}",I$17),SSC_Ontology_Ver0.5!$C$1681:$C$2208,$B52,SSC_Ontology_Ver0.5!$D$1681:$D$2208,SUBSTITUTE($C52,"{F}",I$17))</f>
        <v>1</v>
      </c>
      <c r="J52" s="19">
        <f>COUNTIFS(SSC_Ontology_Ver0.5!$A$1681:$A$2208,SUBSTITUTE($A52,"{F}",J$17),SSC_Ontology_Ver0.5!$C$1681:$C$2208,$B52,SSC_Ontology_Ver0.5!$D$1681:$D$2208,SUBSTITUTE($C52,"{F}",J$17))</f>
        <v>1</v>
      </c>
      <c r="K52" s="19">
        <f>COUNTIFS(SSC_Ontology_Ver0.5!$A$1681:$A$2208,SUBSTITUTE($A52,"{F}",K$17),SSC_Ontology_Ver0.5!$C$1681:$C$2208,$B52,SSC_Ontology_Ver0.5!$D$1681:$D$2208,SUBSTITUTE($C52,"{F}",K$17))</f>
        <v>1</v>
      </c>
      <c r="L52" s="19">
        <f>COUNTIFS(SSC_Ontology_Ver0.5!$A$1681:$A$2208,SUBSTITUTE($A52,"{F}",L$17),SSC_Ontology_Ver0.5!$C$1681:$C$2208,$B52,SSC_Ontology_Ver0.5!$D$1681:$D$2208,SUBSTITUTE($C52,"{F}",L$17))</f>
        <v>1</v>
      </c>
      <c r="M52" s="19">
        <f>COUNTIFS(SSC_Ontology_Ver0.5!$A$1681:$A$2208,SUBSTITUTE($A52,"{F}",M$17),SSC_Ontology_Ver0.5!$C$1681:$C$2208,$B52,SSC_Ontology_Ver0.5!$D$1681:$D$2208,SUBSTITUTE($C52,"{F}",M$17))</f>
        <v>1</v>
      </c>
      <c r="N52" s="19">
        <f>COUNTIFS(SSC_Ontology_Ver0.5!$A$1681:$A$2208,SUBSTITUTE($A52,"{F}",N$17),SSC_Ontology_Ver0.5!$C$1681:$C$2208,$B52,SSC_Ontology_Ver0.5!$D$1681:$D$2208,SUBSTITUTE($C52,"{F}",N$17))</f>
        <v>1</v>
      </c>
      <c r="O52" s="15" t="str">
        <f>IF(OR($B52="rec:locatedIn",$B52="rec:feeds"),"Excluded - varies by room",IF(AND(MIN(D52:N52)=MAX(D52:N52),MAX(D52:N52)=1),"OK",IF(MIN(D52:N52)=0,"Not on all units","Duplicated")))</f>
        <v>OK</v>
      </c>
    </row>
    <row r="53" spans="1:15" x14ac:dyDescent="0.3">
      <c r="A53" s="13" t="s">
        <v>5025</v>
      </c>
      <c r="B53" s="14" t="s">
        <v>11</v>
      </c>
      <c r="C53" s="14" t="s">
        <v>12</v>
      </c>
      <c r="D53" s="19">
        <f>COUNTIFS(SSC_Ontology_Ver0.5!$A$1681:$A$2208,SUBSTITUTE($A53,"{F}",D$17),SSC_Ontology_Ver0.5!$C$1681:$C$2208,$B53,SSC_Ontology_Ver0.5!$D$1681:$D$2208,SUBSTITUTE($C53,"{F}",D$17))</f>
        <v>1</v>
      </c>
      <c r="E53" s="19">
        <f>COUNTIFS(SSC_Ontology_Ver0.5!$A$1681:$A$2208,SUBSTITUTE($A53,"{F}",E$17),SSC_Ontology_Ver0.5!$C$1681:$C$2208,$B53,SSC_Ontology_Ver0.5!$D$1681:$D$2208,SUBSTITUTE($C53,"{F}",E$17))</f>
        <v>1</v>
      </c>
      <c r="F53" s="19">
        <f>COUNTIFS(SSC_Ontology_Ver0.5!$A$1681:$A$2208,SUBSTITUTE($A53,"{F}",F$17),SSC_Ontology_Ver0.5!$C$1681:$C$2208,$B53,SSC_Ontology_Ver0.5!$D$1681:$D$2208,SUBSTITUTE($C53,"{F}",F$17))</f>
        <v>1</v>
      </c>
      <c r="G53" s="19">
        <f>COUNTIFS(SSC_Ontology_Ver0.5!$A$1681:$A$2208,SUBSTITUTE($A53,"{F}",G$17),SSC_Ontology_Ver0.5!$C$1681:$C$2208,$B53,SSC_Ontology_Ver0.5!$D$1681:$D$2208,SUBSTITUTE($C53,"{F}",G$17))</f>
        <v>1</v>
      </c>
      <c r="H53" s="19">
        <f>COUNTIFS(SSC_Ontology_Ver0.5!$A$1681:$A$2208,SUBSTITUTE($A53,"{F}",H$17),SSC_Ontology_Ver0.5!$C$1681:$C$2208,$B53,SSC_Ontology_Ver0.5!$D$1681:$D$2208,SUBSTITUTE($C53,"{F}",H$17))</f>
        <v>1</v>
      </c>
      <c r="I53" s="19">
        <f>COUNTIFS(SSC_Ontology_Ver0.5!$A$1681:$A$2208,SUBSTITUTE($A53,"{F}",I$17),SSC_Ontology_Ver0.5!$C$1681:$C$2208,$B53,SSC_Ontology_Ver0.5!$D$1681:$D$2208,SUBSTITUTE($C53,"{F}",I$17))</f>
        <v>1</v>
      </c>
      <c r="J53" s="19">
        <f>COUNTIFS(SSC_Ontology_Ver0.5!$A$1681:$A$2208,SUBSTITUTE($A53,"{F}",J$17),SSC_Ontology_Ver0.5!$C$1681:$C$2208,$B53,SSC_Ontology_Ver0.5!$D$1681:$D$2208,SUBSTITUTE($C53,"{F}",J$17))</f>
        <v>1</v>
      </c>
      <c r="K53" s="19">
        <f>COUNTIFS(SSC_Ontology_Ver0.5!$A$1681:$A$2208,SUBSTITUTE($A53,"{F}",K$17),SSC_Ontology_Ver0.5!$C$1681:$C$2208,$B53,SSC_Ontology_Ver0.5!$D$1681:$D$2208,SUBSTITUTE($C53,"{F}",K$17))</f>
        <v>1</v>
      </c>
      <c r="L53" s="19">
        <f>COUNTIFS(SSC_Ontology_Ver0.5!$A$1681:$A$2208,SUBSTITUTE($A53,"{F}",L$17),SSC_Ontology_Ver0.5!$C$1681:$C$2208,$B53,SSC_Ontology_Ver0.5!$D$1681:$D$2208,SUBSTITUTE($C53,"{F}",L$17))</f>
        <v>1</v>
      </c>
      <c r="M53" s="19">
        <f>COUNTIFS(SSC_Ontology_Ver0.5!$A$1681:$A$2208,SUBSTITUTE($A53,"{F}",M$17),SSC_Ontology_Ver0.5!$C$1681:$C$2208,$B53,SSC_Ontology_Ver0.5!$D$1681:$D$2208,SUBSTITUTE($C53,"{F}",M$17))</f>
        <v>1</v>
      </c>
      <c r="N53" s="19">
        <f>COUNTIFS(SSC_Ontology_Ver0.5!$A$1681:$A$2208,SUBSTITUTE($A53,"{F}",N$17),SSC_Ontology_Ver0.5!$C$1681:$C$2208,$B53,SSC_Ontology_Ver0.5!$D$1681:$D$2208,SUBSTITUTE($C53,"{F}",N$17))</f>
        <v>1</v>
      </c>
      <c r="O53" s="15" t="str">
        <f>IF(OR($B53="rec:locatedIn",$B53="rec:feeds"),"Excluded - varies by room",IF(AND(MIN(D53:N53)=MAX(D53:N53),MAX(D53:N53)=1),"OK",IF(MIN(D53:N53)=0,"Not on all units","Duplicated")))</f>
        <v>OK</v>
      </c>
    </row>
    <row r="54" spans="1:15" x14ac:dyDescent="0.3">
      <c r="A54" s="13" t="s">
        <v>5021</v>
      </c>
      <c r="B54" s="14" t="s">
        <v>11</v>
      </c>
      <c r="C54" s="14" t="s">
        <v>12</v>
      </c>
      <c r="D54" s="19">
        <f>COUNTIFS(SSC_Ontology_Ver0.5!$A$1681:$A$2208,SUBSTITUTE($A54,"{F}",D$17),SSC_Ontology_Ver0.5!$C$1681:$C$2208,$B54,SSC_Ontology_Ver0.5!$D$1681:$D$2208,SUBSTITUTE($C54,"{F}",D$17))</f>
        <v>1</v>
      </c>
      <c r="E54" s="19">
        <f>COUNTIFS(SSC_Ontology_Ver0.5!$A$1681:$A$2208,SUBSTITUTE($A54,"{F}",E$17),SSC_Ontology_Ver0.5!$C$1681:$C$2208,$B54,SSC_Ontology_Ver0.5!$D$1681:$D$2208,SUBSTITUTE($C54,"{F}",E$17))</f>
        <v>1</v>
      </c>
      <c r="F54" s="19">
        <f>COUNTIFS(SSC_Ontology_Ver0.5!$A$1681:$A$2208,SUBSTITUTE($A54,"{F}",F$17),SSC_Ontology_Ver0.5!$C$1681:$C$2208,$B54,SSC_Ontology_Ver0.5!$D$1681:$D$2208,SUBSTITUTE($C54,"{F}",F$17))</f>
        <v>1</v>
      </c>
      <c r="G54" s="19">
        <f>COUNTIFS(SSC_Ontology_Ver0.5!$A$1681:$A$2208,SUBSTITUTE($A54,"{F}",G$17),SSC_Ontology_Ver0.5!$C$1681:$C$2208,$B54,SSC_Ontology_Ver0.5!$D$1681:$D$2208,SUBSTITUTE($C54,"{F}",G$17))</f>
        <v>1</v>
      </c>
      <c r="H54" s="19">
        <f>COUNTIFS(SSC_Ontology_Ver0.5!$A$1681:$A$2208,SUBSTITUTE($A54,"{F}",H$17),SSC_Ontology_Ver0.5!$C$1681:$C$2208,$B54,SSC_Ontology_Ver0.5!$D$1681:$D$2208,SUBSTITUTE($C54,"{F}",H$17))</f>
        <v>1</v>
      </c>
      <c r="I54" s="19">
        <f>COUNTIFS(SSC_Ontology_Ver0.5!$A$1681:$A$2208,SUBSTITUTE($A54,"{F}",I$17),SSC_Ontology_Ver0.5!$C$1681:$C$2208,$B54,SSC_Ontology_Ver0.5!$D$1681:$D$2208,SUBSTITUTE($C54,"{F}",I$17))</f>
        <v>1</v>
      </c>
      <c r="J54" s="19">
        <f>COUNTIFS(SSC_Ontology_Ver0.5!$A$1681:$A$2208,SUBSTITUTE($A54,"{F}",J$17),SSC_Ontology_Ver0.5!$C$1681:$C$2208,$B54,SSC_Ontology_Ver0.5!$D$1681:$D$2208,SUBSTITUTE($C54,"{F}",J$17))</f>
        <v>1</v>
      </c>
      <c r="K54" s="19">
        <f>COUNTIFS(SSC_Ontology_Ver0.5!$A$1681:$A$2208,SUBSTITUTE($A54,"{F}",K$17),SSC_Ontology_Ver0.5!$C$1681:$C$2208,$B54,SSC_Ontology_Ver0.5!$D$1681:$D$2208,SUBSTITUTE($C54,"{F}",K$17))</f>
        <v>1</v>
      </c>
      <c r="L54" s="19">
        <f>COUNTIFS(SSC_Ontology_Ver0.5!$A$1681:$A$2208,SUBSTITUTE($A54,"{F}",L$17),SSC_Ontology_Ver0.5!$C$1681:$C$2208,$B54,SSC_Ontology_Ver0.5!$D$1681:$D$2208,SUBSTITUTE($C54,"{F}",L$17))</f>
        <v>1</v>
      </c>
      <c r="M54" s="19">
        <f>COUNTIFS(SSC_Ontology_Ver0.5!$A$1681:$A$2208,SUBSTITUTE($A54,"{F}",M$17),SSC_Ontology_Ver0.5!$C$1681:$C$2208,$B54,SSC_Ontology_Ver0.5!$D$1681:$D$2208,SUBSTITUTE($C54,"{F}",M$17))</f>
        <v>1</v>
      </c>
      <c r="N54" s="19">
        <f>COUNTIFS(SSC_Ontology_Ver0.5!$A$1681:$A$2208,SUBSTITUTE($A54,"{F}",N$17),SSC_Ontology_Ver0.5!$C$1681:$C$2208,$B54,SSC_Ontology_Ver0.5!$D$1681:$D$2208,SUBSTITUTE($C54,"{F}",N$17))</f>
        <v>1</v>
      </c>
      <c r="O54" s="15" t="str">
        <f>IF(OR($B54="rec:locatedIn",$B54="rec:feeds"),"Excluded - varies by room",IF(AND(MIN(D54:N54)=MAX(D54:N54),MAX(D54:N54)=1),"OK",IF(MIN(D54:N54)=0,"Not on all units","Duplicated")))</f>
        <v>OK</v>
      </c>
    </row>
    <row r="55" spans="1:15" x14ac:dyDescent="0.3">
      <c r="A55" s="13" t="s">
        <v>5020</v>
      </c>
      <c r="B55" s="14" t="s">
        <v>280</v>
      </c>
      <c r="C55" s="14" t="s">
        <v>5038</v>
      </c>
      <c r="D55" s="19">
        <f>COUNTIFS(SSC_Ontology_Ver0.5!$A$1681:$A$2208,SUBSTITUTE($A55,"{F}",D$17),SSC_Ontology_Ver0.5!$C$1681:$C$2208,$B55,SSC_Ontology_Ver0.5!$D$1681:$D$2208,SUBSTITUTE($C55,"{F}",D$17))</f>
        <v>1</v>
      </c>
      <c r="E55" s="19">
        <f>COUNTIFS(SSC_Ontology_Ver0.5!$A$1681:$A$2208,SUBSTITUTE($A55,"{F}",E$17),SSC_Ontology_Ver0.5!$C$1681:$C$2208,$B55,SSC_Ontology_Ver0.5!$D$1681:$D$2208,SUBSTITUTE($C55,"{F}",E$17))</f>
        <v>1</v>
      </c>
      <c r="F55" s="19">
        <f>COUNTIFS(SSC_Ontology_Ver0.5!$A$1681:$A$2208,SUBSTITUTE($A55,"{F}",F$17),SSC_Ontology_Ver0.5!$C$1681:$C$2208,$B55,SSC_Ontology_Ver0.5!$D$1681:$D$2208,SUBSTITUTE($C55,"{F}",F$17))</f>
        <v>1</v>
      </c>
      <c r="G55" s="19">
        <f>COUNTIFS(SSC_Ontology_Ver0.5!$A$1681:$A$2208,SUBSTITUTE($A55,"{F}",G$17),SSC_Ontology_Ver0.5!$C$1681:$C$2208,$B55,SSC_Ontology_Ver0.5!$D$1681:$D$2208,SUBSTITUTE($C55,"{F}",G$17))</f>
        <v>1</v>
      </c>
      <c r="H55" s="19">
        <f>COUNTIFS(SSC_Ontology_Ver0.5!$A$1681:$A$2208,SUBSTITUTE($A55,"{F}",H$17),SSC_Ontology_Ver0.5!$C$1681:$C$2208,$B55,SSC_Ontology_Ver0.5!$D$1681:$D$2208,SUBSTITUTE($C55,"{F}",H$17))</f>
        <v>1</v>
      </c>
      <c r="I55" s="19">
        <f>COUNTIFS(SSC_Ontology_Ver0.5!$A$1681:$A$2208,SUBSTITUTE($A55,"{F}",I$17),SSC_Ontology_Ver0.5!$C$1681:$C$2208,$B55,SSC_Ontology_Ver0.5!$D$1681:$D$2208,SUBSTITUTE($C55,"{F}",I$17))</f>
        <v>1</v>
      </c>
      <c r="J55" s="19">
        <f>COUNTIFS(SSC_Ontology_Ver0.5!$A$1681:$A$2208,SUBSTITUTE($A55,"{F}",J$17),SSC_Ontology_Ver0.5!$C$1681:$C$2208,$B55,SSC_Ontology_Ver0.5!$D$1681:$D$2208,SUBSTITUTE($C55,"{F}",J$17))</f>
        <v>1</v>
      </c>
      <c r="K55" s="19">
        <f>COUNTIFS(SSC_Ontology_Ver0.5!$A$1681:$A$2208,SUBSTITUTE($A55,"{F}",K$17),SSC_Ontology_Ver0.5!$C$1681:$C$2208,$B55,SSC_Ontology_Ver0.5!$D$1681:$D$2208,SUBSTITUTE($C55,"{F}",K$17))</f>
        <v>1</v>
      </c>
      <c r="L55" s="19">
        <f>COUNTIFS(SSC_Ontology_Ver0.5!$A$1681:$A$2208,SUBSTITUTE($A55,"{F}",L$17),SSC_Ontology_Ver0.5!$C$1681:$C$2208,$B55,SSC_Ontology_Ver0.5!$D$1681:$D$2208,SUBSTITUTE($C55,"{F}",L$17))</f>
        <v>1</v>
      </c>
      <c r="M55" s="19">
        <f>COUNTIFS(SSC_Ontology_Ver0.5!$A$1681:$A$2208,SUBSTITUTE($A55,"{F}",M$17),SSC_Ontology_Ver0.5!$C$1681:$C$2208,$B55,SSC_Ontology_Ver0.5!$D$1681:$D$2208,SUBSTITUTE($C55,"{F}",M$17))</f>
        <v>1</v>
      </c>
      <c r="N55" s="19">
        <f>COUNTIFS(SSC_Ontology_Ver0.5!$A$1681:$A$2208,SUBSTITUTE($A55,"{F}",N$17),SSC_Ontology_Ver0.5!$C$1681:$C$2208,$B55,SSC_Ontology_Ver0.5!$D$1681:$D$2208,SUBSTITUTE($C55,"{F}",N$17))</f>
        <v>1</v>
      </c>
      <c r="O55" s="15" t="str">
        <f>IF(OR($B55="rec:locatedIn",$B55="rec:feeds"),"Excluded - varies by room",IF(AND(MIN(D55:N55)=MAX(D55:N55),MAX(D55:N55)=1),"OK",IF(MIN(D55:N55)=0,"Not on all units","Duplicated")))</f>
        <v>OK</v>
      </c>
    </row>
    <row r="56" spans="1:15" x14ac:dyDescent="0.3">
      <c r="A56" s="13" t="s">
        <v>5038</v>
      </c>
      <c r="B56" s="14" t="s">
        <v>308</v>
      </c>
      <c r="C56" s="14" t="s">
        <v>5039</v>
      </c>
      <c r="D56" s="19">
        <f>COUNTIFS(SSC_Ontology_Ver0.5!$A$1681:$A$2208,SUBSTITUTE($A56,"{F}",D$17),SSC_Ontology_Ver0.5!$C$1681:$C$2208,$B56,SSC_Ontology_Ver0.5!$D$1681:$D$2208,SUBSTITUTE($C56,"{F}",D$17))</f>
        <v>1</v>
      </c>
      <c r="E56" s="19">
        <f>COUNTIFS(SSC_Ontology_Ver0.5!$A$1681:$A$2208,SUBSTITUTE($A56,"{F}",E$17),SSC_Ontology_Ver0.5!$C$1681:$C$2208,$B56,SSC_Ontology_Ver0.5!$D$1681:$D$2208,SUBSTITUTE($C56,"{F}",E$17))</f>
        <v>1</v>
      </c>
      <c r="F56" s="19">
        <f>COUNTIFS(SSC_Ontology_Ver0.5!$A$1681:$A$2208,SUBSTITUTE($A56,"{F}",F$17),SSC_Ontology_Ver0.5!$C$1681:$C$2208,$B56,SSC_Ontology_Ver0.5!$D$1681:$D$2208,SUBSTITUTE($C56,"{F}",F$17))</f>
        <v>1</v>
      </c>
      <c r="G56" s="19">
        <f>COUNTIFS(SSC_Ontology_Ver0.5!$A$1681:$A$2208,SUBSTITUTE($A56,"{F}",G$17),SSC_Ontology_Ver0.5!$C$1681:$C$2208,$B56,SSC_Ontology_Ver0.5!$D$1681:$D$2208,SUBSTITUTE($C56,"{F}",G$17))</f>
        <v>1</v>
      </c>
      <c r="H56" s="19">
        <f>COUNTIFS(SSC_Ontology_Ver0.5!$A$1681:$A$2208,SUBSTITUTE($A56,"{F}",H$17),SSC_Ontology_Ver0.5!$C$1681:$C$2208,$B56,SSC_Ontology_Ver0.5!$D$1681:$D$2208,SUBSTITUTE($C56,"{F}",H$17))</f>
        <v>1</v>
      </c>
      <c r="I56" s="19">
        <f>COUNTIFS(SSC_Ontology_Ver0.5!$A$1681:$A$2208,SUBSTITUTE($A56,"{F}",I$17),SSC_Ontology_Ver0.5!$C$1681:$C$2208,$B56,SSC_Ontology_Ver0.5!$D$1681:$D$2208,SUBSTITUTE($C56,"{F}",I$17))</f>
        <v>1</v>
      </c>
      <c r="J56" s="19">
        <f>COUNTIFS(SSC_Ontology_Ver0.5!$A$1681:$A$2208,SUBSTITUTE($A56,"{F}",J$17),SSC_Ontology_Ver0.5!$C$1681:$C$2208,$B56,SSC_Ontology_Ver0.5!$D$1681:$D$2208,SUBSTITUTE($C56,"{F}",J$17))</f>
        <v>1</v>
      </c>
      <c r="K56" s="19">
        <f>COUNTIFS(SSC_Ontology_Ver0.5!$A$1681:$A$2208,SUBSTITUTE($A56,"{F}",K$17),SSC_Ontology_Ver0.5!$C$1681:$C$2208,$B56,SSC_Ontology_Ver0.5!$D$1681:$D$2208,SUBSTITUTE($C56,"{F}",K$17))</f>
        <v>1</v>
      </c>
      <c r="L56" s="19">
        <f>COUNTIFS(SSC_Ontology_Ver0.5!$A$1681:$A$2208,SUBSTITUTE($A56,"{F}",L$17),SSC_Ontology_Ver0.5!$C$1681:$C$2208,$B56,SSC_Ontology_Ver0.5!$D$1681:$D$2208,SUBSTITUTE($C56,"{F}",L$17))</f>
        <v>1</v>
      </c>
      <c r="M56" s="19">
        <f>COUNTIFS(SSC_Ontology_Ver0.5!$A$1681:$A$2208,SUBSTITUTE($A56,"{F}",M$17),SSC_Ontology_Ver0.5!$C$1681:$C$2208,$B56,SSC_Ontology_Ver0.5!$D$1681:$D$2208,SUBSTITUTE($C56,"{F}",M$17))</f>
        <v>1</v>
      </c>
      <c r="N56" s="19">
        <f>COUNTIFS(SSC_Ontology_Ver0.5!$A$1681:$A$2208,SUBSTITUTE($A56,"{F}",N$17),SSC_Ontology_Ver0.5!$C$1681:$C$2208,$B56,SSC_Ontology_Ver0.5!$D$1681:$D$2208,SUBSTITUTE($C56,"{F}",N$17))</f>
        <v>1</v>
      </c>
      <c r="O56" s="15" t="str">
        <f>IF(OR($B56="rec:locatedIn",$B56="rec:feeds"),"Excluded - varies by room",IF(AND(MIN(D56:N56)=MAX(D56:N56),MAX(D56:N56)=1),"OK",IF(MIN(D56:N56)=0,"Not on all units","Duplicated")))</f>
        <v>OK</v>
      </c>
    </row>
    <row r="57" spans="1:15" x14ac:dyDescent="0.3">
      <c r="A57" s="13" t="s">
        <v>5038</v>
      </c>
      <c r="B57" s="14" t="s">
        <v>308</v>
      </c>
      <c r="C57" s="14" t="s">
        <v>5040</v>
      </c>
      <c r="D57" s="19">
        <f>COUNTIFS(SSC_Ontology_Ver0.5!$A$1681:$A$2208,SUBSTITUTE($A57,"{F}",D$17),SSC_Ontology_Ver0.5!$C$1681:$C$2208,$B57,SSC_Ontology_Ver0.5!$D$1681:$D$2208,SUBSTITUTE($C57,"{F}",D$17))</f>
        <v>1</v>
      </c>
      <c r="E57" s="19">
        <f>COUNTIFS(SSC_Ontology_Ver0.5!$A$1681:$A$2208,SUBSTITUTE($A57,"{F}",E$17),SSC_Ontology_Ver0.5!$C$1681:$C$2208,$B57,SSC_Ontology_Ver0.5!$D$1681:$D$2208,SUBSTITUTE($C57,"{F}",E$17))</f>
        <v>1</v>
      </c>
      <c r="F57" s="19">
        <f>COUNTIFS(SSC_Ontology_Ver0.5!$A$1681:$A$2208,SUBSTITUTE($A57,"{F}",F$17),SSC_Ontology_Ver0.5!$C$1681:$C$2208,$B57,SSC_Ontology_Ver0.5!$D$1681:$D$2208,SUBSTITUTE($C57,"{F}",F$17))</f>
        <v>1</v>
      </c>
      <c r="G57" s="19">
        <f>COUNTIFS(SSC_Ontology_Ver0.5!$A$1681:$A$2208,SUBSTITUTE($A57,"{F}",G$17),SSC_Ontology_Ver0.5!$C$1681:$C$2208,$B57,SSC_Ontology_Ver0.5!$D$1681:$D$2208,SUBSTITUTE($C57,"{F}",G$17))</f>
        <v>1</v>
      </c>
      <c r="H57" s="19">
        <f>COUNTIFS(SSC_Ontology_Ver0.5!$A$1681:$A$2208,SUBSTITUTE($A57,"{F}",H$17),SSC_Ontology_Ver0.5!$C$1681:$C$2208,$B57,SSC_Ontology_Ver0.5!$D$1681:$D$2208,SUBSTITUTE($C57,"{F}",H$17))</f>
        <v>1</v>
      </c>
      <c r="I57" s="19">
        <f>COUNTIFS(SSC_Ontology_Ver0.5!$A$1681:$A$2208,SUBSTITUTE($A57,"{F}",I$17),SSC_Ontology_Ver0.5!$C$1681:$C$2208,$B57,SSC_Ontology_Ver0.5!$D$1681:$D$2208,SUBSTITUTE($C57,"{F}",I$17))</f>
        <v>1</v>
      </c>
      <c r="J57" s="19">
        <f>COUNTIFS(SSC_Ontology_Ver0.5!$A$1681:$A$2208,SUBSTITUTE($A57,"{F}",J$17),SSC_Ontology_Ver0.5!$C$1681:$C$2208,$B57,SSC_Ontology_Ver0.5!$D$1681:$D$2208,SUBSTITUTE($C57,"{F}",J$17))</f>
        <v>1</v>
      </c>
      <c r="K57" s="19">
        <f>COUNTIFS(SSC_Ontology_Ver0.5!$A$1681:$A$2208,SUBSTITUTE($A57,"{F}",K$17),SSC_Ontology_Ver0.5!$C$1681:$C$2208,$B57,SSC_Ontology_Ver0.5!$D$1681:$D$2208,SUBSTITUTE($C57,"{F}",K$17))</f>
        <v>1</v>
      </c>
      <c r="L57" s="19">
        <f>COUNTIFS(SSC_Ontology_Ver0.5!$A$1681:$A$2208,SUBSTITUTE($A57,"{F}",L$17),SSC_Ontology_Ver0.5!$C$1681:$C$2208,$B57,SSC_Ontology_Ver0.5!$D$1681:$D$2208,SUBSTITUTE($C57,"{F}",L$17))</f>
        <v>1</v>
      </c>
      <c r="M57" s="19">
        <f>COUNTIFS(SSC_Ontology_Ver0.5!$A$1681:$A$2208,SUBSTITUTE($A57,"{F}",M$17),SSC_Ontology_Ver0.5!$C$1681:$C$2208,$B57,SSC_Ontology_Ver0.5!$D$1681:$D$2208,SUBSTITUTE($C57,"{F}",M$17))</f>
        <v>1</v>
      </c>
      <c r="N57" s="19">
        <f>COUNTIFS(SSC_Ontology_Ver0.5!$A$1681:$A$2208,SUBSTITUTE($A57,"{F}",N$17),SSC_Ontology_Ver0.5!$C$1681:$C$2208,$B57,SSC_Ontology_Ver0.5!$D$1681:$D$2208,SUBSTITUTE($C57,"{F}",N$17))</f>
        <v>1</v>
      </c>
      <c r="O57" s="15" t="str">
        <f>IF(OR($B57="rec:locatedIn",$B57="rec:feeds"),"Excluded - varies by room",IF(AND(MIN(D57:N57)=MAX(D57:N57),MAX(D57:N57)=1),"OK",IF(MIN(D57:N57)=0,"Not on all units","Duplicated")))</f>
        <v>OK</v>
      </c>
    </row>
    <row r="58" spans="1:15" x14ac:dyDescent="0.3">
      <c r="A58" s="13" t="s">
        <v>5039</v>
      </c>
      <c r="B58" s="14" t="s">
        <v>11</v>
      </c>
      <c r="C58" s="14" t="s">
        <v>12</v>
      </c>
      <c r="D58" s="19">
        <f>COUNTIFS(SSC_Ontology_Ver0.5!$A$1681:$A$2208,SUBSTITUTE($A58,"{F}",D$17),SSC_Ontology_Ver0.5!$C$1681:$C$2208,$B58,SSC_Ontology_Ver0.5!$D$1681:$D$2208,SUBSTITUTE($C58,"{F}",D$17))</f>
        <v>1</v>
      </c>
      <c r="E58" s="19">
        <f>COUNTIFS(SSC_Ontology_Ver0.5!$A$1681:$A$2208,SUBSTITUTE($A58,"{F}",E$17),SSC_Ontology_Ver0.5!$C$1681:$C$2208,$B58,SSC_Ontology_Ver0.5!$D$1681:$D$2208,SUBSTITUTE($C58,"{F}",E$17))</f>
        <v>1</v>
      </c>
      <c r="F58" s="19">
        <f>COUNTIFS(SSC_Ontology_Ver0.5!$A$1681:$A$2208,SUBSTITUTE($A58,"{F}",F$17),SSC_Ontology_Ver0.5!$C$1681:$C$2208,$B58,SSC_Ontology_Ver0.5!$D$1681:$D$2208,SUBSTITUTE($C58,"{F}",F$17))</f>
        <v>1</v>
      </c>
      <c r="G58" s="19">
        <f>COUNTIFS(SSC_Ontology_Ver0.5!$A$1681:$A$2208,SUBSTITUTE($A58,"{F}",G$17),SSC_Ontology_Ver0.5!$C$1681:$C$2208,$B58,SSC_Ontology_Ver0.5!$D$1681:$D$2208,SUBSTITUTE($C58,"{F}",G$17))</f>
        <v>1</v>
      </c>
      <c r="H58" s="19">
        <f>COUNTIFS(SSC_Ontology_Ver0.5!$A$1681:$A$2208,SUBSTITUTE($A58,"{F}",H$17),SSC_Ontology_Ver0.5!$C$1681:$C$2208,$B58,SSC_Ontology_Ver0.5!$D$1681:$D$2208,SUBSTITUTE($C58,"{F}",H$17))</f>
        <v>1</v>
      </c>
      <c r="I58" s="19">
        <f>COUNTIFS(SSC_Ontology_Ver0.5!$A$1681:$A$2208,SUBSTITUTE($A58,"{F}",I$17),SSC_Ontology_Ver0.5!$C$1681:$C$2208,$B58,SSC_Ontology_Ver0.5!$D$1681:$D$2208,SUBSTITUTE($C58,"{F}",I$17))</f>
        <v>1</v>
      </c>
      <c r="J58" s="19">
        <f>COUNTIFS(SSC_Ontology_Ver0.5!$A$1681:$A$2208,SUBSTITUTE($A58,"{F}",J$17),SSC_Ontology_Ver0.5!$C$1681:$C$2208,$B58,SSC_Ontology_Ver0.5!$D$1681:$D$2208,SUBSTITUTE($C58,"{F}",J$17))</f>
        <v>1</v>
      </c>
      <c r="K58" s="19">
        <f>COUNTIFS(SSC_Ontology_Ver0.5!$A$1681:$A$2208,SUBSTITUTE($A58,"{F}",K$17),SSC_Ontology_Ver0.5!$C$1681:$C$2208,$B58,SSC_Ontology_Ver0.5!$D$1681:$D$2208,SUBSTITUTE($C58,"{F}",K$17))</f>
        <v>1</v>
      </c>
      <c r="L58" s="19">
        <f>COUNTIFS(SSC_Ontology_Ver0.5!$A$1681:$A$2208,SUBSTITUTE($A58,"{F}",L$17),SSC_Ontology_Ver0.5!$C$1681:$C$2208,$B58,SSC_Ontology_Ver0.5!$D$1681:$D$2208,SUBSTITUTE($C58,"{F}",L$17))</f>
        <v>1</v>
      </c>
      <c r="M58" s="19">
        <f>COUNTIFS(SSC_Ontology_Ver0.5!$A$1681:$A$2208,SUBSTITUTE($A58,"{F}",M$17),SSC_Ontology_Ver0.5!$C$1681:$C$2208,$B58,SSC_Ontology_Ver0.5!$D$1681:$D$2208,SUBSTITUTE($C58,"{F}",M$17))</f>
        <v>1</v>
      </c>
      <c r="N58" s="19">
        <f>COUNTIFS(SSC_Ontology_Ver0.5!$A$1681:$A$2208,SUBSTITUTE($A58,"{F}",N$17),SSC_Ontology_Ver0.5!$C$1681:$C$2208,$B58,SSC_Ontology_Ver0.5!$D$1681:$D$2208,SUBSTITUTE($C58,"{F}",N$17))</f>
        <v>1</v>
      </c>
      <c r="O58" s="15" t="str">
        <f>IF(OR($B58="rec:locatedIn",$B58="rec:feeds"),"Excluded - varies by room",IF(AND(MIN(D58:N58)=MAX(D58:N58),MAX(D58:N58)=1),"OK",IF(MIN(D58:N58)=0,"Not on all units","Duplicated")))</f>
        <v>OK</v>
      </c>
    </row>
    <row r="59" spans="1:15" x14ac:dyDescent="0.3">
      <c r="A59" s="13" t="s">
        <v>5029</v>
      </c>
      <c r="B59" s="14" t="s">
        <v>11</v>
      </c>
      <c r="C59" s="14" t="s">
        <v>12</v>
      </c>
      <c r="D59" s="19">
        <f>COUNTIFS(SSC_Ontology_Ver0.5!$A$1681:$A$2208,SUBSTITUTE($A59,"{F}",D$17),SSC_Ontology_Ver0.5!$C$1681:$C$2208,$B59,SSC_Ontology_Ver0.5!$D$1681:$D$2208,SUBSTITUTE($C59,"{F}",D$17))</f>
        <v>1</v>
      </c>
      <c r="E59" s="19">
        <f>COUNTIFS(SSC_Ontology_Ver0.5!$A$1681:$A$2208,SUBSTITUTE($A59,"{F}",E$17),SSC_Ontology_Ver0.5!$C$1681:$C$2208,$B59,SSC_Ontology_Ver0.5!$D$1681:$D$2208,SUBSTITUTE($C59,"{F}",E$17))</f>
        <v>1</v>
      </c>
      <c r="F59" s="19">
        <f>COUNTIFS(SSC_Ontology_Ver0.5!$A$1681:$A$2208,SUBSTITUTE($A59,"{F}",F$17),SSC_Ontology_Ver0.5!$C$1681:$C$2208,$B59,SSC_Ontology_Ver0.5!$D$1681:$D$2208,SUBSTITUTE($C59,"{F}",F$17))</f>
        <v>1</v>
      </c>
      <c r="G59" s="19">
        <f>COUNTIFS(SSC_Ontology_Ver0.5!$A$1681:$A$2208,SUBSTITUTE($A59,"{F}",G$17),SSC_Ontology_Ver0.5!$C$1681:$C$2208,$B59,SSC_Ontology_Ver0.5!$D$1681:$D$2208,SUBSTITUTE($C59,"{F}",G$17))</f>
        <v>1</v>
      </c>
      <c r="H59" s="19">
        <f>COUNTIFS(SSC_Ontology_Ver0.5!$A$1681:$A$2208,SUBSTITUTE($A59,"{F}",H$17),SSC_Ontology_Ver0.5!$C$1681:$C$2208,$B59,SSC_Ontology_Ver0.5!$D$1681:$D$2208,SUBSTITUTE($C59,"{F}",H$17))</f>
        <v>1</v>
      </c>
      <c r="I59" s="19">
        <f>COUNTIFS(SSC_Ontology_Ver0.5!$A$1681:$A$2208,SUBSTITUTE($A59,"{F}",I$17),SSC_Ontology_Ver0.5!$C$1681:$C$2208,$B59,SSC_Ontology_Ver0.5!$D$1681:$D$2208,SUBSTITUTE($C59,"{F}",I$17))</f>
        <v>1</v>
      </c>
      <c r="J59" s="19">
        <f>COUNTIFS(SSC_Ontology_Ver0.5!$A$1681:$A$2208,SUBSTITUTE($A59,"{F}",J$17),SSC_Ontology_Ver0.5!$C$1681:$C$2208,$B59,SSC_Ontology_Ver0.5!$D$1681:$D$2208,SUBSTITUTE($C59,"{F}",J$17))</f>
        <v>1</v>
      </c>
      <c r="K59" s="19">
        <f>COUNTIFS(SSC_Ontology_Ver0.5!$A$1681:$A$2208,SUBSTITUTE($A59,"{F}",K$17),SSC_Ontology_Ver0.5!$C$1681:$C$2208,$B59,SSC_Ontology_Ver0.5!$D$1681:$D$2208,SUBSTITUTE($C59,"{F}",K$17))</f>
        <v>1</v>
      </c>
      <c r="L59" s="19">
        <f>COUNTIFS(SSC_Ontology_Ver0.5!$A$1681:$A$2208,SUBSTITUTE($A59,"{F}",L$17),SSC_Ontology_Ver0.5!$C$1681:$C$2208,$B59,SSC_Ontology_Ver0.5!$D$1681:$D$2208,SUBSTITUTE($C59,"{F}",L$17))</f>
        <v>1</v>
      </c>
      <c r="M59" s="19">
        <f>COUNTIFS(SSC_Ontology_Ver0.5!$A$1681:$A$2208,SUBSTITUTE($A59,"{F}",M$17),SSC_Ontology_Ver0.5!$C$1681:$C$2208,$B59,SSC_Ontology_Ver0.5!$D$1681:$D$2208,SUBSTITUTE($C59,"{F}",M$17))</f>
        <v>1</v>
      </c>
      <c r="N59" s="19">
        <f>COUNTIFS(SSC_Ontology_Ver0.5!$A$1681:$A$2208,SUBSTITUTE($A59,"{F}",N$17),SSC_Ontology_Ver0.5!$C$1681:$C$2208,$B59,SSC_Ontology_Ver0.5!$D$1681:$D$2208,SUBSTITUTE($C59,"{F}",N$17))</f>
        <v>1</v>
      </c>
      <c r="O59" s="15" t="str">
        <f>IF(OR($B59="rec:locatedIn",$B59="rec:feeds"),"Excluded - varies by room",IF(AND(MIN(D59:N59)=MAX(D59:N59),MAX(D59:N59)=1),"OK",IF(MIN(D59:N59)=0,"Not on all units","Duplicated")))</f>
        <v>OK</v>
      </c>
    </row>
    <row r="60" spans="1:15" x14ac:dyDescent="0.3">
      <c r="A60" s="13" t="s">
        <v>5040</v>
      </c>
      <c r="B60" s="14" t="s">
        <v>11</v>
      </c>
      <c r="C60" s="14" t="s">
        <v>12</v>
      </c>
      <c r="D60" s="19">
        <f>COUNTIFS(SSC_Ontology_Ver0.5!$A$1681:$A$2208,SUBSTITUTE($A60,"{F}",D$17),SSC_Ontology_Ver0.5!$C$1681:$C$2208,$B60,SSC_Ontology_Ver0.5!$D$1681:$D$2208,SUBSTITUTE($C60,"{F}",D$17))</f>
        <v>1</v>
      </c>
      <c r="E60" s="19">
        <f>COUNTIFS(SSC_Ontology_Ver0.5!$A$1681:$A$2208,SUBSTITUTE($A60,"{F}",E$17),SSC_Ontology_Ver0.5!$C$1681:$C$2208,$B60,SSC_Ontology_Ver0.5!$D$1681:$D$2208,SUBSTITUTE($C60,"{F}",E$17))</f>
        <v>1</v>
      </c>
      <c r="F60" s="19">
        <f>COUNTIFS(SSC_Ontology_Ver0.5!$A$1681:$A$2208,SUBSTITUTE($A60,"{F}",F$17),SSC_Ontology_Ver0.5!$C$1681:$C$2208,$B60,SSC_Ontology_Ver0.5!$D$1681:$D$2208,SUBSTITUTE($C60,"{F}",F$17))</f>
        <v>1</v>
      </c>
      <c r="G60" s="19">
        <f>COUNTIFS(SSC_Ontology_Ver0.5!$A$1681:$A$2208,SUBSTITUTE($A60,"{F}",G$17),SSC_Ontology_Ver0.5!$C$1681:$C$2208,$B60,SSC_Ontology_Ver0.5!$D$1681:$D$2208,SUBSTITUTE($C60,"{F}",G$17))</f>
        <v>1</v>
      </c>
      <c r="H60" s="19">
        <f>COUNTIFS(SSC_Ontology_Ver0.5!$A$1681:$A$2208,SUBSTITUTE($A60,"{F}",H$17),SSC_Ontology_Ver0.5!$C$1681:$C$2208,$B60,SSC_Ontology_Ver0.5!$D$1681:$D$2208,SUBSTITUTE($C60,"{F}",H$17))</f>
        <v>1</v>
      </c>
      <c r="I60" s="19">
        <f>COUNTIFS(SSC_Ontology_Ver0.5!$A$1681:$A$2208,SUBSTITUTE($A60,"{F}",I$17),SSC_Ontology_Ver0.5!$C$1681:$C$2208,$B60,SSC_Ontology_Ver0.5!$D$1681:$D$2208,SUBSTITUTE($C60,"{F}",I$17))</f>
        <v>1</v>
      </c>
      <c r="J60" s="19">
        <f>COUNTIFS(SSC_Ontology_Ver0.5!$A$1681:$A$2208,SUBSTITUTE($A60,"{F}",J$17),SSC_Ontology_Ver0.5!$C$1681:$C$2208,$B60,SSC_Ontology_Ver0.5!$D$1681:$D$2208,SUBSTITUTE($C60,"{F}",J$17))</f>
        <v>1</v>
      </c>
      <c r="K60" s="19">
        <f>COUNTIFS(SSC_Ontology_Ver0.5!$A$1681:$A$2208,SUBSTITUTE($A60,"{F}",K$17),SSC_Ontology_Ver0.5!$C$1681:$C$2208,$B60,SSC_Ontology_Ver0.5!$D$1681:$D$2208,SUBSTITUTE($C60,"{F}",K$17))</f>
        <v>1</v>
      </c>
      <c r="L60" s="19">
        <f>COUNTIFS(SSC_Ontology_Ver0.5!$A$1681:$A$2208,SUBSTITUTE($A60,"{F}",L$17),SSC_Ontology_Ver0.5!$C$1681:$C$2208,$B60,SSC_Ontology_Ver0.5!$D$1681:$D$2208,SUBSTITUTE($C60,"{F}",L$17))</f>
        <v>1</v>
      </c>
      <c r="M60" s="19">
        <f>COUNTIFS(SSC_Ontology_Ver0.5!$A$1681:$A$2208,SUBSTITUTE($A60,"{F}",M$17),SSC_Ontology_Ver0.5!$C$1681:$C$2208,$B60,SSC_Ontology_Ver0.5!$D$1681:$D$2208,SUBSTITUTE($C60,"{F}",M$17))</f>
        <v>1</v>
      </c>
      <c r="N60" s="19">
        <f>COUNTIFS(SSC_Ontology_Ver0.5!$A$1681:$A$2208,SUBSTITUTE($A60,"{F}",N$17),SSC_Ontology_Ver0.5!$C$1681:$C$2208,$B60,SSC_Ontology_Ver0.5!$D$1681:$D$2208,SUBSTITUTE($C60,"{F}",N$17))</f>
        <v>1</v>
      </c>
      <c r="O60" s="15" t="str">
        <f>IF(OR($B60="rec:locatedIn",$B60="rec:feeds"),"Excluded - varies by room",IF(AND(MIN(D60:N60)=MAX(D60:N60),MAX(D60:N60)=1),"OK",IF(MIN(D60:N60)=0,"Not on all units","Duplicated")))</f>
        <v>OK</v>
      </c>
    </row>
    <row r="61" spans="1:15" x14ac:dyDescent="0.3">
      <c r="A61" s="13" t="s">
        <v>5030</v>
      </c>
      <c r="B61" s="14" t="s">
        <v>11</v>
      </c>
      <c r="C61" s="14" t="s">
        <v>12</v>
      </c>
      <c r="D61" s="19">
        <f>COUNTIFS(SSC_Ontology_Ver0.5!$A$1681:$A$2208,SUBSTITUTE($A61,"{F}",D$17),SSC_Ontology_Ver0.5!$C$1681:$C$2208,$B61,SSC_Ontology_Ver0.5!$D$1681:$D$2208,SUBSTITUTE($C61,"{F}",D$17))</f>
        <v>1</v>
      </c>
      <c r="E61" s="19">
        <f>COUNTIFS(SSC_Ontology_Ver0.5!$A$1681:$A$2208,SUBSTITUTE($A61,"{F}",E$17),SSC_Ontology_Ver0.5!$C$1681:$C$2208,$B61,SSC_Ontology_Ver0.5!$D$1681:$D$2208,SUBSTITUTE($C61,"{F}",E$17))</f>
        <v>1</v>
      </c>
      <c r="F61" s="19">
        <f>COUNTIFS(SSC_Ontology_Ver0.5!$A$1681:$A$2208,SUBSTITUTE($A61,"{F}",F$17),SSC_Ontology_Ver0.5!$C$1681:$C$2208,$B61,SSC_Ontology_Ver0.5!$D$1681:$D$2208,SUBSTITUTE($C61,"{F}",F$17))</f>
        <v>1</v>
      </c>
      <c r="G61" s="19">
        <f>COUNTIFS(SSC_Ontology_Ver0.5!$A$1681:$A$2208,SUBSTITUTE($A61,"{F}",G$17),SSC_Ontology_Ver0.5!$C$1681:$C$2208,$B61,SSC_Ontology_Ver0.5!$D$1681:$D$2208,SUBSTITUTE($C61,"{F}",G$17))</f>
        <v>1</v>
      </c>
      <c r="H61" s="19">
        <f>COUNTIFS(SSC_Ontology_Ver0.5!$A$1681:$A$2208,SUBSTITUTE($A61,"{F}",H$17),SSC_Ontology_Ver0.5!$C$1681:$C$2208,$B61,SSC_Ontology_Ver0.5!$D$1681:$D$2208,SUBSTITUTE($C61,"{F}",H$17))</f>
        <v>1</v>
      </c>
      <c r="I61" s="19">
        <f>COUNTIFS(SSC_Ontology_Ver0.5!$A$1681:$A$2208,SUBSTITUTE($A61,"{F}",I$17),SSC_Ontology_Ver0.5!$C$1681:$C$2208,$B61,SSC_Ontology_Ver0.5!$D$1681:$D$2208,SUBSTITUTE($C61,"{F}",I$17))</f>
        <v>1</v>
      </c>
      <c r="J61" s="19">
        <f>COUNTIFS(SSC_Ontology_Ver0.5!$A$1681:$A$2208,SUBSTITUTE($A61,"{F}",J$17),SSC_Ontology_Ver0.5!$C$1681:$C$2208,$B61,SSC_Ontology_Ver0.5!$D$1681:$D$2208,SUBSTITUTE($C61,"{F}",J$17))</f>
        <v>1</v>
      </c>
      <c r="K61" s="19">
        <f>COUNTIFS(SSC_Ontology_Ver0.5!$A$1681:$A$2208,SUBSTITUTE($A61,"{F}",K$17),SSC_Ontology_Ver0.5!$C$1681:$C$2208,$B61,SSC_Ontology_Ver0.5!$D$1681:$D$2208,SUBSTITUTE($C61,"{F}",K$17))</f>
        <v>1</v>
      </c>
      <c r="L61" s="19">
        <f>COUNTIFS(SSC_Ontology_Ver0.5!$A$1681:$A$2208,SUBSTITUTE($A61,"{F}",L$17),SSC_Ontology_Ver0.5!$C$1681:$C$2208,$B61,SSC_Ontology_Ver0.5!$D$1681:$D$2208,SUBSTITUTE($C61,"{F}",L$17))</f>
        <v>1</v>
      </c>
      <c r="M61" s="19">
        <f>COUNTIFS(SSC_Ontology_Ver0.5!$A$1681:$A$2208,SUBSTITUTE($A61,"{F}",M$17),SSC_Ontology_Ver0.5!$C$1681:$C$2208,$B61,SSC_Ontology_Ver0.5!$D$1681:$D$2208,SUBSTITUTE($C61,"{F}",M$17))</f>
        <v>1</v>
      </c>
      <c r="N61" s="19">
        <f>COUNTIFS(SSC_Ontology_Ver0.5!$A$1681:$A$2208,SUBSTITUTE($A61,"{F}",N$17),SSC_Ontology_Ver0.5!$C$1681:$C$2208,$B61,SSC_Ontology_Ver0.5!$D$1681:$D$2208,SUBSTITUTE($C61,"{F}",N$17))</f>
        <v>1</v>
      </c>
      <c r="O61" s="15" t="str">
        <f>IF(OR($B61="rec:locatedIn",$B61="rec:feeds"),"Excluded - varies by room",IF(AND(MIN(D61:N61)=MAX(D61:N61),MAX(D61:N61)=1),"OK",IF(MIN(D61:N61)=0,"Not on all units","Duplicated")))</f>
        <v>OK</v>
      </c>
    </row>
    <row r="62" spans="1:15" x14ac:dyDescent="0.3">
      <c r="A62" s="13" t="s">
        <v>5032</v>
      </c>
      <c r="B62" s="14" t="s">
        <v>11</v>
      </c>
      <c r="C62" s="14" t="s">
        <v>12</v>
      </c>
      <c r="D62" s="19">
        <f>COUNTIFS(SSC_Ontology_Ver0.5!$A$1681:$A$2208,SUBSTITUTE($A62,"{F}",D$17),SSC_Ontology_Ver0.5!$C$1681:$C$2208,$B62,SSC_Ontology_Ver0.5!$D$1681:$D$2208,SUBSTITUTE($C62,"{F}",D$17))</f>
        <v>1</v>
      </c>
      <c r="E62" s="19">
        <f>COUNTIFS(SSC_Ontology_Ver0.5!$A$1681:$A$2208,SUBSTITUTE($A62,"{F}",E$17),SSC_Ontology_Ver0.5!$C$1681:$C$2208,$B62,SSC_Ontology_Ver0.5!$D$1681:$D$2208,SUBSTITUTE($C62,"{F}",E$17))</f>
        <v>1</v>
      </c>
      <c r="F62" s="19">
        <f>COUNTIFS(SSC_Ontology_Ver0.5!$A$1681:$A$2208,SUBSTITUTE($A62,"{F}",F$17),SSC_Ontology_Ver0.5!$C$1681:$C$2208,$B62,SSC_Ontology_Ver0.5!$D$1681:$D$2208,SUBSTITUTE($C62,"{F}",F$17))</f>
        <v>1</v>
      </c>
      <c r="G62" s="19">
        <f>COUNTIFS(SSC_Ontology_Ver0.5!$A$1681:$A$2208,SUBSTITUTE($A62,"{F}",G$17),SSC_Ontology_Ver0.5!$C$1681:$C$2208,$B62,SSC_Ontology_Ver0.5!$D$1681:$D$2208,SUBSTITUTE($C62,"{F}",G$17))</f>
        <v>1</v>
      </c>
      <c r="H62" s="19">
        <f>COUNTIFS(SSC_Ontology_Ver0.5!$A$1681:$A$2208,SUBSTITUTE($A62,"{F}",H$17),SSC_Ontology_Ver0.5!$C$1681:$C$2208,$B62,SSC_Ontology_Ver0.5!$D$1681:$D$2208,SUBSTITUTE($C62,"{F}",H$17))</f>
        <v>1</v>
      </c>
      <c r="I62" s="19">
        <f>COUNTIFS(SSC_Ontology_Ver0.5!$A$1681:$A$2208,SUBSTITUTE($A62,"{F}",I$17),SSC_Ontology_Ver0.5!$C$1681:$C$2208,$B62,SSC_Ontology_Ver0.5!$D$1681:$D$2208,SUBSTITUTE($C62,"{F}",I$17))</f>
        <v>1</v>
      </c>
      <c r="J62" s="19">
        <f>COUNTIFS(SSC_Ontology_Ver0.5!$A$1681:$A$2208,SUBSTITUTE($A62,"{F}",J$17),SSC_Ontology_Ver0.5!$C$1681:$C$2208,$B62,SSC_Ontology_Ver0.5!$D$1681:$D$2208,SUBSTITUTE($C62,"{F}",J$17))</f>
        <v>1</v>
      </c>
      <c r="K62" s="19">
        <f>COUNTIFS(SSC_Ontology_Ver0.5!$A$1681:$A$2208,SUBSTITUTE($A62,"{F}",K$17),SSC_Ontology_Ver0.5!$C$1681:$C$2208,$B62,SSC_Ontology_Ver0.5!$D$1681:$D$2208,SUBSTITUTE($C62,"{F}",K$17))</f>
        <v>1</v>
      </c>
      <c r="L62" s="19">
        <f>COUNTIFS(SSC_Ontology_Ver0.5!$A$1681:$A$2208,SUBSTITUTE($A62,"{F}",L$17),SSC_Ontology_Ver0.5!$C$1681:$C$2208,$B62,SSC_Ontology_Ver0.5!$D$1681:$D$2208,SUBSTITUTE($C62,"{F}",L$17))</f>
        <v>1</v>
      </c>
      <c r="M62" s="19">
        <f>COUNTIFS(SSC_Ontology_Ver0.5!$A$1681:$A$2208,SUBSTITUTE($A62,"{F}",M$17),SSC_Ontology_Ver0.5!$C$1681:$C$2208,$B62,SSC_Ontology_Ver0.5!$D$1681:$D$2208,SUBSTITUTE($C62,"{F}",M$17))</f>
        <v>1</v>
      </c>
      <c r="N62" s="19">
        <f>COUNTIFS(SSC_Ontology_Ver0.5!$A$1681:$A$2208,SUBSTITUTE($A62,"{F}",N$17),SSC_Ontology_Ver0.5!$C$1681:$C$2208,$B62,SSC_Ontology_Ver0.5!$D$1681:$D$2208,SUBSTITUTE($C62,"{F}",N$17))</f>
        <v>1</v>
      </c>
      <c r="O62" s="15" t="str">
        <f>IF(OR($B62="rec:locatedIn",$B62="rec:feeds"),"Excluded - varies by room",IF(AND(MIN(D62:N62)=MAX(D62:N62),MAX(D62:N62)=1),"OK",IF(MIN(D62:N62)=0,"Not on all units","Duplicated")))</f>
        <v>OK</v>
      </c>
    </row>
    <row r="63" spans="1:15" x14ac:dyDescent="0.3">
      <c r="A63" s="13" t="s">
        <v>5023</v>
      </c>
      <c r="B63" s="14" t="s">
        <v>11</v>
      </c>
      <c r="C63" s="14" t="s">
        <v>12</v>
      </c>
      <c r="D63" s="19">
        <f>COUNTIFS(SSC_Ontology_Ver0.5!$A$1681:$A$2208,SUBSTITUTE($A63,"{F}",D$17),SSC_Ontology_Ver0.5!$C$1681:$C$2208,$B63,SSC_Ontology_Ver0.5!$D$1681:$D$2208,SUBSTITUTE($C63,"{F}",D$17))</f>
        <v>1</v>
      </c>
      <c r="E63" s="19">
        <f>COUNTIFS(SSC_Ontology_Ver0.5!$A$1681:$A$2208,SUBSTITUTE($A63,"{F}",E$17),SSC_Ontology_Ver0.5!$C$1681:$C$2208,$B63,SSC_Ontology_Ver0.5!$D$1681:$D$2208,SUBSTITUTE($C63,"{F}",E$17))</f>
        <v>1</v>
      </c>
      <c r="F63" s="19">
        <f>COUNTIFS(SSC_Ontology_Ver0.5!$A$1681:$A$2208,SUBSTITUTE($A63,"{F}",F$17),SSC_Ontology_Ver0.5!$C$1681:$C$2208,$B63,SSC_Ontology_Ver0.5!$D$1681:$D$2208,SUBSTITUTE($C63,"{F}",F$17))</f>
        <v>1</v>
      </c>
      <c r="G63" s="19">
        <f>COUNTIFS(SSC_Ontology_Ver0.5!$A$1681:$A$2208,SUBSTITUTE($A63,"{F}",G$17),SSC_Ontology_Ver0.5!$C$1681:$C$2208,$B63,SSC_Ontology_Ver0.5!$D$1681:$D$2208,SUBSTITUTE($C63,"{F}",G$17))</f>
        <v>1</v>
      </c>
      <c r="H63" s="19">
        <f>COUNTIFS(SSC_Ontology_Ver0.5!$A$1681:$A$2208,SUBSTITUTE($A63,"{F}",H$17),SSC_Ontology_Ver0.5!$C$1681:$C$2208,$B63,SSC_Ontology_Ver0.5!$D$1681:$D$2208,SUBSTITUTE($C63,"{F}",H$17))</f>
        <v>1</v>
      </c>
      <c r="I63" s="19">
        <f>COUNTIFS(SSC_Ontology_Ver0.5!$A$1681:$A$2208,SUBSTITUTE($A63,"{F}",I$17),SSC_Ontology_Ver0.5!$C$1681:$C$2208,$B63,SSC_Ontology_Ver0.5!$D$1681:$D$2208,SUBSTITUTE($C63,"{F}",I$17))</f>
        <v>1</v>
      </c>
      <c r="J63" s="19">
        <f>COUNTIFS(SSC_Ontology_Ver0.5!$A$1681:$A$2208,SUBSTITUTE($A63,"{F}",J$17),SSC_Ontology_Ver0.5!$C$1681:$C$2208,$B63,SSC_Ontology_Ver0.5!$D$1681:$D$2208,SUBSTITUTE($C63,"{F}",J$17))</f>
        <v>1</v>
      </c>
      <c r="K63" s="19">
        <f>COUNTIFS(SSC_Ontology_Ver0.5!$A$1681:$A$2208,SUBSTITUTE($A63,"{F}",K$17),SSC_Ontology_Ver0.5!$C$1681:$C$2208,$B63,SSC_Ontology_Ver0.5!$D$1681:$D$2208,SUBSTITUTE($C63,"{F}",K$17))</f>
        <v>1</v>
      </c>
      <c r="L63" s="19">
        <f>COUNTIFS(SSC_Ontology_Ver0.5!$A$1681:$A$2208,SUBSTITUTE($A63,"{F}",L$17),SSC_Ontology_Ver0.5!$C$1681:$C$2208,$B63,SSC_Ontology_Ver0.5!$D$1681:$D$2208,SUBSTITUTE($C63,"{F}",L$17))</f>
        <v>1</v>
      </c>
      <c r="M63" s="19">
        <f>COUNTIFS(SSC_Ontology_Ver0.5!$A$1681:$A$2208,SUBSTITUTE($A63,"{F}",M$17),SSC_Ontology_Ver0.5!$C$1681:$C$2208,$B63,SSC_Ontology_Ver0.5!$D$1681:$D$2208,SUBSTITUTE($C63,"{F}",M$17))</f>
        <v>1</v>
      </c>
      <c r="N63" s="19">
        <f>COUNTIFS(SSC_Ontology_Ver0.5!$A$1681:$A$2208,SUBSTITUTE($A63,"{F}",N$17),SSC_Ontology_Ver0.5!$C$1681:$C$2208,$B63,SSC_Ontology_Ver0.5!$D$1681:$D$2208,SUBSTITUTE($C63,"{F}",N$17))</f>
        <v>1</v>
      </c>
      <c r="O63" s="15" t="str">
        <f>IF(OR($B63="rec:locatedIn",$B63="rec:feeds"),"Excluded - varies by room",IF(AND(MIN(D63:N63)=MAX(D63:N63),MAX(D63:N63)=1),"OK",IF(MIN(D63:N63)=0,"Not on all units","Duplicated")))</f>
        <v>OK</v>
      </c>
    </row>
    <row r="64" spans="1:15" x14ac:dyDescent="0.3">
      <c r="A64" s="13" t="s">
        <v>5028</v>
      </c>
      <c r="B64" s="14" t="s">
        <v>11</v>
      </c>
      <c r="C64" s="14" t="s">
        <v>12</v>
      </c>
      <c r="D64" s="19">
        <f>COUNTIFS(SSC_Ontology_Ver0.5!$A$1681:$A$2208,SUBSTITUTE($A64,"{F}",D$17),SSC_Ontology_Ver0.5!$C$1681:$C$2208,$B64,SSC_Ontology_Ver0.5!$D$1681:$D$2208,SUBSTITUTE($C64,"{F}",D$17))</f>
        <v>1</v>
      </c>
      <c r="E64" s="19">
        <f>COUNTIFS(SSC_Ontology_Ver0.5!$A$1681:$A$2208,SUBSTITUTE($A64,"{F}",E$17),SSC_Ontology_Ver0.5!$C$1681:$C$2208,$B64,SSC_Ontology_Ver0.5!$D$1681:$D$2208,SUBSTITUTE($C64,"{F}",E$17))</f>
        <v>1</v>
      </c>
      <c r="F64" s="19">
        <f>COUNTIFS(SSC_Ontology_Ver0.5!$A$1681:$A$2208,SUBSTITUTE($A64,"{F}",F$17),SSC_Ontology_Ver0.5!$C$1681:$C$2208,$B64,SSC_Ontology_Ver0.5!$D$1681:$D$2208,SUBSTITUTE($C64,"{F}",F$17))</f>
        <v>1</v>
      </c>
      <c r="G64" s="19">
        <f>COUNTIFS(SSC_Ontology_Ver0.5!$A$1681:$A$2208,SUBSTITUTE($A64,"{F}",G$17),SSC_Ontology_Ver0.5!$C$1681:$C$2208,$B64,SSC_Ontology_Ver0.5!$D$1681:$D$2208,SUBSTITUTE($C64,"{F}",G$17))</f>
        <v>1</v>
      </c>
      <c r="H64" s="19">
        <f>COUNTIFS(SSC_Ontology_Ver0.5!$A$1681:$A$2208,SUBSTITUTE($A64,"{F}",H$17),SSC_Ontology_Ver0.5!$C$1681:$C$2208,$B64,SSC_Ontology_Ver0.5!$D$1681:$D$2208,SUBSTITUTE($C64,"{F}",H$17))</f>
        <v>1</v>
      </c>
      <c r="I64" s="19">
        <f>COUNTIFS(SSC_Ontology_Ver0.5!$A$1681:$A$2208,SUBSTITUTE($A64,"{F}",I$17),SSC_Ontology_Ver0.5!$C$1681:$C$2208,$B64,SSC_Ontology_Ver0.5!$D$1681:$D$2208,SUBSTITUTE($C64,"{F}",I$17))</f>
        <v>1</v>
      </c>
      <c r="J64" s="19">
        <f>COUNTIFS(SSC_Ontology_Ver0.5!$A$1681:$A$2208,SUBSTITUTE($A64,"{F}",J$17),SSC_Ontology_Ver0.5!$C$1681:$C$2208,$B64,SSC_Ontology_Ver0.5!$D$1681:$D$2208,SUBSTITUTE($C64,"{F}",J$17))</f>
        <v>1</v>
      </c>
      <c r="K64" s="19">
        <f>COUNTIFS(SSC_Ontology_Ver0.5!$A$1681:$A$2208,SUBSTITUTE($A64,"{F}",K$17),SSC_Ontology_Ver0.5!$C$1681:$C$2208,$B64,SSC_Ontology_Ver0.5!$D$1681:$D$2208,SUBSTITUTE($C64,"{F}",K$17))</f>
        <v>1</v>
      </c>
      <c r="L64" s="19">
        <f>COUNTIFS(SSC_Ontology_Ver0.5!$A$1681:$A$2208,SUBSTITUTE($A64,"{F}",L$17),SSC_Ontology_Ver0.5!$C$1681:$C$2208,$B64,SSC_Ontology_Ver0.5!$D$1681:$D$2208,SUBSTITUTE($C64,"{F}",L$17))</f>
        <v>1</v>
      </c>
      <c r="M64" s="19">
        <f>COUNTIFS(SSC_Ontology_Ver0.5!$A$1681:$A$2208,SUBSTITUTE($A64,"{F}",M$17),SSC_Ontology_Ver0.5!$C$1681:$C$2208,$B64,SSC_Ontology_Ver0.5!$D$1681:$D$2208,SUBSTITUTE($C64,"{F}",M$17))</f>
        <v>1</v>
      </c>
      <c r="N64" s="19">
        <f>COUNTIFS(SSC_Ontology_Ver0.5!$A$1681:$A$2208,SUBSTITUTE($A64,"{F}",N$17),SSC_Ontology_Ver0.5!$C$1681:$C$2208,$B64,SSC_Ontology_Ver0.5!$D$1681:$D$2208,SUBSTITUTE($C64,"{F}",N$17))</f>
        <v>1</v>
      </c>
      <c r="O64" s="15" t="str">
        <f>IF(OR($B64="rec:locatedIn",$B64="rec:feeds"),"Excluded - varies by room",IF(AND(MIN(D64:N64)=MAX(D64:N64),MAX(D64:N64)=1),"OK",IF(MIN(D64:N64)=0,"Not on all units","Duplicated")))</f>
        <v>OK</v>
      </c>
    </row>
    <row r="65" spans="1:15" x14ac:dyDescent="0.3">
      <c r="A65" s="13" t="s">
        <v>5022</v>
      </c>
      <c r="B65" s="14" t="s">
        <v>11</v>
      </c>
      <c r="C65" s="14" t="s">
        <v>12</v>
      </c>
      <c r="D65" s="19">
        <f>COUNTIFS(SSC_Ontology_Ver0.5!$A$1681:$A$2208,SUBSTITUTE($A65,"{F}",D$17),SSC_Ontology_Ver0.5!$C$1681:$C$2208,$B65,SSC_Ontology_Ver0.5!$D$1681:$D$2208,SUBSTITUTE($C65,"{F}",D$17))</f>
        <v>1</v>
      </c>
      <c r="E65" s="19">
        <f>COUNTIFS(SSC_Ontology_Ver0.5!$A$1681:$A$2208,SUBSTITUTE($A65,"{F}",E$17),SSC_Ontology_Ver0.5!$C$1681:$C$2208,$B65,SSC_Ontology_Ver0.5!$D$1681:$D$2208,SUBSTITUTE($C65,"{F}",E$17))</f>
        <v>1</v>
      </c>
      <c r="F65" s="19">
        <f>COUNTIFS(SSC_Ontology_Ver0.5!$A$1681:$A$2208,SUBSTITUTE($A65,"{F}",F$17),SSC_Ontology_Ver0.5!$C$1681:$C$2208,$B65,SSC_Ontology_Ver0.5!$D$1681:$D$2208,SUBSTITUTE($C65,"{F}",F$17))</f>
        <v>1</v>
      </c>
      <c r="G65" s="19">
        <f>COUNTIFS(SSC_Ontology_Ver0.5!$A$1681:$A$2208,SUBSTITUTE($A65,"{F}",G$17),SSC_Ontology_Ver0.5!$C$1681:$C$2208,$B65,SSC_Ontology_Ver0.5!$D$1681:$D$2208,SUBSTITUTE($C65,"{F}",G$17))</f>
        <v>1</v>
      </c>
      <c r="H65" s="19">
        <f>COUNTIFS(SSC_Ontology_Ver0.5!$A$1681:$A$2208,SUBSTITUTE($A65,"{F}",H$17),SSC_Ontology_Ver0.5!$C$1681:$C$2208,$B65,SSC_Ontology_Ver0.5!$D$1681:$D$2208,SUBSTITUTE($C65,"{F}",H$17))</f>
        <v>1</v>
      </c>
      <c r="I65" s="19">
        <f>COUNTIFS(SSC_Ontology_Ver0.5!$A$1681:$A$2208,SUBSTITUTE($A65,"{F}",I$17),SSC_Ontology_Ver0.5!$C$1681:$C$2208,$B65,SSC_Ontology_Ver0.5!$D$1681:$D$2208,SUBSTITUTE($C65,"{F}",I$17))</f>
        <v>1</v>
      </c>
      <c r="J65" s="19">
        <f>COUNTIFS(SSC_Ontology_Ver0.5!$A$1681:$A$2208,SUBSTITUTE($A65,"{F}",J$17),SSC_Ontology_Ver0.5!$C$1681:$C$2208,$B65,SSC_Ontology_Ver0.5!$D$1681:$D$2208,SUBSTITUTE($C65,"{F}",J$17))</f>
        <v>1</v>
      </c>
      <c r="K65" s="19">
        <f>COUNTIFS(SSC_Ontology_Ver0.5!$A$1681:$A$2208,SUBSTITUTE($A65,"{F}",K$17),SSC_Ontology_Ver0.5!$C$1681:$C$2208,$B65,SSC_Ontology_Ver0.5!$D$1681:$D$2208,SUBSTITUTE($C65,"{F}",K$17))</f>
        <v>1</v>
      </c>
      <c r="L65" s="19">
        <f>COUNTIFS(SSC_Ontology_Ver0.5!$A$1681:$A$2208,SUBSTITUTE($A65,"{F}",L$17),SSC_Ontology_Ver0.5!$C$1681:$C$2208,$B65,SSC_Ontology_Ver0.5!$D$1681:$D$2208,SUBSTITUTE($C65,"{F}",L$17))</f>
        <v>1</v>
      </c>
      <c r="M65" s="19">
        <f>COUNTIFS(SSC_Ontology_Ver0.5!$A$1681:$A$2208,SUBSTITUTE($A65,"{F}",M$17),SSC_Ontology_Ver0.5!$C$1681:$C$2208,$B65,SSC_Ontology_Ver0.5!$D$1681:$D$2208,SUBSTITUTE($C65,"{F}",M$17))</f>
        <v>1</v>
      </c>
      <c r="N65" s="19">
        <f>COUNTIFS(SSC_Ontology_Ver0.5!$A$1681:$A$2208,SUBSTITUTE($A65,"{F}",N$17),SSC_Ontology_Ver0.5!$C$1681:$C$2208,$B65,SSC_Ontology_Ver0.5!$D$1681:$D$2208,SUBSTITUTE($C65,"{F}",N$17))</f>
        <v>1</v>
      </c>
      <c r="O65" s="15" t="str">
        <f>IF(OR($B65="rec:locatedIn",$B65="rec:feeds"),"Excluded - varies by room",IF(AND(MIN(D65:N65)=MAX(D65:N65),MAX(D65:N65)=1),"OK",IF(MIN(D65:N65)=0,"Not on all units","Duplicated")))</f>
        <v>OK</v>
      </c>
    </row>
    <row r="66" spans="1:15" x14ac:dyDescent="0.3">
      <c r="A66" s="13" t="s">
        <v>5016</v>
      </c>
      <c r="B66" s="14" t="s">
        <v>1692</v>
      </c>
      <c r="C66" s="14" t="s">
        <v>1095</v>
      </c>
      <c r="D66" s="19">
        <f>COUNTIFS(SSC_Ontology_Ver0.5!$A$1681:$A$2208,SUBSTITUTE($A66,"{F}",D$17),SSC_Ontology_Ver0.5!$C$1681:$C$2208,$B66,SSC_Ontology_Ver0.5!$D$1681:$D$2208,SUBSTITUTE($C66,"{F}",D$17))</f>
        <v>0</v>
      </c>
      <c r="E66" s="19">
        <f>COUNTIFS(SSC_Ontology_Ver0.5!$A$1681:$A$2208,SUBSTITUTE($A66,"{F}",E$17),SSC_Ontology_Ver0.5!$C$1681:$C$2208,$B66,SSC_Ontology_Ver0.5!$D$1681:$D$2208,SUBSTITUTE($C66,"{F}",E$17))</f>
        <v>1</v>
      </c>
      <c r="F66" s="19">
        <f>COUNTIFS(SSC_Ontology_Ver0.5!$A$1681:$A$2208,SUBSTITUTE($A66,"{F}",F$17),SSC_Ontology_Ver0.5!$C$1681:$C$2208,$B66,SSC_Ontology_Ver0.5!$D$1681:$D$2208,SUBSTITUTE($C66,"{F}",F$17))</f>
        <v>0</v>
      </c>
      <c r="G66" s="19">
        <f>COUNTIFS(SSC_Ontology_Ver0.5!$A$1681:$A$2208,SUBSTITUTE($A66,"{F}",G$17),SSC_Ontology_Ver0.5!$C$1681:$C$2208,$B66,SSC_Ontology_Ver0.5!$D$1681:$D$2208,SUBSTITUTE($C66,"{F}",G$17))</f>
        <v>0</v>
      </c>
      <c r="H66" s="19">
        <f>COUNTIFS(SSC_Ontology_Ver0.5!$A$1681:$A$2208,SUBSTITUTE($A66,"{F}",H$17),SSC_Ontology_Ver0.5!$C$1681:$C$2208,$B66,SSC_Ontology_Ver0.5!$D$1681:$D$2208,SUBSTITUTE($C66,"{F}",H$17))</f>
        <v>0</v>
      </c>
      <c r="I66" s="19">
        <f>COUNTIFS(SSC_Ontology_Ver0.5!$A$1681:$A$2208,SUBSTITUTE($A66,"{F}",I$17),SSC_Ontology_Ver0.5!$C$1681:$C$2208,$B66,SSC_Ontology_Ver0.5!$D$1681:$D$2208,SUBSTITUTE($C66,"{F}",I$17))</f>
        <v>0</v>
      </c>
      <c r="J66" s="19">
        <f>COUNTIFS(SSC_Ontology_Ver0.5!$A$1681:$A$2208,SUBSTITUTE($A66,"{F}",J$17),SSC_Ontology_Ver0.5!$C$1681:$C$2208,$B66,SSC_Ontology_Ver0.5!$D$1681:$D$2208,SUBSTITUTE($C66,"{F}",J$17))</f>
        <v>0</v>
      </c>
      <c r="K66" s="19">
        <f>COUNTIFS(SSC_Ontology_Ver0.5!$A$1681:$A$2208,SUBSTITUTE($A66,"{F}",K$17),SSC_Ontology_Ver0.5!$C$1681:$C$2208,$B66,SSC_Ontology_Ver0.5!$D$1681:$D$2208,SUBSTITUTE($C66,"{F}",K$17))</f>
        <v>0</v>
      </c>
      <c r="L66" s="19">
        <f>COUNTIFS(SSC_Ontology_Ver0.5!$A$1681:$A$2208,SUBSTITUTE($A66,"{F}",L$17),SSC_Ontology_Ver0.5!$C$1681:$C$2208,$B66,SSC_Ontology_Ver0.5!$D$1681:$D$2208,SUBSTITUTE($C66,"{F}",L$17))</f>
        <v>0</v>
      </c>
      <c r="M66" s="19">
        <f>COUNTIFS(SSC_Ontology_Ver0.5!$A$1681:$A$2208,SUBSTITUTE($A66,"{F}",M$17),SSC_Ontology_Ver0.5!$C$1681:$C$2208,$B66,SSC_Ontology_Ver0.5!$D$1681:$D$2208,SUBSTITUTE($C66,"{F}",M$17))</f>
        <v>0</v>
      </c>
      <c r="N66" s="19">
        <f>COUNTIFS(SSC_Ontology_Ver0.5!$A$1681:$A$2208,SUBSTITUTE($A66,"{F}",N$17),SSC_Ontology_Ver0.5!$C$1681:$C$2208,$B66,SSC_Ontology_Ver0.5!$D$1681:$D$2208,SUBSTITUTE($C66,"{F}",N$17))</f>
        <v>0</v>
      </c>
      <c r="O66" s="15" t="str">
        <f>IF(OR($B66="rec:locatedIn",$B66="rec:feeds"),"Excluded - varies by room",IF(AND(MIN(D66:N66)=MAX(D66:N66),MAX(D66:N66)=1),"OK",IF(MIN(D66:N66)=0,"Not on all units","Duplicated")))</f>
        <v>Excluded - varies by room</v>
      </c>
    </row>
    <row r="67" spans="1:15" x14ac:dyDescent="0.3">
      <c r="A67" s="13" t="s">
        <v>5016</v>
      </c>
      <c r="B67" s="14" t="s">
        <v>16</v>
      </c>
      <c r="C67" s="14" t="s">
        <v>1095</v>
      </c>
      <c r="D67" s="19">
        <f>COUNTIFS(SSC_Ontology_Ver0.5!$A$1681:$A$2208,SUBSTITUTE($A67,"{F}",D$17),SSC_Ontology_Ver0.5!$C$1681:$C$2208,$B67,SSC_Ontology_Ver0.5!$D$1681:$D$2208,SUBSTITUTE($C67,"{F}",D$17))</f>
        <v>0</v>
      </c>
      <c r="E67" s="19">
        <f>COUNTIFS(SSC_Ontology_Ver0.5!$A$1681:$A$2208,SUBSTITUTE($A67,"{F}",E$17),SSC_Ontology_Ver0.5!$C$1681:$C$2208,$B67,SSC_Ontology_Ver0.5!$D$1681:$D$2208,SUBSTITUTE($C67,"{F}",E$17))</f>
        <v>1</v>
      </c>
      <c r="F67" s="19">
        <f>COUNTIFS(SSC_Ontology_Ver0.5!$A$1681:$A$2208,SUBSTITUTE($A67,"{F}",F$17),SSC_Ontology_Ver0.5!$C$1681:$C$2208,$B67,SSC_Ontology_Ver0.5!$D$1681:$D$2208,SUBSTITUTE($C67,"{F}",F$17))</f>
        <v>0</v>
      </c>
      <c r="G67" s="19">
        <f>COUNTIFS(SSC_Ontology_Ver0.5!$A$1681:$A$2208,SUBSTITUTE($A67,"{F}",G$17),SSC_Ontology_Ver0.5!$C$1681:$C$2208,$B67,SSC_Ontology_Ver0.5!$D$1681:$D$2208,SUBSTITUTE($C67,"{F}",G$17))</f>
        <v>0</v>
      </c>
      <c r="H67" s="19">
        <f>COUNTIFS(SSC_Ontology_Ver0.5!$A$1681:$A$2208,SUBSTITUTE($A67,"{F}",H$17),SSC_Ontology_Ver0.5!$C$1681:$C$2208,$B67,SSC_Ontology_Ver0.5!$D$1681:$D$2208,SUBSTITUTE($C67,"{F}",H$17))</f>
        <v>0</v>
      </c>
      <c r="I67" s="19">
        <f>COUNTIFS(SSC_Ontology_Ver0.5!$A$1681:$A$2208,SUBSTITUTE($A67,"{F}",I$17),SSC_Ontology_Ver0.5!$C$1681:$C$2208,$B67,SSC_Ontology_Ver0.5!$D$1681:$D$2208,SUBSTITUTE($C67,"{F}",I$17))</f>
        <v>0</v>
      </c>
      <c r="J67" s="19">
        <f>COUNTIFS(SSC_Ontology_Ver0.5!$A$1681:$A$2208,SUBSTITUTE($A67,"{F}",J$17),SSC_Ontology_Ver0.5!$C$1681:$C$2208,$B67,SSC_Ontology_Ver0.5!$D$1681:$D$2208,SUBSTITUTE($C67,"{F}",J$17))</f>
        <v>0</v>
      </c>
      <c r="K67" s="19">
        <f>COUNTIFS(SSC_Ontology_Ver0.5!$A$1681:$A$2208,SUBSTITUTE($A67,"{F}",K$17),SSC_Ontology_Ver0.5!$C$1681:$C$2208,$B67,SSC_Ontology_Ver0.5!$D$1681:$D$2208,SUBSTITUTE($C67,"{F}",K$17))</f>
        <v>0</v>
      </c>
      <c r="L67" s="19">
        <f>COUNTIFS(SSC_Ontology_Ver0.5!$A$1681:$A$2208,SUBSTITUTE($A67,"{F}",L$17),SSC_Ontology_Ver0.5!$C$1681:$C$2208,$B67,SSC_Ontology_Ver0.5!$D$1681:$D$2208,SUBSTITUTE($C67,"{F}",L$17))</f>
        <v>0</v>
      </c>
      <c r="M67" s="19">
        <f>COUNTIFS(SSC_Ontology_Ver0.5!$A$1681:$A$2208,SUBSTITUTE($A67,"{F}",M$17),SSC_Ontology_Ver0.5!$C$1681:$C$2208,$B67,SSC_Ontology_Ver0.5!$D$1681:$D$2208,SUBSTITUTE($C67,"{F}",M$17))</f>
        <v>0</v>
      </c>
      <c r="N67" s="19">
        <f>COUNTIFS(SSC_Ontology_Ver0.5!$A$1681:$A$2208,SUBSTITUTE($A67,"{F}",N$17),SSC_Ontology_Ver0.5!$C$1681:$C$2208,$B67,SSC_Ontology_Ver0.5!$D$1681:$D$2208,SUBSTITUTE($C67,"{F}",N$17))</f>
        <v>0</v>
      </c>
      <c r="O67" s="15" t="str">
        <f>IF(OR($B67="rec:locatedIn",$B67="rec:feeds"),"Excluded - varies by room",IF(AND(MIN(D67:N67)=MAX(D67:N67),MAX(D67:N67)=1),"OK",IF(MIN(D67:N67)=0,"Not on all units","Duplicated")))</f>
        <v>Excluded - varies by room</v>
      </c>
    </row>
    <row r="68" spans="1:15" x14ac:dyDescent="0.3">
      <c r="A68" s="13" t="s">
        <v>5016</v>
      </c>
      <c r="B68" s="14" t="s">
        <v>1692</v>
      </c>
      <c r="C68" s="14" t="s">
        <v>1119</v>
      </c>
      <c r="D68" s="19">
        <f>COUNTIFS(SSC_Ontology_Ver0.5!$A$1681:$A$2208,SUBSTITUTE($A68,"{F}",D$17),SSC_Ontology_Ver0.5!$C$1681:$C$2208,$B68,SSC_Ontology_Ver0.5!$D$1681:$D$2208,SUBSTITUTE($C68,"{F}",D$17))</f>
        <v>0</v>
      </c>
      <c r="E68" s="19">
        <f>COUNTIFS(SSC_Ontology_Ver0.5!$A$1681:$A$2208,SUBSTITUTE($A68,"{F}",E$17),SSC_Ontology_Ver0.5!$C$1681:$C$2208,$B68,SSC_Ontology_Ver0.5!$D$1681:$D$2208,SUBSTITUTE($C68,"{F}",E$17))</f>
        <v>0</v>
      </c>
      <c r="F68" s="19">
        <f>COUNTIFS(SSC_Ontology_Ver0.5!$A$1681:$A$2208,SUBSTITUTE($A68,"{F}",F$17),SSC_Ontology_Ver0.5!$C$1681:$C$2208,$B68,SSC_Ontology_Ver0.5!$D$1681:$D$2208,SUBSTITUTE($C68,"{F}",F$17))</f>
        <v>1</v>
      </c>
      <c r="G68" s="19">
        <f>COUNTIFS(SSC_Ontology_Ver0.5!$A$1681:$A$2208,SUBSTITUTE($A68,"{F}",G$17),SSC_Ontology_Ver0.5!$C$1681:$C$2208,$B68,SSC_Ontology_Ver0.5!$D$1681:$D$2208,SUBSTITUTE($C68,"{F}",G$17))</f>
        <v>0</v>
      </c>
      <c r="H68" s="19">
        <f>COUNTIFS(SSC_Ontology_Ver0.5!$A$1681:$A$2208,SUBSTITUTE($A68,"{F}",H$17),SSC_Ontology_Ver0.5!$C$1681:$C$2208,$B68,SSC_Ontology_Ver0.5!$D$1681:$D$2208,SUBSTITUTE($C68,"{F}",H$17))</f>
        <v>0</v>
      </c>
      <c r="I68" s="19">
        <f>COUNTIFS(SSC_Ontology_Ver0.5!$A$1681:$A$2208,SUBSTITUTE($A68,"{F}",I$17),SSC_Ontology_Ver0.5!$C$1681:$C$2208,$B68,SSC_Ontology_Ver0.5!$D$1681:$D$2208,SUBSTITUTE($C68,"{F}",I$17))</f>
        <v>0</v>
      </c>
      <c r="J68" s="19">
        <f>COUNTIFS(SSC_Ontology_Ver0.5!$A$1681:$A$2208,SUBSTITUTE($A68,"{F}",J$17),SSC_Ontology_Ver0.5!$C$1681:$C$2208,$B68,SSC_Ontology_Ver0.5!$D$1681:$D$2208,SUBSTITUTE($C68,"{F}",J$17))</f>
        <v>0</v>
      </c>
      <c r="K68" s="19">
        <f>COUNTIFS(SSC_Ontology_Ver0.5!$A$1681:$A$2208,SUBSTITUTE($A68,"{F}",K$17),SSC_Ontology_Ver0.5!$C$1681:$C$2208,$B68,SSC_Ontology_Ver0.5!$D$1681:$D$2208,SUBSTITUTE($C68,"{F}",K$17))</f>
        <v>0</v>
      </c>
      <c r="L68" s="19">
        <f>COUNTIFS(SSC_Ontology_Ver0.5!$A$1681:$A$2208,SUBSTITUTE($A68,"{F}",L$17),SSC_Ontology_Ver0.5!$C$1681:$C$2208,$B68,SSC_Ontology_Ver0.5!$D$1681:$D$2208,SUBSTITUTE($C68,"{F}",L$17))</f>
        <v>0</v>
      </c>
      <c r="M68" s="19">
        <f>COUNTIFS(SSC_Ontology_Ver0.5!$A$1681:$A$2208,SUBSTITUTE($A68,"{F}",M$17),SSC_Ontology_Ver0.5!$C$1681:$C$2208,$B68,SSC_Ontology_Ver0.5!$D$1681:$D$2208,SUBSTITUTE($C68,"{F}",M$17))</f>
        <v>0</v>
      </c>
      <c r="N68" s="19">
        <f>COUNTIFS(SSC_Ontology_Ver0.5!$A$1681:$A$2208,SUBSTITUTE($A68,"{F}",N$17),SSC_Ontology_Ver0.5!$C$1681:$C$2208,$B68,SSC_Ontology_Ver0.5!$D$1681:$D$2208,SUBSTITUTE($C68,"{F}",N$17))</f>
        <v>0</v>
      </c>
      <c r="O68" s="15" t="str">
        <f>IF(OR($B68="rec:locatedIn",$B68="rec:feeds"),"Excluded - varies by room",IF(AND(MIN(D68:N68)=MAX(D68:N68),MAX(D68:N68)=1),"OK",IF(MIN(D68:N68)=0,"Not on all units","Duplicated")))</f>
        <v>Excluded - varies by room</v>
      </c>
    </row>
    <row r="69" spans="1:15" x14ac:dyDescent="0.3">
      <c r="A69" s="13" t="s">
        <v>5016</v>
      </c>
      <c r="B69" s="14" t="s">
        <v>16</v>
      </c>
      <c r="C69" s="14" t="s">
        <v>1119</v>
      </c>
      <c r="D69" s="19">
        <f>COUNTIFS(SSC_Ontology_Ver0.5!$A$1681:$A$2208,SUBSTITUTE($A69,"{F}",D$17),SSC_Ontology_Ver0.5!$C$1681:$C$2208,$B69,SSC_Ontology_Ver0.5!$D$1681:$D$2208,SUBSTITUTE($C69,"{F}",D$17))</f>
        <v>0</v>
      </c>
      <c r="E69" s="19">
        <f>COUNTIFS(SSC_Ontology_Ver0.5!$A$1681:$A$2208,SUBSTITUTE($A69,"{F}",E$17),SSC_Ontology_Ver0.5!$C$1681:$C$2208,$B69,SSC_Ontology_Ver0.5!$D$1681:$D$2208,SUBSTITUTE($C69,"{F}",E$17))</f>
        <v>0</v>
      </c>
      <c r="F69" s="19">
        <f>COUNTIFS(SSC_Ontology_Ver0.5!$A$1681:$A$2208,SUBSTITUTE($A69,"{F}",F$17),SSC_Ontology_Ver0.5!$C$1681:$C$2208,$B69,SSC_Ontology_Ver0.5!$D$1681:$D$2208,SUBSTITUTE($C69,"{F}",F$17))</f>
        <v>1</v>
      </c>
      <c r="G69" s="19">
        <f>COUNTIFS(SSC_Ontology_Ver0.5!$A$1681:$A$2208,SUBSTITUTE($A69,"{F}",G$17),SSC_Ontology_Ver0.5!$C$1681:$C$2208,$B69,SSC_Ontology_Ver0.5!$D$1681:$D$2208,SUBSTITUTE($C69,"{F}",G$17))</f>
        <v>0</v>
      </c>
      <c r="H69" s="19">
        <f>COUNTIFS(SSC_Ontology_Ver0.5!$A$1681:$A$2208,SUBSTITUTE($A69,"{F}",H$17),SSC_Ontology_Ver0.5!$C$1681:$C$2208,$B69,SSC_Ontology_Ver0.5!$D$1681:$D$2208,SUBSTITUTE($C69,"{F}",H$17))</f>
        <v>0</v>
      </c>
      <c r="I69" s="19">
        <f>COUNTIFS(SSC_Ontology_Ver0.5!$A$1681:$A$2208,SUBSTITUTE($A69,"{F}",I$17),SSC_Ontology_Ver0.5!$C$1681:$C$2208,$B69,SSC_Ontology_Ver0.5!$D$1681:$D$2208,SUBSTITUTE($C69,"{F}",I$17))</f>
        <v>0</v>
      </c>
      <c r="J69" s="19">
        <f>COUNTIFS(SSC_Ontology_Ver0.5!$A$1681:$A$2208,SUBSTITUTE($A69,"{F}",J$17),SSC_Ontology_Ver0.5!$C$1681:$C$2208,$B69,SSC_Ontology_Ver0.5!$D$1681:$D$2208,SUBSTITUTE($C69,"{F}",J$17))</f>
        <v>0</v>
      </c>
      <c r="K69" s="19">
        <f>COUNTIFS(SSC_Ontology_Ver0.5!$A$1681:$A$2208,SUBSTITUTE($A69,"{F}",K$17),SSC_Ontology_Ver0.5!$C$1681:$C$2208,$B69,SSC_Ontology_Ver0.5!$D$1681:$D$2208,SUBSTITUTE($C69,"{F}",K$17))</f>
        <v>0</v>
      </c>
      <c r="L69" s="19">
        <f>COUNTIFS(SSC_Ontology_Ver0.5!$A$1681:$A$2208,SUBSTITUTE($A69,"{F}",L$17),SSC_Ontology_Ver0.5!$C$1681:$C$2208,$B69,SSC_Ontology_Ver0.5!$D$1681:$D$2208,SUBSTITUTE($C69,"{F}",L$17))</f>
        <v>0</v>
      </c>
      <c r="M69" s="19">
        <f>COUNTIFS(SSC_Ontology_Ver0.5!$A$1681:$A$2208,SUBSTITUTE($A69,"{F}",M$17),SSC_Ontology_Ver0.5!$C$1681:$C$2208,$B69,SSC_Ontology_Ver0.5!$D$1681:$D$2208,SUBSTITUTE($C69,"{F}",M$17))</f>
        <v>0</v>
      </c>
      <c r="N69" s="19">
        <f>COUNTIFS(SSC_Ontology_Ver0.5!$A$1681:$A$2208,SUBSTITUTE($A69,"{F}",N$17),SSC_Ontology_Ver0.5!$C$1681:$C$2208,$B69,SSC_Ontology_Ver0.5!$D$1681:$D$2208,SUBSTITUTE($C69,"{F}",N$17))</f>
        <v>0</v>
      </c>
      <c r="O69" s="15" t="str">
        <f>IF(OR($B69="rec:locatedIn",$B69="rec:feeds"),"Excluded - varies by room",IF(AND(MIN(D69:N69)=MAX(D69:N69),MAX(D69:N69)=1),"OK",IF(MIN(D69:N69)=0,"Not on all units","Duplicated")))</f>
        <v>Excluded - varies by room</v>
      </c>
    </row>
    <row r="70" spans="1:15" x14ac:dyDescent="0.3">
      <c r="A70" s="13" t="s">
        <v>5016</v>
      </c>
      <c r="B70" s="14" t="s">
        <v>1692</v>
      </c>
      <c r="C70" s="14" t="s">
        <v>53</v>
      </c>
      <c r="D70" s="19">
        <f>COUNTIFS(SSC_Ontology_Ver0.5!$A$1681:$A$2208,SUBSTITUTE($A70,"{F}",D$17),SSC_Ontology_Ver0.5!$C$1681:$C$2208,$B70,SSC_Ontology_Ver0.5!$D$1681:$D$2208,SUBSTITUTE($C70,"{F}",D$17))</f>
        <v>0</v>
      </c>
      <c r="E70" s="19">
        <f>COUNTIFS(SSC_Ontology_Ver0.5!$A$1681:$A$2208,SUBSTITUTE($A70,"{F}",E$17),SSC_Ontology_Ver0.5!$C$1681:$C$2208,$B70,SSC_Ontology_Ver0.5!$D$1681:$D$2208,SUBSTITUTE($C70,"{F}",E$17))</f>
        <v>0</v>
      </c>
      <c r="F70" s="19">
        <f>COUNTIFS(SSC_Ontology_Ver0.5!$A$1681:$A$2208,SUBSTITUTE($A70,"{F}",F$17),SSC_Ontology_Ver0.5!$C$1681:$C$2208,$B70,SSC_Ontology_Ver0.5!$D$1681:$D$2208,SUBSTITUTE($C70,"{F}",F$17))</f>
        <v>0</v>
      </c>
      <c r="G70" s="19">
        <f>COUNTIFS(SSC_Ontology_Ver0.5!$A$1681:$A$2208,SUBSTITUTE($A70,"{F}",G$17),SSC_Ontology_Ver0.5!$C$1681:$C$2208,$B70,SSC_Ontology_Ver0.5!$D$1681:$D$2208,SUBSTITUTE($C70,"{F}",G$17))</f>
        <v>1</v>
      </c>
      <c r="H70" s="19">
        <f>COUNTIFS(SSC_Ontology_Ver0.5!$A$1681:$A$2208,SUBSTITUTE($A70,"{F}",H$17),SSC_Ontology_Ver0.5!$C$1681:$C$2208,$B70,SSC_Ontology_Ver0.5!$D$1681:$D$2208,SUBSTITUTE($C70,"{F}",H$17))</f>
        <v>0</v>
      </c>
      <c r="I70" s="19">
        <f>COUNTIFS(SSC_Ontology_Ver0.5!$A$1681:$A$2208,SUBSTITUTE($A70,"{F}",I$17),SSC_Ontology_Ver0.5!$C$1681:$C$2208,$B70,SSC_Ontology_Ver0.5!$D$1681:$D$2208,SUBSTITUTE($C70,"{F}",I$17))</f>
        <v>0</v>
      </c>
      <c r="J70" s="19">
        <f>COUNTIFS(SSC_Ontology_Ver0.5!$A$1681:$A$2208,SUBSTITUTE($A70,"{F}",J$17),SSC_Ontology_Ver0.5!$C$1681:$C$2208,$B70,SSC_Ontology_Ver0.5!$D$1681:$D$2208,SUBSTITUTE($C70,"{F}",J$17))</f>
        <v>0</v>
      </c>
      <c r="K70" s="19">
        <f>COUNTIFS(SSC_Ontology_Ver0.5!$A$1681:$A$2208,SUBSTITUTE($A70,"{F}",K$17),SSC_Ontology_Ver0.5!$C$1681:$C$2208,$B70,SSC_Ontology_Ver0.5!$D$1681:$D$2208,SUBSTITUTE($C70,"{F}",K$17))</f>
        <v>0</v>
      </c>
      <c r="L70" s="19">
        <f>COUNTIFS(SSC_Ontology_Ver0.5!$A$1681:$A$2208,SUBSTITUTE($A70,"{F}",L$17),SSC_Ontology_Ver0.5!$C$1681:$C$2208,$B70,SSC_Ontology_Ver0.5!$D$1681:$D$2208,SUBSTITUTE($C70,"{F}",L$17))</f>
        <v>0</v>
      </c>
      <c r="M70" s="19">
        <f>COUNTIFS(SSC_Ontology_Ver0.5!$A$1681:$A$2208,SUBSTITUTE($A70,"{F}",M$17),SSC_Ontology_Ver0.5!$C$1681:$C$2208,$B70,SSC_Ontology_Ver0.5!$D$1681:$D$2208,SUBSTITUTE($C70,"{F}",M$17))</f>
        <v>0</v>
      </c>
      <c r="N70" s="19">
        <f>COUNTIFS(SSC_Ontology_Ver0.5!$A$1681:$A$2208,SUBSTITUTE($A70,"{F}",N$17),SSC_Ontology_Ver0.5!$C$1681:$C$2208,$B70,SSC_Ontology_Ver0.5!$D$1681:$D$2208,SUBSTITUTE($C70,"{F}",N$17))</f>
        <v>0</v>
      </c>
      <c r="O70" s="15" t="str">
        <f>IF(OR($B70="rec:locatedIn",$B70="rec:feeds"),"Excluded - varies by room",IF(AND(MIN(D70:N70)=MAX(D70:N70),MAX(D70:N70)=1),"OK",IF(MIN(D70:N70)=0,"Not on all units","Duplicated")))</f>
        <v>Excluded - varies by room</v>
      </c>
    </row>
    <row r="71" spans="1:15" x14ac:dyDescent="0.3">
      <c r="A71" s="13" t="s">
        <v>5016</v>
      </c>
      <c r="B71" s="14" t="s">
        <v>16</v>
      </c>
      <c r="C71" s="14" t="s">
        <v>53</v>
      </c>
      <c r="D71" s="19">
        <f>COUNTIFS(SSC_Ontology_Ver0.5!$A$1681:$A$2208,SUBSTITUTE($A71,"{F}",D$17),SSC_Ontology_Ver0.5!$C$1681:$C$2208,$B71,SSC_Ontology_Ver0.5!$D$1681:$D$2208,SUBSTITUTE($C71,"{F}",D$17))</f>
        <v>0</v>
      </c>
      <c r="E71" s="19">
        <f>COUNTIFS(SSC_Ontology_Ver0.5!$A$1681:$A$2208,SUBSTITUTE($A71,"{F}",E$17),SSC_Ontology_Ver0.5!$C$1681:$C$2208,$B71,SSC_Ontology_Ver0.5!$D$1681:$D$2208,SUBSTITUTE($C71,"{F}",E$17))</f>
        <v>0</v>
      </c>
      <c r="F71" s="19">
        <f>COUNTIFS(SSC_Ontology_Ver0.5!$A$1681:$A$2208,SUBSTITUTE($A71,"{F}",F$17),SSC_Ontology_Ver0.5!$C$1681:$C$2208,$B71,SSC_Ontology_Ver0.5!$D$1681:$D$2208,SUBSTITUTE($C71,"{F}",F$17))</f>
        <v>0</v>
      </c>
      <c r="G71" s="19">
        <f>COUNTIFS(SSC_Ontology_Ver0.5!$A$1681:$A$2208,SUBSTITUTE($A71,"{F}",G$17),SSC_Ontology_Ver0.5!$C$1681:$C$2208,$B71,SSC_Ontology_Ver0.5!$D$1681:$D$2208,SUBSTITUTE($C71,"{F}",G$17))</f>
        <v>1</v>
      </c>
      <c r="H71" s="19">
        <f>COUNTIFS(SSC_Ontology_Ver0.5!$A$1681:$A$2208,SUBSTITUTE($A71,"{F}",H$17),SSC_Ontology_Ver0.5!$C$1681:$C$2208,$B71,SSC_Ontology_Ver0.5!$D$1681:$D$2208,SUBSTITUTE($C71,"{F}",H$17))</f>
        <v>0</v>
      </c>
      <c r="I71" s="19">
        <f>COUNTIFS(SSC_Ontology_Ver0.5!$A$1681:$A$2208,SUBSTITUTE($A71,"{F}",I$17),SSC_Ontology_Ver0.5!$C$1681:$C$2208,$B71,SSC_Ontology_Ver0.5!$D$1681:$D$2208,SUBSTITUTE($C71,"{F}",I$17))</f>
        <v>0</v>
      </c>
      <c r="J71" s="19">
        <f>COUNTIFS(SSC_Ontology_Ver0.5!$A$1681:$A$2208,SUBSTITUTE($A71,"{F}",J$17),SSC_Ontology_Ver0.5!$C$1681:$C$2208,$B71,SSC_Ontology_Ver0.5!$D$1681:$D$2208,SUBSTITUTE($C71,"{F}",J$17))</f>
        <v>0</v>
      </c>
      <c r="K71" s="19">
        <f>COUNTIFS(SSC_Ontology_Ver0.5!$A$1681:$A$2208,SUBSTITUTE($A71,"{F}",K$17),SSC_Ontology_Ver0.5!$C$1681:$C$2208,$B71,SSC_Ontology_Ver0.5!$D$1681:$D$2208,SUBSTITUTE($C71,"{F}",K$17))</f>
        <v>0</v>
      </c>
      <c r="L71" s="19">
        <f>COUNTIFS(SSC_Ontology_Ver0.5!$A$1681:$A$2208,SUBSTITUTE($A71,"{F}",L$17),SSC_Ontology_Ver0.5!$C$1681:$C$2208,$B71,SSC_Ontology_Ver0.5!$D$1681:$D$2208,SUBSTITUTE($C71,"{F}",L$17))</f>
        <v>0</v>
      </c>
      <c r="M71" s="19">
        <f>COUNTIFS(SSC_Ontology_Ver0.5!$A$1681:$A$2208,SUBSTITUTE($A71,"{F}",M$17),SSC_Ontology_Ver0.5!$C$1681:$C$2208,$B71,SSC_Ontology_Ver0.5!$D$1681:$D$2208,SUBSTITUTE($C71,"{F}",M$17))</f>
        <v>0</v>
      </c>
      <c r="N71" s="19">
        <f>COUNTIFS(SSC_Ontology_Ver0.5!$A$1681:$A$2208,SUBSTITUTE($A71,"{F}",N$17),SSC_Ontology_Ver0.5!$C$1681:$C$2208,$B71,SSC_Ontology_Ver0.5!$D$1681:$D$2208,SUBSTITUTE($C71,"{F}",N$17))</f>
        <v>0</v>
      </c>
      <c r="O71" s="15" t="str">
        <f>IF(OR($B71="rec:locatedIn",$B71="rec:feeds"),"Excluded - varies by room",IF(AND(MIN(D71:N71)=MAX(D71:N71),MAX(D71:N71)=1),"OK",IF(MIN(D71:N71)=0,"Not on all units","Duplicated")))</f>
        <v>Excluded - varies by room</v>
      </c>
    </row>
    <row r="72" spans="1:15" x14ac:dyDescent="0.3">
      <c r="A72" s="13" t="s">
        <v>5016</v>
      </c>
      <c r="B72" s="14" t="s">
        <v>1692</v>
      </c>
      <c r="C72" s="14" t="s">
        <v>91</v>
      </c>
      <c r="D72" s="19">
        <f>COUNTIFS(SSC_Ontology_Ver0.5!$A$1681:$A$2208,SUBSTITUTE($A72,"{F}",D$17),SSC_Ontology_Ver0.5!$C$1681:$C$2208,$B72,SSC_Ontology_Ver0.5!$D$1681:$D$2208,SUBSTITUTE($C72,"{F}",D$17))</f>
        <v>0</v>
      </c>
      <c r="E72" s="19">
        <f>COUNTIFS(SSC_Ontology_Ver0.5!$A$1681:$A$2208,SUBSTITUTE($A72,"{F}",E$17),SSC_Ontology_Ver0.5!$C$1681:$C$2208,$B72,SSC_Ontology_Ver0.5!$D$1681:$D$2208,SUBSTITUTE($C72,"{F}",E$17))</f>
        <v>0</v>
      </c>
      <c r="F72" s="19">
        <f>COUNTIFS(SSC_Ontology_Ver0.5!$A$1681:$A$2208,SUBSTITUTE($A72,"{F}",F$17),SSC_Ontology_Ver0.5!$C$1681:$C$2208,$B72,SSC_Ontology_Ver0.5!$D$1681:$D$2208,SUBSTITUTE($C72,"{F}",F$17))</f>
        <v>0</v>
      </c>
      <c r="G72" s="19">
        <f>COUNTIFS(SSC_Ontology_Ver0.5!$A$1681:$A$2208,SUBSTITUTE($A72,"{F}",G$17),SSC_Ontology_Ver0.5!$C$1681:$C$2208,$B72,SSC_Ontology_Ver0.5!$D$1681:$D$2208,SUBSTITUTE($C72,"{F}",G$17))</f>
        <v>0</v>
      </c>
      <c r="H72" s="19">
        <f>COUNTIFS(SSC_Ontology_Ver0.5!$A$1681:$A$2208,SUBSTITUTE($A72,"{F}",H$17),SSC_Ontology_Ver0.5!$C$1681:$C$2208,$B72,SSC_Ontology_Ver0.5!$D$1681:$D$2208,SUBSTITUTE($C72,"{F}",H$17))</f>
        <v>1</v>
      </c>
      <c r="I72" s="19">
        <f>COUNTIFS(SSC_Ontology_Ver0.5!$A$1681:$A$2208,SUBSTITUTE($A72,"{F}",I$17),SSC_Ontology_Ver0.5!$C$1681:$C$2208,$B72,SSC_Ontology_Ver0.5!$D$1681:$D$2208,SUBSTITUTE($C72,"{F}",I$17))</f>
        <v>1</v>
      </c>
      <c r="J72" s="19">
        <f>COUNTIFS(SSC_Ontology_Ver0.5!$A$1681:$A$2208,SUBSTITUTE($A72,"{F}",J$17),SSC_Ontology_Ver0.5!$C$1681:$C$2208,$B72,SSC_Ontology_Ver0.5!$D$1681:$D$2208,SUBSTITUTE($C72,"{F}",J$17))</f>
        <v>0</v>
      </c>
      <c r="K72" s="19">
        <f>COUNTIFS(SSC_Ontology_Ver0.5!$A$1681:$A$2208,SUBSTITUTE($A72,"{F}",K$17),SSC_Ontology_Ver0.5!$C$1681:$C$2208,$B72,SSC_Ontology_Ver0.5!$D$1681:$D$2208,SUBSTITUTE($C72,"{F}",K$17))</f>
        <v>0</v>
      </c>
      <c r="L72" s="19">
        <f>COUNTIFS(SSC_Ontology_Ver0.5!$A$1681:$A$2208,SUBSTITUTE($A72,"{F}",L$17),SSC_Ontology_Ver0.5!$C$1681:$C$2208,$B72,SSC_Ontology_Ver0.5!$D$1681:$D$2208,SUBSTITUTE($C72,"{F}",L$17))</f>
        <v>0</v>
      </c>
      <c r="M72" s="19">
        <f>COUNTIFS(SSC_Ontology_Ver0.5!$A$1681:$A$2208,SUBSTITUTE($A72,"{F}",M$17),SSC_Ontology_Ver0.5!$C$1681:$C$2208,$B72,SSC_Ontology_Ver0.5!$D$1681:$D$2208,SUBSTITUTE($C72,"{F}",M$17))</f>
        <v>0</v>
      </c>
      <c r="N72" s="19">
        <f>COUNTIFS(SSC_Ontology_Ver0.5!$A$1681:$A$2208,SUBSTITUTE($A72,"{F}",N$17),SSC_Ontology_Ver0.5!$C$1681:$C$2208,$B72,SSC_Ontology_Ver0.5!$D$1681:$D$2208,SUBSTITUTE($C72,"{F}",N$17))</f>
        <v>0</v>
      </c>
      <c r="O72" s="15" t="str">
        <f>IF(OR($B72="rec:locatedIn",$B72="rec:feeds"),"Excluded - varies by room",IF(AND(MIN(D72:N72)=MAX(D72:N72),MAX(D72:N72)=1),"OK",IF(MIN(D72:N72)=0,"Not on all units","Duplicated")))</f>
        <v>Excluded - varies by room</v>
      </c>
    </row>
    <row r="73" spans="1:15" x14ac:dyDescent="0.3">
      <c r="A73" s="13" t="s">
        <v>5016</v>
      </c>
      <c r="B73" s="14" t="s">
        <v>16</v>
      </c>
      <c r="C73" s="14" t="s">
        <v>91</v>
      </c>
      <c r="D73" s="19">
        <f>COUNTIFS(SSC_Ontology_Ver0.5!$A$1681:$A$2208,SUBSTITUTE($A73,"{F}",D$17),SSC_Ontology_Ver0.5!$C$1681:$C$2208,$B73,SSC_Ontology_Ver0.5!$D$1681:$D$2208,SUBSTITUTE($C73,"{F}",D$17))</f>
        <v>0</v>
      </c>
      <c r="E73" s="19">
        <f>COUNTIFS(SSC_Ontology_Ver0.5!$A$1681:$A$2208,SUBSTITUTE($A73,"{F}",E$17),SSC_Ontology_Ver0.5!$C$1681:$C$2208,$B73,SSC_Ontology_Ver0.5!$D$1681:$D$2208,SUBSTITUTE($C73,"{F}",E$17))</f>
        <v>0</v>
      </c>
      <c r="F73" s="19">
        <f>COUNTIFS(SSC_Ontology_Ver0.5!$A$1681:$A$2208,SUBSTITUTE($A73,"{F}",F$17),SSC_Ontology_Ver0.5!$C$1681:$C$2208,$B73,SSC_Ontology_Ver0.5!$D$1681:$D$2208,SUBSTITUTE($C73,"{F}",F$17))</f>
        <v>0</v>
      </c>
      <c r="G73" s="19">
        <f>COUNTIFS(SSC_Ontology_Ver0.5!$A$1681:$A$2208,SUBSTITUTE($A73,"{F}",G$17),SSC_Ontology_Ver0.5!$C$1681:$C$2208,$B73,SSC_Ontology_Ver0.5!$D$1681:$D$2208,SUBSTITUTE($C73,"{F}",G$17))</f>
        <v>0</v>
      </c>
      <c r="H73" s="19">
        <f>COUNTIFS(SSC_Ontology_Ver0.5!$A$1681:$A$2208,SUBSTITUTE($A73,"{F}",H$17),SSC_Ontology_Ver0.5!$C$1681:$C$2208,$B73,SSC_Ontology_Ver0.5!$D$1681:$D$2208,SUBSTITUTE($C73,"{F}",H$17))</f>
        <v>1</v>
      </c>
      <c r="I73" s="19">
        <f>COUNTIFS(SSC_Ontology_Ver0.5!$A$1681:$A$2208,SUBSTITUTE($A73,"{F}",I$17),SSC_Ontology_Ver0.5!$C$1681:$C$2208,$B73,SSC_Ontology_Ver0.5!$D$1681:$D$2208,SUBSTITUTE($C73,"{F}",I$17))</f>
        <v>1</v>
      </c>
      <c r="J73" s="19">
        <f>COUNTIFS(SSC_Ontology_Ver0.5!$A$1681:$A$2208,SUBSTITUTE($A73,"{F}",J$17),SSC_Ontology_Ver0.5!$C$1681:$C$2208,$B73,SSC_Ontology_Ver0.5!$D$1681:$D$2208,SUBSTITUTE($C73,"{F}",J$17))</f>
        <v>0</v>
      </c>
      <c r="K73" s="19">
        <f>COUNTIFS(SSC_Ontology_Ver0.5!$A$1681:$A$2208,SUBSTITUTE($A73,"{F}",K$17),SSC_Ontology_Ver0.5!$C$1681:$C$2208,$B73,SSC_Ontology_Ver0.5!$D$1681:$D$2208,SUBSTITUTE($C73,"{F}",K$17))</f>
        <v>0</v>
      </c>
      <c r="L73" s="19">
        <f>COUNTIFS(SSC_Ontology_Ver0.5!$A$1681:$A$2208,SUBSTITUTE($A73,"{F}",L$17),SSC_Ontology_Ver0.5!$C$1681:$C$2208,$B73,SSC_Ontology_Ver0.5!$D$1681:$D$2208,SUBSTITUTE($C73,"{F}",L$17))</f>
        <v>0</v>
      </c>
      <c r="M73" s="19">
        <f>COUNTIFS(SSC_Ontology_Ver0.5!$A$1681:$A$2208,SUBSTITUTE($A73,"{F}",M$17),SSC_Ontology_Ver0.5!$C$1681:$C$2208,$B73,SSC_Ontology_Ver0.5!$D$1681:$D$2208,SUBSTITUTE($C73,"{F}",M$17))</f>
        <v>0</v>
      </c>
      <c r="N73" s="19">
        <f>COUNTIFS(SSC_Ontology_Ver0.5!$A$1681:$A$2208,SUBSTITUTE($A73,"{F}",N$17),SSC_Ontology_Ver0.5!$C$1681:$C$2208,$B73,SSC_Ontology_Ver0.5!$D$1681:$D$2208,SUBSTITUTE($C73,"{F}",N$17))</f>
        <v>0</v>
      </c>
      <c r="O73" s="15" t="str">
        <f>IF(OR($B73="rec:locatedIn",$B73="rec:feeds"),"Excluded - varies by room",IF(AND(MIN(D73:N73)=MAX(D73:N73),MAX(D73:N73)=1),"OK",IF(MIN(D73:N73)=0,"Not on all units","Duplicated")))</f>
        <v>Excluded - varies by room</v>
      </c>
    </row>
    <row r="74" spans="1:15" x14ac:dyDescent="0.3">
      <c r="A74" s="13" t="s">
        <v>5016</v>
      </c>
      <c r="B74" s="14" t="s">
        <v>1692</v>
      </c>
      <c r="C74" s="14" t="s">
        <v>118</v>
      </c>
      <c r="D74" s="19">
        <f>COUNTIFS(SSC_Ontology_Ver0.5!$A$1681:$A$2208,SUBSTITUTE($A74,"{F}",D$17),SSC_Ontology_Ver0.5!$C$1681:$C$2208,$B74,SSC_Ontology_Ver0.5!$D$1681:$D$2208,SUBSTITUTE($C74,"{F}",D$17))</f>
        <v>0</v>
      </c>
      <c r="E74" s="19">
        <f>COUNTIFS(SSC_Ontology_Ver0.5!$A$1681:$A$2208,SUBSTITUTE($A74,"{F}",E$17),SSC_Ontology_Ver0.5!$C$1681:$C$2208,$B74,SSC_Ontology_Ver0.5!$D$1681:$D$2208,SUBSTITUTE($C74,"{F}",E$17))</f>
        <v>0</v>
      </c>
      <c r="F74" s="19">
        <f>COUNTIFS(SSC_Ontology_Ver0.5!$A$1681:$A$2208,SUBSTITUTE($A74,"{F}",F$17),SSC_Ontology_Ver0.5!$C$1681:$C$2208,$B74,SSC_Ontology_Ver0.5!$D$1681:$D$2208,SUBSTITUTE($C74,"{F}",F$17))</f>
        <v>0</v>
      </c>
      <c r="G74" s="19">
        <f>COUNTIFS(SSC_Ontology_Ver0.5!$A$1681:$A$2208,SUBSTITUTE($A74,"{F}",G$17),SSC_Ontology_Ver0.5!$C$1681:$C$2208,$B74,SSC_Ontology_Ver0.5!$D$1681:$D$2208,SUBSTITUTE($C74,"{F}",G$17))</f>
        <v>0</v>
      </c>
      <c r="H74" s="19">
        <f>COUNTIFS(SSC_Ontology_Ver0.5!$A$1681:$A$2208,SUBSTITUTE($A74,"{F}",H$17),SSC_Ontology_Ver0.5!$C$1681:$C$2208,$B74,SSC_Ontology_Ver0.5!$D$1681:$D$2208,SUBSTITUTE($C74,"{F}",H$17))</f>
        <v>0</v>
      </c>
      <c r="I74" s="19">
        <f>COUNTIFS(SSC_Ontology_Ver0.5!$A$1681:$A$2208,SUBSTITUTE($A74,"{F}",I$17),SSC_Ontology_Ver0.5!$C$1681:$C$2208,$B74,SSC_Ontology_Ver0.5!$D$1681:$D$2208,SUBSTITUTE($C74,"{F}",I$17))</f>
        <v>0</v>
      </c>
      <c r="J74" s="19">
        <f>COUNTIFS(SSC_Ontology_Ver0.5!$A$1681:$A$2208,SUBSTITUTE($A74,"{F}",J$17),SSC_Ontology_Ver0.5!$C$1681:$C$2208,$B74,SSC_Ontology_Ver0.5!$D$1681:$D$2208,SUBSTITUTE($C74,"{F}",J$17))</f>
        <v>1</v>
      </c>
      <c r="K74" s="19">
        <f>COUNTIFS(SSC_Ontology_Ver0.5!$A$1681:$A$2208,SUBSTITUTE($A74,"{F}",K$17),SSC_Ontology_Ver0.5!$C$1681:$C$2208,$B74,SSC_Ontology_Ver0.5!$D$1681:$D$2208,SUBSTITUTE($C74,"{F}",K$17))</f>
        <v>1</v>
      </c>
      <c r="L74" s="19">
        <f>COUNTIFS(SSC_Ontology_Ver0.5!$A$1681:$A$2208,SUBSTITUTE($A74,"{F}",L$17),SSC_Ontology_Ver0.5!$C$1681:$C$2208,$B74,SSC_Ontology_Ver0.5!$D$1681:$D$2208,SUBSTITUTE($C74,"{F}",L$17))</f>
        <v>0</v>
      </c>
      <c r="M74" s="19">
        <f>COUNTIFS(SSC_Ontology_Ver0.5!$A$1681:$A$2208,SUBSTITUTE($A74,"{F}",M$17),SSC_Ontology_Ver0.5!$C$1681:$C$2208,$B74,SSC_Ontology_Ver0.5!$D$1681:$D$2208,SUBSTITUTE($C74,"{F}",M$17))</f>
        <v>0</v>
      </c>
      <c r="N74" s="19">
        <f>COUNTIFS(SSC_Ontology_Ver0.5!$A$1681:$A$2208,SUBSTITUTE($A74,"{F}",N$17),SSC_Ontology_Ver0.5!$C$1681:$C$2208,$B74,SSC_Ontology_Ver0.5!$D$1681:$D$2208,SUBSTITUTE($C74,"{F}",N$17))</f>
        <v>0</v>
      </c>
      <c r="O74" s="15" t="str">
        <f>IF(OR($B74="rec:locatedIn",$B74="rec:feeds"),"Excluded - varies by room",IF(AND(MIN(D74:N74)=MAX(D74:N74),MAX(D74:N74)=1),"OK",IF(MIN(D74:N74)=0,"Not on all units","Duplicated")))</f>
        <v>Excluded - varies by room</v>
      </c>
    </row>
    <row r="75" spans="1:15" x14ac:dyDescent="0.3">
      <c r="A75" s="13" t="s">
        <v>5016</v>
      </c>
      <c r="B75" s="14" t="s">
        <v>16</v>
      </c>
      <c r="C75" s="14" t="s">
        <v>118</v>
      </c>
      <c r="D75" s="19">
        <f>COUNTIFS(SSC_Ontology_Ver0.5!$A$1681:$A$2208,SUBSTITUTE($A75,"{F}",D$17),SSC_Ontology_Ver0.5!$C$1681:$C$2208,$B75,SSC_Ontology_Ver0.5!$D$1681:$D$2208,SUBSTITUTE($C75,"{F}",D$17))</f>
        <v>0</v>
      </c>
      <c r="E75" s="19">
        <f>COUNTIFS(SSC_Ontology_Ver0.5!$A$1681:$A$2208,SUBSTITUTE($A75,"{F}",E$17),SSC_Ontology_Ver0.5!$C$1681:$C$2208,$B75,SSC_Ontology_Ver0.5!$D$1681:$D$2208,SUBSTITUTE($C75,"{F}",E$17))</f>
        <v>0</v>
      </c>
      <c r="F75" s="19">
        <f>COUNTIFS(SSC_Ontology_Ver0.5!$A$1681:$A$2208,SUBSTITUTE($A75,"{F}",F$17),SSC_Ontology_Ver0.5!$C$1681:$C$2208,$B75,SSC_Ontology_Ver0.5!$D$1681:$D$2208,SUBSTITUTE($C75,"{F}",F$17))</f>
        <v>0</v>
      </c>
      <c r="G75" s="19">
        <f>COUNTIFS(SSC_Ontology_Ver0.5!$A$1681:$A$2208,SUBSTITUTE($A75,"{F}",G$17),SSC_Ontology_Ver0.5!$C$1681:$C$2208,$B75,SSC_Ontology_Ver0.5!$D$1681:$D$2208,SUBSTITUTE($C75,"{F}",G$17))</f>
        <v>0</v>
      </c>
      <c r="H75" s="19">
        <f>COUNTIFS(SSC_Ontology_Ver0.5!$A$1681:$A$2208,SUBSTITUTE($A75,"{F}",H$17),SSC_Ontology_Ver0.5!$C$1681:$C$2208,$B75,SSC_Ontology_Ver0.5!$D$1681:$D$2208,SUBSTITUTE($C75,"{F}",H$17))</f>
        <v>0</v>
      </c>
      <c r="I75" s="19">
        <f>COUNTIFS(SSC_Ontology_Ver0.5!$A$1681:$A$2208,SUBSTITUTE($A75,"{F}",I$17),SSC_Ontology_Ver0.5!$C$1681:$C$2208,$B75,SSC_Ontology_Ver0.5!$D$1681:$D$2208,SUBSTITUTE($C75,"{F}",I$17))</f>
        <v>0</v>
      </c>
      <c r="J75" s="19">
        <f>COUNTIFS(SSC_Ontology_Ver0.5!$A$1681:$A$2208,SUBSTITUTE($A75,"{F}",J$17),SSC_Ontology_Ver0.5!$C$1681:$C$2208,$B75,SSC_Ontology_Ver0.5!$D$1681:$D$2208,SUBSTITUTE($C75,"{F}",J$17))</f>
        <v>1</v>
      </c>
      <c r="K75" s="19">
        <f>COUNTIFS(SSC_Ontology_Ver0.5!$A$1681:$A$2208,SUBSTITUTE($A75,"{F}",K$17),SSC_Ontology_Ver0.5!$C$1681:$C$2208,$B75,SSC_Ontology_Ver0.5!$D$1681:$D$2208,SUBSTITUTE($C75,"{F}",K$17))</f>
        <v>1</v>
      </c>
      <c r="L75" s="19">
        <f>COUNTIFS(SSC_Ontology_Ver0.5!$A$1681:$A$2208,SUBSTITUTE($A75,"{F}",L$17),SSC_Ontology_Ver0.5!$C$1681:$C$2208,$B75,SSC_Ontology_Ver0.5!$D$1681:$D$2208,SUBSTITUTE($C75,"{F}",L$17))</f>
        <v>0</v>
      </c>
      <c r="M75" s="19">
        <f>COUNTIFS(SSC_Ontology_Ver0.5!$A$1681:$A$2208,SUBSTITUTE($A75,"{F}",M$17),SSC_Ontology_Ver0.5!$C$1681:$C$2208,$B75,SSC_Ontology_Ver0.5!$D$1681:$D$2208,SUBSTITUTE($C75,"{F}",M$17))</f>
        <v>0</v>
      </c>
      <c r="N75" s="19">
        <f>COUNTIFS(SSC_Ontology_Ver0.5!$A$1681:$A$2208,SUBSTITUTE($A75,"{F}",N$17),SSC_Ontology_Ver0.5!$C$1681:$C$2208,$B75,SSC_Ontology_Ver0.5!$D$1681:$D$2208,SUBSTITUTE($C75,"{F}",N$17))</f>
        <v>0</v>
      </c>
      <c r="O75" s="15" t="str">
        <f>IF(OR($B75="rec:locatedIn",$B75="rec:feeds"),"Excluded - varies by room",IF(AND(MIN(D75:N75)=MAX(D75:N75),MAX(D75:N75)=1),"OK",IF(MIN(D75:N75)=0,"Not on all units","Duplicated")))</f>
        <v>Excluded - varies by room</v>
      </c>
    </row>
    <row r="76" spans="1:15" x14ac:dyDescent="0.3">
      <c r="A76" s="13" t="s">
        <v>5016</v>
      </c>
      <c r="B76" s="14" t="s">
        <v>1692</v>
      </c>
      <c r="C76" s="14" t="s">
        <v>93</v>
      </c>
      <c r="D76" s="19">
        <f>COUNTIFS(SSC_Ontology_Ver0.5!$A$1681:$A$2208,SUBSTITUTE($A76,"{F}",D$17),SSC_Ontology_Ver0.5!$C$1681:$C$2208,$B76,SSC_Ontology_Ver0.5!$D$1681:$D$2208,SUBSTITUTE($C76,"{F}",D$17))</f>
        <v>0</v>
      </c>
      <c r="E76" s="19">
        <f>COUNTIFS(SSC_Ontology_Ver0.5!$A$1681:$A$2208,SUBSTITUTE($A76,"{F}",E$17),SSC_Ontology_Ver0.5!$C$1681:$C$2208,$B76,SSC_Ontology_Ver0.5!$D$1681:$D$2208,SUBSTITUTE($C76,"{F}",E$17))</f>
        <v>0</v>
      </c>
      <c r="F76" s="19">
        <f>COUNTIFS(SSC_Ontology_Ver0.5!$A$1681:$A$2208,SUBSTITUTE($A76,"{F}",F$17),SSC_Ontology_Ver0.5!$C$1681:$C$2208,$B76,SSC_Ontology_Ver0.5!$D$1681:$D$2208,SUBSTITUTE($C76,"{F}",F$17))</f>
        <v>0</v>
      </c>
      <c r="G76" s="19">
        <f>COUNTIFS(SSC_Ontology_Ver0.5!$A$1681:$A$2208,SUBSTITUTE($A76,"{F}",G$17),SSC_Ontology_Ver0.5!$C$1681:$C$2208,$B76,SSC_Ontology_Ver0.5!$D$1681:$D$2208,SUBSTITUTE($C76,"{F}",G$17))</f>
        <v>0</v>
      </c>
      <c r="H76" s="19">
        <f>COUNTIFS(SSC_Ontology_Ver0.5!$A$1681:$A$2208,SUBSTITUTE($A76,"{F}",H$17),SSC_Ontology_Ver0.5!$C$1681:$C$2208,$B76,SSC_Ontology_Ver0.5!$D$1681:$D$2208,SUBSTITUTE($C76,"{F}",H$17))</f>
        <v>0</v>
      </c>
      <c r="I76" s="19">
        <f>COUNTIFS(SSC_Ontology_Ver0.5!$A$1681:$A$2208,SUBSTITUTE($A76,"{F}",I$17),SSC_Ontology_Ver0.5!$C$1681:$C$2208,$B76,SSC_Ontology_Ver0.5!$D$1681:$D$2208,SUBSTITUTE($C76,"{F}",I$17))</f>
        <v>0</v>
      </c>
      <c r="J76" s="19">
        <f>COUNTIFS(SSC_Ontology_Ver0.5!$A$1681:$A$2208,SUBSTITUTE($A76,"{F}",J$17),SSC_Ontology_Ver0.5!$C$1681:$C$2208,$B76,SSC_Ontology_Ver0.5!$D$1681:$D$2208,SUBSTITUTE($C76,"{F}",J$17))</f>
        <v>0</v>
      </c>
      <c r="K76" s="19">
        <f>COUNTIFS(SSC_Ontology_Ver0.5!$A$1681:$A$2208,SUBSTITUTE($A76,"{F}",K$17),SSC_Ontology_Ver0.5!$C$1681:$C$2208,$B76,SSC_Ontology_Ver0.5!$D$1681:$D$2208,SUBSTITUTE($C76,"{F}",K$17))</f>
        <v>0</v>
      </c>
      <c r="L76" s="19">
        <f>COUNTIFS(SSC_Ontology_Ver0.5!$A$1681:$A$2208,SUBSTITUTE($A76,"{F}",L$17),SSC_Ontology_Ver0.5!$C$1681:$C$2208,$B76,SSC_Ontology_Ver0.5!$D$1681:$D$2208,SUBSTITUTE($C76,"{F}",L$17))</f>
        <v>1</v>
      </c>
      <c r="M76" s="19">
        <f>COUNTIFS(SSC_Ontology_Ver0.5!$A$1681:$A$2208,SUBSTITUTE($A76,"{F}",M$17),SSC_Ontology_Ver0.5!$C$1681:$C$2208,$B76,SSC_Ontology_Ver0.5!$D$1681:$D$2208,SUBSTITUTE($C76,"{F}",M$17))</f>
        <v>0</v>
      </c>
      <c r="N76" s="19">
        <f>COUNTIFS(SSC_Ontology_Ver0.5!$A$1681:$A$2208,SUBSTITUTE($A76,"{F}",N$17),SSC_Ontology_Ver0.5!$C$1681:$C$2208,$B76,SSC_Ontology_Ver0.5!$D$1681:$D$2208,SUBSTITUTE($C76,"{F}",N$17))</f>
        <v>0</v>
      </c>
      <c r="O76" s="15" t="str">
        <f>IF(OR($B76="rec:locatedIn",$B76="rec:feeds"),"Excluded - varies by room",IF(AND(MIN(D76:N76)=MAX(D76:N76),MAX(D76:N76)=1),"OK",IF(MIN(D76:N76)=0,"Not on all units","Duplicated")))</f>
        <v>Excluded - varies by room</v>
      </c>
    </row>
    <row r="77" spans="1:15" x14ac:dyDescent="0.3">
      <c r="A77" s="13" t="s">
        <v>5016</v>
      </c>
      <c r="B77" s="14" t="s">
        <v>16</v>
      </c>
      <c r="C77" s="14" t="s">
        <v>93</v>
      </c>
      <c r="D77" s="19">
        <f>COUNTIFS(SSC_Ontology_Ver0.5!$A$1681:$A$2208,SUBSTITUTE($A77,"{F}",D$17),SSC_Ontology_Ver0.5!$C$1681:$C$2208,$B77,SSC_Ontology_Ver0.5!$D$1681:$D$2208,SUBSTITUTE($C77,"{F}",D$17))</f>
        <v>0</v>
      </c>
      <c r="E77" s="19">
        <f>COUNTIFS(SSC_Ontology_Ver0.5!$A$1681:$A$2208,SUBSTITUTE($A77,"{F}",E$17),SSC_Ontology_Ver0.5!$C$1681:$C$2208,$B77,SSC_Ontology_Ver0.5!$D$1681:$D$2208,SUBSTITUTE($C77,"{F}",E$17))</f>
        <v>0</v>
      </c>
      <c r="F77" s="19">
        <f>COUNTIFS(SSC_Ontology_Ver0.5!$A$1681:$A$2208,SUBSTITUTE($A77,"{F}",F$17),SSC_Ontology_Ver0.5!$C$1681:$C$2208,$B77,SSC_Ontology_Ver0.5!$D$1681:$D$2208,SUBSTITUTE($C77,"{F}",F$17))</f>
        <v>0</v>
      </c>
      <c r="G77" s="19">
        <f>COUNTIFS(SSC_Ontology_Ver0.5!$A$1681:$A$2208,SUBSTITUTE($A77,"{F}",G$17),SSC_Ontology_Ver0.5!$C$1681:$C$2208,$B77,SSC_Ontology_Ver0.5!$D$1681:$D$2208,SUBSTITUTE($C77,"{F}",G$17))</f>
        <v>0</v>
      </c>
      <c r="H77" s="19">
        <f>COUNTIFS(SSC_Ontology_Ver0.5!$A$1681:$A$2208,SUBSTITUTE($A77,"{F}",H$17),SSC_Ontology_Ver0.5!$C$1681:$C$2208,$B77,SSC_Ontology_Ver0.5!$D$1681:$D$2208,SUBSTITUTE($C77,"{F}",H$17))</f>
        <v>0</v>
      </c>
      <c r="I77" s="19">
        <f>COUNTIFS(SSC_Ontology_Ver0.5!$A$1681:$A$2208,SUBSTITUTE($A77,"{F}",I$17),SSC_Ontology_Ver0.5!$C$1681:$C$2208,$B77,SSC_Ontology_Ver0.5!$D$1681:$D$2208,SUBSTITUTE($C77,"{F}",I$17))</f>
        <v>0</v>
      </c>
      <c r="J77" s="19">
        <f>COUNTIFS(SSC_Ontology_Ver0.5!$A$1681:$A$2208,SUBSTITUTE($A77,"{F}",J$17),SSC_Ontology_Ver0.5!$C$1681:$C$2208,$B77,SSC_Ontology_Ver0.5!$D$1681:$D$2208,SUBSTITUTE($C77,"{F}",J$17))</f>
        <v>0</v>
      </c>
      <c r="K77" s="19">
        <f>COUNTIFS(SSC_Ontology_Ver0.5!$A$1681:$A$2208,SUBSTITUTE($A77,"{F}",K$17),SSC_Ontology_Ver0.5!$C$1681:$C$2208,$B77,SSC_Ontology_Ver0.5!$D$1681:$D$2208,SUBSTITUTE($C77,"{F}",K$17))</f>
        <v>0</v>
      </c>
      <c r="L77" s="19">
        <f>COUNTIFS(SSC_Ontology_Ver0.5!$A$1681:$A$2208,SUBSTITUTE($A77,"{F}",L$17),SSC_Ontology_Ver0.5!$C$1681:$C$2208,$B77,SSC_Ontology_Ver0.5!$D$1681:$D$2208,SUBSTITUTE($C77,"{F}",L$17))</f>
        <v>1</v>
      </c>
      <c r="M77" s="19">
        <f>COUNTIFS(SSC_Ontology_Ver0.5!$A$1681:$A$2208,SUBSTITUTE($A77,"{F}",M$17),SSC_Ontology_Ver0.5!$C$1681:$C$2208,$B77,SSC_Ontology_Ver0.5!$D$1681:$D$2208,SUBSTITUTE($C77,"{F}",M$17))</f>
        <v>0</v>
      </c>
      <c r="N77" s="19">
        <f>COUNTIFS(SSC_Ontology_Ver0.5!$A$1681:$A$2208,SUBSTITUTE($A77,"{F}",N$17),SSC_Ontology_Ver0.5!$C$1681:$C$2208,$B77,SSC_Ontology_Ver0.5!$D$1681:$D$2208,SUBSTITUTE($C77,"{F}",N$17))</f>
        <v>0</v>
      </c>
      <c r="O77" s="15" t="str">
        <f>IF(OR($B77="rec:locatedIn",$B77="rec:feeds"),"Excluded - varies by room",IF(AND(MIN(D77:N77)=MAX(D77:N77),MAX(D77:N77)=1),"OK",IF(MIN(D77:N77)=0,"Not on all units","Duplicated")))</f>
        <v>Excluded - varies by room</v>
      </c>
    </row>
    <row r="78" spans="1:15" x14ac:dyDescent="0.3">
      <c r="A78" s="13" t="s">
        <v>5016</v>
      </c>
      <c r="B78" s="14" t="s">
        <v>1692</v>
      </c>
      <c r="C78" s="14" t="s">
        <v>57</v>
      </c>
      <c r="D78" s="19">
        <f>COUNTIFS(SSC_Ontology_Ver0.5!$A$1681:$A$2208,SUBSTITUTE($A78,"{F}",D$17),SSC_Ontology_Ver0.5!$C$1681:$C$2208,$B78,SSC_Ontology_Ver0.5!$D$1681:$D$2208,SUBSTITUTE($C78,"{F}",D$17))</f>
        <v>0</v>
      </c>
      <c r="E78" s="19">
        <f>COUNTIFS(SSC_Ontology_Ver0.5!$A$1681:$A$2208,SUBSTITUTE($A78,"{F}",E$17),SSC_Ontology_Ver0.5!$C$1681:$C$2208,$B78,SSC_Ontology_Ver0.5!$D$1681:$D$2208,SUBSTITUTE($C78,"{F}",E$17))</f>
        <v>0</v>
      </c>
      <c r="F78" s="19">
        <f>COUNTIFS(SSC_Ontology_Ver0.5!$A$1681:$A$2208,SUBSTITUTE($A78,"{F}",F$17),SSC_Ontology_Ver0.5!$C$1681:$C$2208,$B78,SSC_Ontology_Ver0.5!$D$1681:$D$2208,SUBSTITUTE($C78,"{F}",F$17))</f>
        <v>0</v>
      </c>
      <c r="G78" s="19">
        <f>COUNTIFS(SSC_Ontology_Ver0.5!$A$1681:$A$2208,SUBSTITUTE($A78,"{F}",G$17),SSC_Ontology_Ver0.5!$C$1681:$C$2208,$B78,SSC_Ontology_Ver0.5!$D$1681:$D$2208,SUBSTITUTE($C78,"{F}",G$17))</f>
        <v>0</v>
      </c>
      <c r="H78" s="19">
        <f>COUNTIFS(SSC_Ontology_Ver0.5!$A$1681:$A$2208,SUBSTITUTE($A78,"{F}",H$17),SSC_Ontology_Ver0.5!$C$1681:$C$2208,$B78,SSC_Ontology_Ver0.5!$D$1681:$D$2208,SUBSTITUTE($C78,"{F}",H$17))</f>
        <v>0</v>
      </c>
      <c r="I78" s="19">
        <f>COUNTIFS(SSC_Ontology_Ver0.5!$A$1681:$A$2208,SUBSTITUTE($A78,"{F}",I$17),SSC_Ontology_Ver0.5!$C$1681:$C$2208,$B78,SSC_Ontology_Ver0.5!$D$1681:$D$2208,SUBSTITUTE($C78,"{F}",I$17))</f>
        <v>0</v>
      </c>
      <c r="J78" s="19">
        <f>COUNTIFS(SSC_Ontology_Ver0.5!$A$1681:$A$2208,SUBSTITUTE($A78,"{F}",J$17),SSC_Ontology_Ver0.5!$C$1681:$C$2208,$B78,SSC_Ontology_Ver0.5!$D$1681:$D$2208,SUBSTITUTE($C78,"{F}",J$17))</f>
        <v>0</v>
      </c>
      <c r="K78" s="19">
        <f>COUNTIFS(SSC_Ontology_Ver0.5!$A$1681:$A$2208,SUBSTITUTE($A78,"{F}",K$17),SSC_Ontology_Ver0.5!$C$1681:$C$2208,$B78,SSC_Ontology_Ver0.5!$D$1681:$D$2208,SUBSTITUTE($C78,"{F}",K$17))</f>
        <v>0</v>
      </c>
      <c r="L78" s="19">
        <f>COUNTIFS(SSC_Ontology_Ver0.5!$A$1681:$A$2208,SUBSTITUTE($A78,"{F}",L$17),SSC_Ontology_Ver0.5!$C$1681:$C$2208,$B78,SSC_Ontology_Ver0.5!$D$1681:$D$2208,SUBSTITUTE($C78,"{F}",L$17))</f>
        <v>0</v>
      </c>
      <c r="M78" s="19">
        <f>COUNTIFS(SSC_Ontology_Ver0.5!$A$1681:$A$2208,SUBSTITUTE($A78,"{F}",M$17),SSC_Ontology_Ver0.5!$C$1681:$C$2208,$B78,SSC_Ontology_Ver0.5!$D$1681:$D$2208,SUBSTITUTE($C78,"{F}",M$17))</f>
        <v>1</v>
      </c>
      <c r="N78" s="19">
        <f>COUNTIFS(SSC_Ontology_Ver0.5!$A$1681:$A$2208,SUBSTITUTE($A78,"{F}",N$17),SSC_Ontology_Ver0.5!$C$1681:$C$2208,$B78,SSC_Ontology_Ver0.5!$D$1681:$D$2208,SUBSTITUTE($C78,"{F}",N$17))</f>
        <v>0</v>
      </c>
      <c r="O78" s="15" t="str">
        <f>IF(OR($B78="rec:locatedIn",$B78="rec:feeds"),"Excluded - varies by room",IF(AND(MIN(D78:N78)=MAX(D78:N78),MAX(D78:N78)=1),"OK",IF(MIN(D78:N78)=0,"Not on all units","Duplicated")))</f>
        <v>Excluded - varies by room</v>
      </c>
    </row>
    <row r="79" spans="1:15" x14ac:dyDescent="0.3">
      <c r="A79" s="13" t="s">
        <v>5016</v>
      </c>
      <c r="B79" s="14" t="s">
        <v>16</v>
      </c>
      <c r="C79" s="14" t="s">
        <v>57</v>
      </c>
      <c r="D79" s="19">
        <f>COUNTIFS(SSC_Ontology_Ver0.5!$A$1681:$A$2208,SUBSTITUTE($A79,"{F}",D$17),SSC_Ontology_Ver0.5!$C$1681:$C$2208,$B79,SSC_Ontology_Ver0.5!$D$1681:$D$2208,SUBSTITUTE($C79,"{F}",D$17))</f>
        <v>0</v>
      </c>
      <c r="E79" s="19">
        <f>COUNTIFS(SSC_Ontology_Ver0.5!$A$1681:$A$2208,SUBSTITUTE($A79,"{F}",E$17),SSC_Ontology_Ver0.5!$C$1681:$C$2208,$B79,SSC_Ontology_Ver0.5!$D$1681:$D$2208,SUBSTITUTE($C79,"{F}",E$17))</f>
        <v>0</v>
      </c>
      <c r="F79" s="19">
        <f>COUNTIFS(SSC_Ontology_Ver0.5!$A$1681:$A$2208,SUBSTITUTE($A79,"{F}",F$17),SSC_Ontology_Ver0.5!$C$1681:$C$2208,$B79,SSC_Ontology_Ver0.5!$D$1681:$D$2208,SUBSTITUTE($C79,"{F}",F$17))</f>
        <v>0</v>
      </c>
      <c r="G79" s="19">
        <f>COUNTIFS(SSC_Ontology_Ver0.5!$A$1681:$A$2208,SUBSTITUTE($A79,"{F}",G$17),SSC_Ontology_Ver0.5!$C$1681:$C$2208,$B79,SSC_Ontology_Ver0.5!$D$1681:$D$2208,SUBSTITUTE($C79,"{F}",G$17))</f>
        <v>0</v>
      </c>
      <c r="H79" s="19">
        <f>COUNTIFS(SSC_Ontology_Ver0.5!$A$1681:$A$2208,SUBSTITUTE($A79,"{F}",H$17),SSC_Ontology_Ver0.5!$C$1681:$C$2208,$B79,SSC_Ontology_Ver0.5!$D$1681:$D$2208,SUBSTITUTE($C79,"{F}",H$17))</f>
        <v>0</v>
      </c>
      <c r="I79" s="19">
        <f>COUNTIFS(SSC_Ontology_Ver0.5!$A$1681:$A$2208,SUBSTITUTE($A79,"{F}",I$17),SSC_Ontology_Ver0.5!$C$1681:$C$2208,$B79,SSC_Ontology_Ver0.5!$D$1681:$D$2208,SUBSTITUTE($C79,"{F}",I$17))</f>
        <v>0</v>
      </c>
      <c r="J79" s="19">
        <f>COUNTIFS(SSC_Ontology_Ver0.5!$A$1681:$A$2208,SUBSTITUTE($A79,"{F}",J$17),SSC_Ontology_Ver0.5!$C$1681:$C$2208,$B79,SSC_Ontology_Ver0.5!$D$1681:$D$2208,SUBSTITUTE($C79,"{F}",J$17))</f>
        <v>0</v>
      </c>
      <c r="K79" s="19">
        <f>COUNTIFS(SSC_Ontology_Ver0.5!$A$1681:$A$2208,SUBSTITUTE($A79,"{F}",K$17),SSC_Ontology_Ver0.5!$C$1681:$C$2208,$B79,SSC_Ontology_Ver0.5!$D$1681:$D$2208,SUBSTITUTE($C79,"{F}",K$17))</f>
        <v>0</v>
      </c>
      <c r="L79" s="19">
        <f>COUNTIFS(SSC_Ontology_Ver0.5!$A$1681:$A$2208,SUBSTITUTE($A79,"{F}",L$17),SSC_Ontology_Ver0.5!$C$1681:$C$2208,$B79,SSC_Ontology_Ver0.5!$D$1681:$D$2208,SUBSTITUTE($C79,"{F}",L$17))</f>
        <v>0</v>
      </c>
      <c r="M79" s="19">
        <f>COUNTIFS(SSC_Ontology_Ver0.5!$A$1681:$A$2208,SUBSTITUTE($A79,"{F}",M$17),SSC_Ontology_Ver0.5!$C$1681:$C$2208,$B79,SSC_Ontology_Ver0.5!$D$1681:$D$2208,SUBSTITUTE($C79,"{F}",M$17))</f>
        <v>1</v>
      </c>
      <c r="N79" s="19">
        <f>COUNTIFS(SSC_Ontology_Ver0.5!$A$1681:$A$2208,SUBSTITUTE($A79,"{F}",N$17),SSC_Ontology_Ver0.5!$C$1681:$C$2208,$B79,SSC_Ontology_Ver0.5!$D$1681:$D$2208,SUBSTITUTE($C79,"{F}",N$17))</f>
        <v>0</v>
      </c>
      <c r="O79" s="15" t="str">
        <f>IF(OR($B79="rec:locatedIn",$B79="rec:feeds"),"Excluded - varies by room",IF(AND(MIN(D79:N79)=MAX(D79:N79),MAX(D79:N79)=1),"OK",IF(MIN(D79:N79)=0,"Not on all units","Duplicated")))</f>
        <v>Excluded - varies by room</v>
      </c>
    </row>
    <row r="80" spans="1:15" x14ac:dyDescent="0.3">
      <c r="A80" s="13" t="s">
        <v>5016</v>
      </c>
      <c r="B80" s="14" t="s">
        <v>1692</v>
      </c>
      <c r="C80" s="14" t="s">
        <v>234</v>
      </c>
      <c r="D80" s="19">
        <f>COUNTIFS(SSC_Ontology_Ver0.5!$A$1681:$A$2208,SUBSTITUTE($A80,"{F}",D$17),SSC_Ontology_Ver0.5!$C$1681:$C$2208,$B80,SSC_Ontology_Ver0.5!$D$1681:$D$2208,SUBSTITUTE($C80,"{F}",D$17))</f>
        <v>0</v>
      </c>
      <c r="E80" s="19">
        <f>COUNTIFS(SSC_Ontology_Ver0.5!$A$1681:$A$2208,SUBSTITUTE($A80,"{F}",E$17),SSC_Ontology_Ver0.5!$C$1681:$C$2208,$B80,SSC_Ontology_Ver0.5!$D$1681:$D$2208,SUBSTITUTE($C80,"{F}",E$17))</f>
        <v>0</v>
      </c>
      <c r="F80" s="19">
        <f>COUNTIFS(SSC_Ontology_Ver0.5!$A$1681:$A$2208,SUBSTITUTE($A80,"{F}",F$17),SSC_Ontology_Ver0.5!$C$1681:$C$2208,$B80,SSC_Ontology_Ver0.5!$D$1681:$D$2208,SUBSTITUTE($C80,"{F}",F$17))</f>
        <v>0</v>
      </c>
      <c r="G80" s="19">
        <f>COUNTIFS(SSC_Ontology_Ver0.5!$A$1681:$A$2208,SUBSTITUTE($A80,"{F}",G$17),SSC_Ontology_Ver0.5!$C$1681:$C$2208,$B80,SSC_Ontology_Ver0.5!$D$1681:$D$2208,SUBSTITUTE($C80,"{F}",G$17))</f>
        <v>0</v>
      </c>
      <c r="H80" s="19">
        <f>COUNTIFS(SSC_Ontology_Ver0.5!$A$1681:$A$2208,SUBSTITUTE($A80,"{F}",H$17),SSC_Ontology_Ver0.5!$C$1681:$C$2208,$B80,SSC_Ontology_Ver0.5!$D$1681:$D$2208,SUBSTITUTE($C80,"{F}",H$17))</f>
        <v>0</v>
      </c>
      <c r="I80" s="19">
        <f>COUNTIFS(SSC_Ontology_Ver0.5!$A$1681:$A$2208,SUBSTITUTE($A80,"{F}",I$17),SSC_Ontology_Ver0.5!$C$1681:$C$2208,$B80,SSC_Ontology_Ver0.5!$D$1681:$D$2208,SUBSTITUTE($C80,"{F}",I$17))</f>
        <v>0</v>
      </c>
      <c r="J80" s="19">
        <f>COUNTIFS(SSC_Ontology_Ver0.5!$A$1681:$A$2208,SUBSTITUTE($A80,"{F}",J$17),SSC_Ontology_Ver0.5!$C$1681:$C$2208,$B80,SSC_Ontology_Ver0.5!$D$1681:$D$2208,SUBSTITUTE($C80,"{F}",J$17))</f>
        <v>0</v>
      </c>
      <c r="K80" s="19">
        <f>COUNTIFS(SSC_Ontology_Ver0.5!$A$1681:$A$2208,SUBSTITUTE($A80,"{F}",K$17),SSC_Ontology_Ver0.5!$C$1681:$C$2208,$B80,SSC_Ontology_Ver0.5!$D$1681:$D$2208,SUBSTITUTE($C80,"{F}",K$17))</f>
        <v>0</v>
      </c>
      <c r="L80" s="19">
        <f>COUNTIFS(SSC_Ontology_Ver0.5!$A$1681:$A$2208,SUBSTITUTE($A80,"{F}",L$17),SSC_Ontology_Ver0.5!$C$1681:$C$2208,$B80,SSC_Ontology_Ver0.5!$D$1681:$D$2208,SUBSTITUTE($C80,"{F}",L$17))</f>
        <v>0</v>
      </c>
      <c r="M80" s="19">
        <f>COUNTIFS(SSC_Ontology_Ver0.5!$A$1681:$A$2208,SUBSTITUTE($A80,"{F}",M$17),SSC_Ontology_Ver0.5!$C$1681:$C$2208,$B80,SSC_Ontology_Ver0.5!$D$1681:$D$2208,SUBSTITUTE($C80,"{F}",M$17))</f>
        <v>0</v>
      </c>
      <c r="N80" s="19">
        <f>COUNTIFS(SSC_Ontology_Ver0.5!$A$1681:$A$2208,SUBSTITUTE($A80,"{F}",N$17),SSC_Ontology_Ver0.5!$C$1681:$C$2208,$B80,SSC_Ontology_Ver0.5!$D$1681:$D$2208,SUBSTITUTE($C80,"{F}",N$17))</f>
        <v>1</v>
      </c>
      <c r="O80" s="15" t="str">
        <f>IF(OR($B80="rec:locatedIn",$B80="rec:feeds"),"Excluded - varies by room",IF(AND(MIN(D80:N80)=MAX(D80:N80),MAX(D80:N80)=1),"OK",IF(MIN(D80:N80)=0,"Not on all units","Duplicated")))</f>
        <v>Excluded - varies by room</v>
      </c>
    </row>
    <row r="81" spans="1:15" x14ac:dyDescent="0.3">
      <c r="A81" s="16" t="s">
        <v>5016</v>
      </c>
      <c r="B81" s="17" t="s">
        <v>16</v>
      </c>
      <c r="C81" s="17" t="s">
        <v>234</v>
      </c>
      <c r="D81" s="20">
        <f>COUNTIFS(SSC_Ontology_Ver0.5!$A$1681:$A$2208,SUBSTITUTE($A81,"{F}",D$17),SSC_Ontology_Ver0.5!$C$1681:$C$2208,$B81,SSC_Ontology_Ver0.5!$D$1681:$D$2208,SUBSTITUTE($C81,"{F}",D$17))</f>
        <v>0</v>
      </c>
      <c r="E81" s="20">
        <f>COUNTIFS(SSC_Ontology_Ver0.5!$A$1681:$A$2208,SUBSTITUTE($A81,"{F}",E$17),SSC_Ontology_Ver0.5!$C$1681:$C$2208,$B81,SSC_Ontology_Ver0.5!$D$1681:$D$2208,SUBSTITUTE($C81,"{F}",E$17))</f>
        <v>0</v>
      </c>
      <c r="F81" s="20">
        <f>COUNTIFS(SSC_Ontology_Ver0.5!$A$1681:$A$2208,SUBSTITUTE($A81,"{F}",F$17),SSC_Ontology_Ver0.5!$C$1681:$C$2208,$B81,SSC_Ontology_Ver0.5!$D$1681:$D$2208,SUBSTITUTE($C81,"{F}",F$17))</f>
        <v>0</v>
      </c>
      <c r="G81" s="20">
        <f>COUNTIFS(SSC_Ontology_Ver0.5!$A$1681:$A$2208,SUBSTITUTE($A81,"{F}",G$17),SSC_Ontology_Ver0.5!$C$1681:$C$2208,$B81,SSC_Ontology_Ver0.5!$D$1681:$D$2208,SUBSTITUTE($C81,"{F}",G$17))</f>
        <v>0</v>
      </c>
      <c r="H81" s="20">
        <f>COUNTIFS(SSC_Ontology_Ver0.5!$A$1681:$A$2208,SUBSTITUTE($A81,"{F}",H$17),SSC_Ontology_Ver0.5!$C$1681:$C$2208,$B81,SSC_Ontology_Ver0.5!$D$1681:$D$2208,SUBSTITUTE($C81,"{F}",H$17))</f>
        <v>0</v>
      </c>
      <c r="I81" s="20">
        <f>COUNTIFS(SSC_Ontology_Ver0.5!$A$1681:$A$2208,SUBSTITUTE($A81,"{F}",I$17),SSC_Ontology_Ver0.5!$C$1681:$C$2208,$B81,SSC_Ontology_Ver0.5!$D$1681:$D$2208,SUBSTITUTE($C81,"{F}",I$17))</f>
        <v>0</v>
      </c>
      <c r="J81" s="20">
        <f>COUNTIFS(SSC_Ontology_Ver0.5!$A$1681:$A$2208,SUBSTITUTE($A81,"{F}",J$17),SSC_Ontology_Ver0.5!$C$1681:$C$2208,$B81,SSC_Ontology_Ver0.5!$D$1681:$D$2208,SUBSTITUTE($C81,"{F}",J$17))</f>
        <v>0</v>
      </c>
      <c r="K81" s="20">
        <f>COUNTIFS(SSC_Ontology_Ver0.5!$A$1681:$A$2208,SUBSTITUTE($A81,"{F}",K$17),SSC_Ontology_Ver0.5!$C$1681:$C$2208,$B81,SSC_Ontology_Ver0.5!$D$1681:$D$2208,SUBSTITUTE($C81,"{F}",K$17))</f>
        <v>0</v>
      </c>
      <c r="L81" s="20">
        <f>COUNTIFS(SSC_Ontology_Ver0.5!$A$1681:$A$2208,SUBSTITUTE($A81,"{F}",L$17),SSC_Ontology_Ver0.5!$C$1681:$C$2208,$B81,SSC_Ontology_Ver0.5!$D$1681:$D$2208,SUBSTITUTE($C81,"{F}",L$17))</f>
        <v>0</v>
      </c>
      <c r="M81" s="20">
        <f>COUNTIFS(SSC_Ontology_Ver0.5!$A$1681:$A$2208,SUBSTITUTE($A81,"{F}",M$17),SSC_Ontology_Ver0.5!$C$1681:$C$2208,$B81,SSC_Ontology_Ver0.5!$D$1681:$D$2208,SUBSTITUTE($C81,"{F}",M$17))</f>
        <v>0</v>
      </c>
      <c r="N81" s="20">
        <f>COUNTIFS(SSC_Ontology_Ver0.5!$A$1681:$A$2208,SUBSTITUTE($A81,"{F}",N$17),SSC_Ontology_Ver0.5!$C$1681:$C$2208,$B81,SSC_Ontology_Ver0.5!$D$1681:$D$2208,SUBSTITUTE($C81,"{F}",N$17))</f>
        <v>1</v>
      </c>
      <c r="O81" s="18" t="str">
        <f>IF(OR($B81="rec:locatedIn",$B81="rec:feeds"),"Excluded - varies by room",IF(AND(MIN(D81:N81)=MAX(D81:N81),MAX(D81:N81)=1),"OK",IF(MIN(D81:N81)=0,"Not on all units","Duplicated")))</f>
        <v>Excluded - varies by room</v>
      </c>
    </row>
    <row r="83" spans="1:15" x14ac:dyDescent="0.3">
      <c r="A83" s="24" t="s">
        <v>5041</v>
      </c>
    </row>
    <row r="84" spans="1:15" x14ac:dyDescent="0.3">
      <c r="A84" s="10" t="s">
        <v>4878</v>
      </c>
      <c r="B84" s="11" t="s">
        <v>4987</v>
      </c>
      <c r="C84" s="11" t="s">
        <v>4988</v>
      </c>
      <c r="D84" s="11" t="s">
        <v>4989</v>
      </c>
      <c r="E84" s="12" t="s">
        <v>4990</v>
      </c>
    </row>
    <row r="85" spans="1:15" x14ac:dyDescent="0.3">
      <c r="A85" s="13" t="s">
        <v>4998</v>
      </c>
      <c r="B85" s="19">
        <f>COUNTIFS(SSC_Ontology_Ver0.5!$A$1681:$A$2208,"entity:SSC_"&amp;$A85,SSC_Ontology_Ver0.5!$C$1681:$C$2208,"rec:locatedIn")</f>
        <v>1</v>
      </c>
      <c r="C85" s="14" t="str" cm="1">
        <f t="array" ref="C85">_xlfn.TEXTJOIN(" ; ",TRUE,IF((SSC_Ontology_Ver0.5!$A$1681:$A$2208="entity:SSC_"&amp;$A85)*(SSC_Ontology_Ver0.5!$C$1681:$C$2208="rec:locatedIn"),SSC_Ontology_Ver0.5!$D$1681:$D$2208,""))</f>
        <v>entity:SSC_B1_016_SPRINKLER_&amp;_WATER</v>
      </c>
      <c r="D85" s="14" t="str" cm="1">
        <f t="array" ref="D85">_xlfn.TEXTJOIN(" ; ",TRUE,IF((SSC_Ontology_Ver0.5!$A$1681:$A$2208="entity:SSC_"&amp;$A85)*(SSC_Ontology_Ver0.5!$C$1681:$C$2208="rec:feeds"),SSC_Ontology_Ver0.5!$D$1681:$D$2208,""))</f>
        <v>entity:SSC_B1_016_SPRINKLER_&amp;_WATER</v>
      </c>
      <c r="E85" s="25" t="str">
        <f>IF($C85=$D85,"same","different")</f>
        <v>same</v>
      </c>
    </row>
    <row r="86" spans="1:15" x14ac:dyDescent="0.3">
      <c r="A86" s="13" t="s">
        <v>4999</v>
      </c>
      <c r="B86" s="19">
        <f>COUNTIFS(SSC_Ontology_Ver0.5!$A$1681:$A$2208,"entity:SSC_"&amp;$A86,SSC_Ontology_Ver0.5!$C$1681:$C$2208,"rec:locatedIn")</f>
        <v>1</v>
      </c>
      <c r="C86" s="14" t="str" cm="1">
        <f t="array" ref="C86">_xlfn.TEXTJOIN(" ; ",TRUE,IF((SSC_Ontology_Ver0.5!$A$1681:$A$2208="entity:SSC_"&amp;$A86)*(SSC_Ontology_Ver0.5!$C$1681:$C$2208="rec:locatedIn"),SSC_Ontology_Ver0.5!$D$1681:$D$2208,""))</f>
        <v>entity:SSC_B1_025_MAIN_SEC_CONTROL_ROOM</v>
      </c>
      <c r="D86" s="14" t="str" cm="1">
        <f t="array" ref="D86">_xlfn.TEXTJOIN(" ; ",TRUE,IF((SSC_Ontology_Ver0.5!$A$1681:$A$2208="entity:SSC_"&amp;$A86)*(SSC_Ontology_Ver0.5!$C$1681:$C$2208="rec:feeds"),SSC_Ontology_Ver0.5!$D$1681:$D$2208,""))</f>
        <v>entity:SSC_B1_025_MAIN_SEC_CONTROL_ROOM</v>
      </c>
      <c r="E86" s="25" t="str">
        <f>IF($C86=$D86,"same","different")</f>
        <v>same</v>
      </c>
    </row>
    <row r="87" spans="1:15" x14ac:dyDescent="0.3">
      <c r="A87" s="13" t="s">
        <v>5000</v>
      </c>
      <c r="B87" s="19">
        <f>COUNTIFS(SSC_Ontology_Ver0.5!$A$1681:$A$2208,"entity:SSC_"&amp;$A87,SSC_Ontology_Ver0.5!$C$1681:$C$2208,"rec:locatedIn")</f>
        <v>1</v>
      </c>
      <c r="C87" s="14" t="str" cm="1">
        <f t="array" ref="C87">_xlfn.TEXTJOIN(" ; ",TRUE,IF((SSC_Ontology_Ver0.5!$A$1681:$A$2208="entity:SSC_"&amp;$A87)*(SSC_Ontology_Ver0.5!$C$1681:$C$2208="rec:locatedIn"),SSC_Ontology_Ver0.5!$D$1681:$D$2208,""))</f>
        <v>entity:SSC_B1_039_BMS</v>
      </c>
      <c r="D87" s="14" t="str" cm="1">
        <f t="array" ref="D87">_xlfn.TEXTJOIN(" ; ",TRUE,IF((SSC_Ontology_Ver0.5!$A$1681:$A$2208="entity:SSC_"&amp;$A87)*(SSC_Ontology_Ver0.5!$C$1681:$C$2208="rec:feeds"),SSC_Ontology_Ver0.5!$D$1681:$D$2208,""))</f>
        <v>entity:SSC_B1_039_BMS</v>
      </c>
      <c r="E87" s="25" t="str">
        <f>IF($C87=$D87,"same","different")</f>
        <v>same</v>
      </c>
    </row>
    <row r="88" spans="1:15" x14ac:dyDescent="0.3">
      <c r="A88" s="13" t="s">
        <v>5001</v>
      </c>
      <c r="B88" s="19">
        <f>COUNTIFS(SSC_Ontology_Ver0.5!$A$1681:$A$2208,"entity:SSC_"&amp;$A88,SSC_Ontology_Ver0.5!$C$1681:$C$2208,"rec:locatedIn")</f>
        <v>1</v>
      </c>
      <c r="C88" s="14" t="str" cm="1">
        <f t="array" ref="C88">_xlfn.TEXTJOIN(" ; ",TRUE,IF((SSC_Ontology_Ver0.5!$A$1681:$A$2208="entity:SSC_"&amp;$A88)*(SSC_Ontology_Ver0.5!$C$1681:$C$2208="rec:locatedIn"),SSC_Ontology_Ver0.5!$D$1681:$D$2208,""))</f>
        <v>entity:SSC_01_008_AV_ROOM</v>
      </c>
      <c r="D88" s="14" t="str" cm="1">
        <f t="array" ref="D88">_xlfn.TEXTJOIN(" ; ",TRUE,IF((SSC_Ontology_Ver0.5!$A$1681:$A$2208="entity:SSC_"&amp;$A88)*(SSC_Ontology_Ver0.5!$C$1681:$C$2208="rec:feeds"),SSC_Ontology_Ver0.5!$D$1681:$D$2208,""))</f>
        <v>entity:SSC_01_008_AV_ROOM</v>
      </c>
      <c r="E88" s="25" t="str">
        <f>IF($C88=$D88,"same","different")</f>
        <v>same</v>
      </c>
    </row>
    <row r="89" spans="1:15" x14ac:dyDescent="0.3">
      <c r="A89" s="13" t="s">
        <v>5002</v>
      </c>
      <c r="B89" s="19">
        <f>COUNTIFS(SSC_Ontology_Ver0.5!$A$1681:$A$2208,"entity:SSC_"&amp;$A89,SSC_Ontology_Ver0.5!$C$1681:$C$2208,"rec:locatedIn")</f>
        <v>1</v>
      </c>
      <c r="C89" s="14" t="str" cm="1">
        <f t="array" ref="C89">_xlfn.TEXTJOIN(" ; ",TRUE,IF((SSC_Ontology_Ver0.5!$A$1681:$A$2208="entity:SSC_"&amp;$A89)*(SSC_Ontology_Ver0.5!$C$1681:$C$2208="rec:locatedIn"),SSC_Ontology_Ver0.5!$D$1681:$D$2208,""))</f>
        <v>entity:SSC_01_027_IDF_1</v>
      </c>
      <c r="D89" s="14" t="str" cm="1">
        <f t="array" ref="D89">_xlfn.TEXTJOIN(" ; ",TRUE,IF((SSC_Ontology_Ver0.5!$A$1681:$A$2208="entity:SSC_"&amp;$A89)*(SSC_Ontology_Ver0.5!$C$1681:$C$2208="rec:feeds"),SSC_Ontology_Ver0.5!$D$1681:$D$2208,""))</f>
        <v>entity:SSC_01_027_IDF_1</v>
      </c>
      <c r="E89" s="25" t="str">
        <f>IF($C89=$D89,"same","different")</f>
        <v>same</v>
      </c>
    </row>
    <row r="90" spans="1:15" x14ac:dyDescent="0.3">
      <c r="A90" s="13" t="s">
        <v>5003</v>
      </c>
      <c r="B90" s="19">
        <f>COUNTIFS(SSC_Ontology_Ver0.5!$A$1681:$A$2208,"entity:SSC_"&amp;$A90,SSC_Ontology_Ver0.5!$C$1681:$C$2208,"rec:locatedIn")</f>
        <v>1</v>
      </c>
      <c r="C90" s="14" t="str" cm="1">
        <f t="array" ref="C90">_xlfn.TEXTJOIN(" ; ",TRUE,IF((SSC_Ontology_Ver0.5!$A$1681:$A$2208="entity:SSC_"&amp;$A90)*(SSC_Ontology_Ver0.5!$C$1681:$C$2208="rec:locatedIn"),SSC_Ontology_Ver0.5!$D$1681:$D$2208,""))</f>
        <v>entity:SSC_01_027_IDF_1</v>
      </c>
      <c r="D90" s="14" t="str" cm="1">
        <f t="array" ref="D90">_xlfn.TEXTJOIN(" ; ",TRUE,IF((SSC_Ontology_Ver0.5!$A$1681:$A$2208="entity:SSC_"&amp;$A90)*(SSC_Ontology_Ver0.5!$C$1681:$C$2208="rec:feeds"),SSC_Ontology_Ver0.5!$D$1681:$D$2208,""))</f>
        <v>entity:SSC_01_027_IDF_1</v>
      </c>
      <c r="E90" s="25" t="str">
        <f>IF($C90=$D90,"same","different")</f>
        <v>same</v>
      </c>
    </row>
    <row r="91" spans="1:15" x14ac:dyDescent="0.3">
      <c r="A91" s="13" t="s">
        <v>5004</v>
      </c>
      <c r="B91" s="19">
        <f>COUNTIFS(SSC_Ontology_Ver0.5!$A$1681:$A$2208,"entity:SSC_"&amp;$A91,SSC_Ontology_Ver0.5!$C$1681:$C$2208,"rec:locatedIn")</f>
        <v>1</v>
      </c>
      <c r="C91" s="14" t="str" cm="1">
        <f t="array" ref="C91">_xlfn.TEXTJOIN(" ; ",TRUE,IF((SSC_Ontology_Ver0.5!$A$1681:$A$2208="entity:SSC_"&amp;$A91)*(SSC_Ontology_Ver0.5!$C$1681:$C$2208="rec:locatedIn"),SSC_Ontology_Ver0.5!$D$1681:$D$2208,""))</f>
        <v>entity:SSC_01_039_IDF_2</v>
      </c>
      <c r="D91" s="14" t="str" cm="1">
        <f t="array" ref="D91">_xlfn.TEXTJOIN(" ; ",TRUE,IF((SSC_Ontology_Ver0.5!$A$1681:$A$2208="entity:SSC_"&amp;$A91)*(SSC_Ontology_Ver0.5!$C$1681:$C$2208="rec:feeds"),SSC_Ontology_Ver0.5!$D$1681:$D$2208,""))</f>
        <v>entity:SSC_01_039_IDF_2</v>
      </c>
      <c r="E91" s="25" t="str">
        <f>IF($C91=$D91,"same","different")</f>
        <v>same</v>
      </c>
    </row>
    <row r="92" spans="1:15" x14ac:dyDescent="0.3">
      <c r="A92" s="13" t="s">
        <v>5005</v>
      </c>
      <c r="B92" s="19">
        <f>COUNTIFS(SSC_Ontology_Ver0.5!$A$1681:$A$2208,"entity:SSC_"&amp;$A92,SSC_Ontology_Ver0.5!$C$1681:$C$2208,"rec:locatedIn")</f>
        <v>1</v>
      </c>
      <c r="C92" s="14" t="str" cm="1">
        <f t="array" ref="C92">_xlfn.TEXTJOIN(" ; ",TRUE,IF((SSC_Ontology_Ver0.5!$A$1681:$A$2208="entity:SSC_"&amp;$A92)*(SSC_Ontology_Ver0.5!$C$1681:$C$2208="rec:locatedIn"),SSC_Ontology_Ver0.5!$D$1681:$D$2208,""))</f>
        <v>entity:SSC_01_039_IDF_2</v>
      </c>
      <c r="D92" s="14" t="str" cm="1">
        <f t="array" ref="D92">_xlfn.TEXTJOIN(" ; ",TRUE,IF((SSC_Ontology_Ver0.5!$A$1681:$A$2208="entity:SSC_"&amp;$A92)*(SSC_Ontology_Ver0.5!$C$1681:$C$2208="rec:feeds"),SSC_Ontology_Ver0.5!$D$1681:$D$2208,""))</f>
        <v>entity:SSC_01_039_IDF_2</v>
      </c>
      <c r="E92" s="25" t="str">
        <f>IF($C92=$D92,"same","different")</f>
        <v>same</v>
      </c>
    </row>
    <row r="93" spans="1:15" x14ac:dyDescent="0.3">
      <c r="A93" s="13" t="s">
        <v>5006</v>
      </c>
      <c r="B93" s="19">
        <f>COUNTIFS(SSC_Ontology_Ver0.5!$A$1681:$A$2208,"entity:SSC_"&amp;$A93,SSC_Ontology_Ver0.5!$C$1681:$C$2208,"rec:locatedIn")</f>
        <v>1</v>
      </c>
      <c r="C93" s="14" t="str" cm="1">
        <f t="array" ref="C93">_xlfn.TEXTJOIN(" ; ",TRUE,IF((SSC_Ontology_Ver0.5!$A$1681:$A$2208="entity:SSC_"&amp;$A93)*(SSC_Ontology_Ver0.5!$C$1681:$C$2208="rec:locatedIn"),SSC_Ontology_Ver0.5!$D$1681:$D$2208,""))</f>
        <v>entity:SSC_01_028_CORRIDOR</v>
      </c>
      <c r="D93" s="14" t="str" cm="1">
        <f t="array" ref="D93">_xlfn.TEXTJOIN(" ; ",TRUE,IF((SSC_Ontology_Ver0.5!$A$1681:$A$2208="entity:SSC_"&amp;$A93)*(SSC_Ontology_Ver0.5!$C$1681:$C$2208="rec:feeds"),SSC_Ontology_Ver0.5!$D$1681:$D$2208,""))</f>
        <v>entity:SSC_01_028_CORRIDOR</v>
      </c>
      <c r="E93" s="25" t="str">
        <f>IF($C93=$D93,"same","different")</f>
        <v>same</v>
      </c>
    </row>
    <row r="94" spans="1:15" x14ac:dyDescent="0.3">
      <c r="A94" s="13" t="s">
        <v>5007</v>
      </c>
      <c r="B94" s="19">
        <f>COUNTIFS(SSC_Ontology_Ver0.5!$A$1681:$A$2208,"entity:SSC_"&amp;$A94,SSC_Ontology_Ver0.5!$C$1681:$C$2208,"rec:locatedIn")</f>
        <v>1</v>
      </c>
      <c r="C94" s="14" t="str" cm="1">
        <f t="array" ref="C94">_xlfn.TEXTJOIN(" ; ",TRUE,IF((SSC_Ontology_Ver0.5!$A$1681:$A$2208="entity:SSC_"&amp;$A94)*(SSC_Ontology_Ver0.5!$C$1681:$C$2208="rec:locatedIn"),SSC_Ontology_Ver0.5!$D$1681:$D$2208,""))</f>
        <v>entity:SSC_01_010_CORRIDOR</v>
      </c>
      <c r="D94" s="14" t="str" cm="1">
        <f t="array" ref="D94">_xlfn.TEXTJOIN(" ; ",TRUE,IF((SSC_Ontology_Ver0.5!$A$1681:$A$2208="entity:SSC_"&amp;$A94)*(SSC_Ontology_Ver0.5!$C$1681:$C$2208="rec:feeds"),SSC_Ontology_Ver0.5!$D$1681:$D$2208,""))</f>
        <v>entity:SSC_01_010_CORRIDOR</v>
      </c>
      <c r="E94" s="25" t="str">
        <f>IF($C94=$D94,"same","different")</f>
        <v>same</v>
      </c>
    </row>
    <row r="95" spans="1:15" x14ac:dyDescent="0.3">
      <c r="A95" s="16" t="s">
        <v>5008</v>
      </c>
      <c r="B95" s="20">
        <f>COUNTIFS(SSC_Ontology_Ver0.5!$A$1681:$A$2208,"entity:SSC_"&amp;$A95,SSC_Ontology_Ver0.5!$C$1681:$C$2208,"rec:locatedIn")</f>
        <v>1</v>
      </c>
      <c r="C95" s="17" t="str" cm="1">
        <f t="array" ref="C95">_xlfn.TEXTJOIN(" ; ",TRUE,IF((SSC_Ontology_Ver0.5!$A$1681:$A$2208="entity:SSC_"&amp;$A95)*(SSC_Ontology_Ver0.5!$C$1681:$C$2208="rec:locatedIn"),SSC_Ontology_Ver0.5!$D$1681:$D$2208,""))</f>
        <v>entity:SSC_03_033_PRINTING</v>
      </c>
      <c r="D95" s="17" t="str" cm="1">
        <f t="array" ref="D95">_xlfn.TEXTJOIN(" ; ",TRUE,IF((SSC_Ontology_Ver0.5!$A$1681:$A$2208="entity:SSC_"&amp;$A95)*(SSC_Ontology_Ver0.5!$C$1681:$C$2208="rec:feeds"),SSC_Ontology_Ver0.5!$D$1681:$D$2208,""))</f>
        <v>entity:SSC_03_033_PRINTING</v>
      </c>
      <c r="E95" s="26" t="str">
        <f>IF($C95=$D95,"same","different")</f>
        <v>same</v>
      </c>
    </row>
  </sheetData>
  <conditionalFormatting sqref="A18:O81 A83">
    <cfRule type="expression" dxfId="5" priority="1">
      <formula>AND($O18&lt;&gt;"OK",LEFT($O18,8)&lt;&gt;"Excluded")</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7C1F5-B87E-4818-A745-69AC20192391}">
  <dimension ref="A1:L67"/>
  <sheetViews>
    <sheetView workbookViewId="0">
      <pane ySplit="19" topLeftCell="A20" activePane="bottomLeft" state="frozen"/>
      <selection pane="bottomLeft" activeCell="C8" sqref="C8"/>
    </sheetView>
  </sheetViews>
  <sheetFormatPr defaultRowHeight="14.4" x14ac:dyDescent="0.3"/>
  <cols>
    <col min="1" max="3" width="50" customWidth="1"/>
    <col min="4" max="10" width="14.44140625" customWidth="1"/>
    <col min="11" max="12" width="28.6640625" customWidth="1"/>
  </cols>
  <sheetData>
    <row r="1" spans="1:9" ht="18" x14ac:dyDescent="0.35">
      <c r="A1" s="7" t="s">
        <v>5046</v>
      </c>
    </row>
    <row r="2" spans="1:9" x14ac:dyDescent="0.3">
      <c r="A2" s="8" t="s">
        <v>5047</v>
      </c>
    </row>
    <row r="4" spans="1:9" x14ac:dyDescent="0.3">
      <c r="A4" s="6" t="s">
        <v>5048</v>
      </c>
    </row>
    <row r="5" spans="1:9" x14ac:dyDescent="0.3">
      <c r="A5" s="10" t="s">
        <v>4733</v>
      </c>
      <c r="B5" s="11" t="s">
        <v>5049</v>
      </c>
      <c r="C5" s="11" t="s">
        <v>5050</v>
      </c>
      <c r="D5" s="11" t="s">
        <v>5051</v>
      </c>
      <c r="E5" s="11" t="s">
        <v>5052</v>
      </c>
      <c r="F5" s="11" t="s">
        <v>5053</v>
      </c>
      <c r="G5" s="11" t="s">
        <v>5054</v>
      </c>
      <c r="H5" s="11" t="s">
        <v>5055</v>
      </c>
      <c r="I5" s="12" t="s">
        <v>4894</v>
      </c>
    </row>
    <row r="6" spans="1:9" x14ac:dyDescent="0.3">
      <c r="A6" s="13" t="s">
        <v>4739</v>
      </c>
      <c r="B6" s="19">
        <f>COUNTIF(SSC_Ontology_Ver0.5!$A$2209:$A$2492,"*"&amp;"GEFB0001"&amp;"*")</f>
        <v>30</v>
      </c>
      <c r="C6" s="19">
        <f>COUNTIF(SSC_Ontology_Ver0.5!$A$2209:$A$2492,"*"&amp;"KEF0103"&amp;"*")</f>
        <v>52</v>
      </c>
      <c r="D6" s="19">
        <f>COUNTIF(SSC_Ontology_Ver0.5!$A$2209:$A$2492,"*"&amp;"KEF0303"&amp;"*")</f>
        <v>52</v>
      </c>
      <c r="E6" s="19">
        <f>COUNTIF(SSC_Ontology_Ver0.5!$A$2209:$A$2492,"*"&amp;"TEF0101"&amp;"*")</f>
        <v>30</v>
      </c>
      <c r="F6" s="19">
        <f>COUNTIF(SSC_Ontology_Ver0.5!$A$2209:$A$2492,"*"&amp;"TEF0102"&amp;"*")</f>
        <v>30</v>
      </c>
      <c r="G6" s="19">
        <f>COUNTIF(SSC_Ontology_Ver0.5!$A$2209:$A$2492,"*"&amp;"TEF0301"&amp;"*")</f>
        <v>30</v>
      </c>
      <c r="H6" s="19">
        <f>COUNTIF(SSC_Ontology_Ver0.5!$A$2209:$A$2492,"*"&amp;"TEF0302"&amp;"*")</f>
        <v>30</v>
      </c>
      <c r="I6" s="25" t="str">
        <f>IF(MIN(B6:H6)=MAX(B6:H6),"YES","NO")</f>
        <v>NO</v>
      </c>
    </row>
    <row r="7" spans="1:9" x14ac:dyDescent="0.3">
      <c r="A7" s="13" t="s">
        <v>5056</v>
      </c>
      <c r="B7" s="19" cm="1">
        <f t="array" ref="B7">SUMPRODUCT(--(D$20:D$55&gt;0))</f>
        <v>30</v>
      </c>
      <c r="C7" s="19" cm="1">
        <f t="array" ref="C7">SUMPRODUCT(--(E$20:E$55&gt;0))</f>
        <v>26</v>
      </c>
      <c r="D7" s="19" cm="1">
        <f t="array" ref="D7">SUMPRODUCT(--(F$20:F$55&gt;0))</f>
        <v>26</v>
      </c>
      <c r="E7" s="19" cm="1">
        <f t="array" ref="E7">SUMPRODUCT(--(G$20:G$55&gt;0))</f>
        <v>30</v>
      </c>
      <c r="F7" s="19" cm="1">
        <f t="array" ref="F7">SUMPRODUCT(--(H$20:H$55&gt;0))</f>
        <v>30</v>
      </c>
      <c r="G7" s="19" cm="1">
        <f t="array" ref="G7">SUMPRODUCT(--(I$20:I$55&gt;0))</f>
        <v>30</v>
      </c>
      <c r="H7" s="19" cm="1">
        <f t="array" ref="H7">SUMPRODUCT(--(J$20:J$55&gt;0))</f>
        <v>30</v>
      </c>
      <c r="I7" s="25"/>
    </row>
    <row r="8" spans="1:9" x14ac:dyDescent="0.3">
      <c r="A8" s="16" t="s">
        <v>5057</v>
      </c>
      <c r="B8" s="20">
        <f>0</f>
        <v>0</v>
      </c>
      <c r="C8" s="20">
        <f>C6-$B$6</f>
        <v>22</v>
      </c>
      <c r="D8" s="20">
        <f>D6-$B$6</f>
        <v>22</v>
      </c>
      <c r="E8" s="20">
        <f>E6-$B$6</f>
        <v>0</v>
      </c>
      <c r="F8" s="20">
        <f>F6-$B$6</f>
        <v>0</v>
      </c>
      <c r="G8" s="20">
        <f>G6-$B$6</f>
        <v>0</v>
      </c>
      <c r="H8" s="20">
        <f>H6-$B$6</f>
        <v>0</v>
      </c>
      <c r="I8" s="26"/>
    </row>
    <row r="10" spans="1:9" x14ac:dyDescent="0.3">
      <c r="A10" s="6" t="s">
        <v>4845</v>
      </c>
    </row>
    <row r="11" spans="1:9" x14ac:dyDescent="0.3">
      <c r="A11" t="s">
        <v>5058</v>
      </c>
    </row>
    <row r="12" spans="1:9" x14ac:dyDescent="0.3">
      <c r="A12" t="s">
        <v>5059</v>
      </c>
    </row>
    <row r="13" spans="1:9" x14ac:dyDescent="0.3">
      <c r="A13" t="s">
        <v>5083</v>
      </c>
    </row>
    <row r="14" spans="1:9" x14ac:dyDescent="0.3">
      <c r="A14" t="s">
        <v>5060</v>
      </c>
    </row>
    <row r="15" spans="1:9" x14ac:dyDescent="0.3">
      <c r="A15" t="s">
        <v>5061</v>
      </c>
    </row>
    <row r="16" spans="1:9" x14ac:dyDescent="0.3">
      <c r="A16" t="s">
        <v>5062</v>
      </c>
    </row>
    <row r="18" spans="1:12" x14ac:dyDescent="0.3">
      <c r="A18" s="6" t="s">
        <v>5063</v>
      </c>
    </row>
    <row r="19" spans="1:12" x14ac:dyDescent="0.3">
      <c r="A19" s="10" t="s">
        <v>4741</v>
      </c>
      <c r="B19" s="11" t="s">
        <v>4742</v>
      </c>
      <c r="C19" s="11" t="s">
        <v>4743</v>
      </c>
      <c r="D19" s="11" t="s">
        <v>5049</v>
      </c>
      <c r="E19" s="11" t="s">
        <v>5050</v>
      </c>
      <c r="F19" s="11" t="s">
        <v>5051</v>
      </c>
      <c r="G19" s="11" t="s">
        <v>5052</v>
      </c>
      <c r="H19" s="11" t="s">
        <v>5053</v>
      </c>
      <c r="I19" s="11" t="s">
        <v>5054</v>
      </c>
      <c r="J19" s="11" t="s">
        <v>5055</v>
      </c>
      <c r="K19" s="11" t="s">
        <v>5064</v>
      </c>
      <c r="L19" s="12" t="s">
        <v>5065</v>
      </c>
    </row>
    <row r="20" spans="1:12" x14ac:dyDescent="0.3">
      <c r="A20" s="13" t="s">
        <v>5066</v>
      </c>
      <c r="B20" s="14" t="s">
        <v>280</v>
      </c>
      <c r="C20" s="14" t="s">
        <v>5067</v>
      </c>
      <c r="D20" s="19">
        <f>COUNTIFS(SSC_Ontology_Ver0.5!$A$2209:$A$2492,SUBSTITUTE($A20,"{X}",D$19),SSC_Ontology_Ver0.5!$C$2209:$C$2492,$B20,SSC_Ontology_Ver0.5!$D$2209:$D$2492,SUBSTITUTE($C20,"{X}",D$19))</f>
        <v>1</v>
      </c>
      <c r="E20" s="19">
        <f>COUNTIFS(SSC_Ontology_Ver0.5!$A$2209:$A$2492,SUBSTITUTE($A20,"{X}",E$19),SSC_Ontology_Ver0.5!$C$2209:$C$2492,$B20,SSC_Ontology_Ver0.5!$D$2209:$D$2492,SUBSTITUTE($C20,"{X}",E$19))</f>
        <v>2</v>
      </c>
      <c r="F20" s="19">
        <f>COUNTIFS(SSC_Ontology_Ver0.5!$A$2209:$A$2492,SUBSTITUTE($A20,"{X}",F$19),SSC_Ontology_Ver0.5!$C$2209:$C$2492,$B20,SSC_Ontology_Ver0.5!$D$2209:$D$2492,SUBSTITUTE($C20,"{X}",F$19))</f>
        <v>2</v>
      </c>
      <c r="G20" s="19">
        <f>COUNTIFS(SSC_Ontology_Ver0.5!$A$2209:$A$2492,SUBSTITUTE($A20,"{X}",G$19),SSC_Ontology_Ver0.5!$C$2209:$C$2492,$B20,SSC_Ontology_Ver0.5!$D$2209:$D$2492,SUBSTITUTE($C20,"{X}",G$19))</f>
        <v>1</v>
      </c>
      <c r="H20" s="19">
        <f>COUNTIFS(SSC_Ontology_Ver0.5!$A$2209:$A$2492,SUBSTITUTE($A20,"{X}",H$19),SSC_Ontology_Ver0.5!$C$2209:$C$2492,$B20,SSC_Ontology_Ver0.5!$D$2209:$D$2492,SUBSTITUTE($C20,"{X}",H$19))</f>
        <v>1</v>
      </c>
      <c r="I20" s="19">
        <f>COUNTIFS(SSC_Ontology_Ver0.5!$A$2209:$A$2492,SUBSTITUTE($A20,"{X}",I$19),SSC_Ontology_Ver0.5!$C$2209:$C$2492,$B20,SSC_Ontology_Ver0.5!$D$2209:$D$2492,SUBSTITUTE($C20,"{X}",I$19))</f>
        <v>1</v>
      </c>
      <c r="J20" s="19">
        <f>COUNTIFS(SSC_Ontology_Ver0.5!$A$2209:$A$2492,SUBSTITUTE($A20,"{X}",J$19),SSC_Ontology_Ver0.5!$C$2209:$C$2492,$B20,SSC_Ontology_Ver0.5!$D$2209:$D$2492,SUBSTITUTE($C20,"{X}",J$19))</f>
        <v>1</v>
      </c>
      <c r="K20" s="14" t="str">
        <f>IF(MIN(D20:J20)&gt;0,"On all 7","Missing on "&amp;COUNTIF(D20:J20,0)&amp;" of 7")</f>
        <v>On all 7</v>
      </c>
      <c r="L20" s="15" t="str">
        <f>IF(MAX(D20:J20)&gt;1,"Duplicated on "&amp;COUNTIF(D20:J20,"&gt;1")&amp;" unit(s)","-")</f>
        <v>Duplicated on 2 unit(s)</v>
      </c>
    </row>
    <row r="21" spans="1:12" x14ac:dyDescent="0.3">
      <c r="A21" s="13" t="s">
        <v>5066</v>
      </c>
      <c r="B21" s="14" t="s">
        <v>308</v>
      </c>
      <c r="C21" s="14" t="s">
        <v>5068</v>
      </c>
      <c r="D21" s="19">
        <f>COUNTIFS(SSC_Ontology_Ver0.5!$A$2209:$A$2492,SUBSTITUTE($A21,"{X}",D$19),SSC_Ontology_Ver0.5!$C$2209:$C$2492,$B21,SSC_Ontology_Ver0.5!$D$2209:$D$2492,SUBSTITUTE($C21,"{X}",D$19))</f>
        <v>1</v>
      </c>
      <c r="E21" s="19">
        <f>COUNTIFS(SSC_Ontology_Ver0.5!$A$2209:$A$2492,SUBSTITUTE($A21,"{X}",E$19),SSC_Ontology_Ver0.5!$C$2209:$C$2492,$B21,SSC_Ontology_Ver0.5!$D$2209:$D$2492,SUBSTITUTE($C21,"{X}",E$19))</f>
        <v>2</v>
      </c>
      <c r="F21" s="19">
        <f>COUNTIFS(SSC_Ontology_Ver0.5!$A$2209:$A$2492,SUBSTITUTE($A21,"{X}",F$19),SSC_Ontology_Ver0.5!$C$2209:$C$2492,$B21,SSC_Ontology_Ver0.5!$D$2209:$D$2492,SUBSTITUTE($C21,"{X}",F$19))</f>
        <v>2</v>
      </c>
      <c r="G21" s="19">
        <f>COUNTIFS(SSC_Ontology_Ver0.5!$A$2209:$A$2492,SUBSTITUTE($A21,"{X}",G$19),SSC_Ontology_Ver0.5!$C$2209:$C$2492,$B21,SSC_Ontology_Ver0.5!$D$2209:$D$2492,SUBSTITUTE($C21,"{X}",G$19))</f>
        <v>1</v>
      </c>
      <c r="H21" s="19">
        <f>COUNTIFS(SSC_Ontology_Ver0.5!$A$2209:$A$2492,SUBSTITUTE($A21,"{X}",H$19),SSC_Ontology_Ver0.5!$C$2209:$C$2492,$B21,SSC_Ontology_Ver0.5!$D$2209:$D$2492,SUBSTITUTE($C21,"{X}",H$19))</f>
        <v>1</v>
      </c>
      <c r="I21" s="19">
        <f>COUNTIFS(SSC_Ontology_Ver0.5!$A$2209:$A$2492,SUBSTITUTE($A21,"{X}",I$19),SSC_Ontology_Ver0.5!$C$2209:$C$2492,$B21,SSC_Ontology_Ver0.5!$D$2209:$D$2492,SUBSTITUTE($C21,"{X}",I$19))</f>
        <v>1</v>
      </c>
      <c r="J21" s="19">
        <f>COUNTIFS(SSC_Ontology_Ver0.5!$A$2209:$A$2492,SUBSTITUTE($A21,"{X}",J$19),SSC_Ontology_Ver0.5!$C$2209:$C$2492,$B21,SSC_Ontology_Ver0.5!$D$2209:$D$2492,SUBSTITUTE($C21,"{X}",J$19))</f>
        <v>1</v>
      </c>
      <c r="K21" s="14" t="str">
        <f>IF(MIN(D21:J21)&gt;0,"On all 7","Missing on "&amp;COUNTIF(D21:J21,0)&amp;" of 7")</f>
        <v>On all 7</v>
      </c>
      <c r="L21" s="15" t="str">
        <f>IF(MAX(D21:J21)&gt;1,"Duplicated on "&amp;COUNTIF(D21:J21,"&gt;1")&amp;" unit(s)","-")</f>
        <v>Duplicated on 2 unit(s)</v>
      </c>
    </row>
    <row r="22" spans="1:12" x14ac:dyDescent="0.3">
      <c r="A22" s="13" t="s">
        <v>5066</v>
      </c>
      <c r="B22" s="14" t="s">
        <v>308</v>
      </c>
      <c r="C22" s="14" t="s">
        <v>5069</v>
      </c>
      <c r="D22" s="19">
        <f>COUNTIFS(SSC_Ontology_Ver0.5!$A$2209:$A$2492,SUBSTITUTE($A22,"{X}",D$19),SSC_Ontology_Ver0.5!$C$2209:$C$2492,$B22,SSC_Ontology_Ver0.5!$D$2209:$D$2492,SUBSTITUTE($C22,"{X}",D$19))</f>
        <v>1</v>
      </c>
      <c r="E22" s="19">
        <f>COUNTIFS(SSC_Ontology_Ver0.5!$A$2209:$A$2492,SUBSTITUTE($A22,"{X}",E$19),SSC_Ontology_Ver0.5!$C$2209:$C$2492,$B22,SSC_Ontology_Ver0.5!$D$2209:$D$2492,SUBSTITUTE($C22,"{X}",E$19))</f>
        <v>2</v>
      </c>
      <c r="F22" s="19">
        <f>COUNTIFS(SSC_Ontology_Ver0.5!$A$2209:$A$2492,SUBSTITUTE($A22,"{X}",F$19),SSC_Ontology_Ver0.5!$C$2209:$C$2492,$B22,SSC_Ontology_Ver0.5!$D$2209:$D$2492,SUBSTITUTE($C22,"{X}",F$19))</f>
        <v>2</v>
      </c>
      <c r="G22" s="19">
        <f>COUNTIFS(SSC_Ontology_Ver0.5!$A$2209:$A$2492,SUBSTITUTE($A22,"{X}",G$19),SSC_Ontology_Ver0.5!$C$2209:$C$2492,$B22,SSC_Ontology_Ver0.5!$D$2209:$D$2492,SUBSTITUTE($C22,"{X}",G$19))</f>
        <v>1</v>
      </c>
      <c r="H22" s="19">
        <f>COUNTIFS(SSC_Ontology_Ver0.5!$A$2209:$A$2492,SUBSTITUTE($A22,"{X}",H$19),SSC_Ontology_Ver0.5!$C$2209:$C$2492,$B22,SSC_Ontology_Ver0.5!$D$2209:$D$2492,SUBSTITUTE($C22,"{X}",H$19))</f>
        <v>1</v>
      </c>
      <c r="I22" s="19">
        <f>COUNTIFS(SSC_Ontology_Ver0.5!$A$2209:$A$2492,SUBSTITUTE($A22,"{X}",I$19),SSC_Ontology_Ver0.5!$C$2209:$C$2492,$B22,SSC_Ontology_Ver0.5!$D$2209:$D$2492,SUBSTITUTE($C22,"{X}",I$19))</f>
        <v>1</v>
      </c>
      <c r="J22" s="19">
        <f>COUNTIFS(SSC_Ontology_Ver0.5!$A$2209:$A$2492,SUBSTITUTE($A22,"{X}",J$19),SSC_Ontology_Ver0.5!$C$2209:$C$2492,$B22,SSC_Ontology_Ver0.5!$D$2209:$D$2492,SUBSTITUTE($C22,"{X}",J$19))</f>
        <v>1</v>
      </c>
      <c r="K22" s="14" t="str">
        <f>IF(MIN(D22:J22)&gt;0,"On all 7","Missing on "&amp;COUNTIF(D22:J22,0)&amp;" of 7")</f>
        <v>On all 7</v>
      </c>
      <c r="L22" s="15" t="str">
        <f>IF(MAX(D22:J22)&gt;1,"Duplicated on "&amp;COUNTIF(D22:J22,"&gt;1")&amp;" unit(s)","-")</f>
        <v>Duplicated on 2 unit(s)</v>
      </c>
    </row>
    <row r="23" spans="1:12" x14ac:dyDescent="0.3">
      <c r="A23" s="13" t="s">
        <v>5066</v>
      </c>
      <c r="B23" s="14" t="s">
        <v>22</v>
      </c>
      <c r="C23" s="14" t="s">
        <v>23</v>
      </c>
      <c r="D23" s="19">
        <f>COUNTIFS(SSC_Ontology_Ver0.5!$A$2209:$A$2492,SUBSTITUTE($A23,"{X}",D$19),SSC_Ontology_Ver0.5!$C$2209:$C$2492,$B23,SSC_Ontology_Ver0.5!$D$2209:$D$2492,SUBSTITUTE($C23,"{X}",D$19))</f>
        <v>1</v>
      </c>
      <c r="E23" s="19">
        <f>COUNTIFS(SSC_Ontology_Ver0.5!$A$2209:$A$2492,SUBSTITUTE($A23,"{X}",E$19),SSC_Ontology_Ver0.5!$C$2209:$C$2492,$B23,SSC_Ontology_Ver0.5!$D$2209:$D$2492,SUBSTITUTE($C23,"{X}",E$19))</f>
        <v>2</v>
      </c>
      <c r="F23" s="19">
        <f>COUNTIFS(SSC_Ontology_Ver0.5!$A$2209:$A$2492,SUBSTITUTE($A23,"{X}",F$19),SSC_Ontology_Ver0.5!$C$2209:$C$2492,$B23,SSC_Ontology_Ver0.5!$D$2209:$D$2492,SUBSTITUTE($C23,"{X}",F$19))</f>
        <v>2</v>
      </c>
      <c r="G23" s="19">
        <f>COUNTIFS(SSC_Ontology_Ver0.5!$A$2209:$A$2492,SUBSTITUTE($A23,"{X}",G$19),SSC_Ontology_Ver0.5!$C$2209:$C$2492,$B23,SSC_Ontology_Ver0.5!$D$2209:$D$2492,SUBSTITUTE($C23,"{X}",G$19))</f>
        <v>1</v>
      </c>
      <c r="H23" s="19">
        <f>COUNTIFS(SSC_Ontology_Ver0.5!$A$2209:$A$2492,SUBSTITUTE($A23,"{X}",H$19),SSC_Ontology_Ver0.5!$C$2209:$C$2492,$B23,SSC_Ontology_Ver0.5!$D$2209:$D$2492,SUBSTITUTE($C23,"{X}",H$19))</f>
        <v>1</v>
      </c>
      <c r="I23" s="19">
        <f>COUNTIFS(SSC_Ontology_Ver0.5!$A$2209:$A$2492,SUBSTITUTE($A23,"{X}",I$19),SSC_Ontology_Ver0.5!$C$2209:$C$2492,$B23,SSC_Ontology_Ver0.5!$D$2209:$D$2492,SUBSTITUTE($C23,"{X}",I$19))</f>
        <v>1</v>
      </c>
      <c r="J23" s="19">
        <f>COUNTIFS(SSC_Ontology_Ver0.5!$A$2209:$A$2492,SUBSTITUTE($A23,"{X}",J$19),SSC_Ontology_Ver0.5!$C$2209:$C$2492,$B23,SSC_Ontology_Ver0.5!$D$2209:$D$2492,SUBSTITUTE($C23,"{X}",J$19))</f>
        <v>1</v>
      </c>
      <c r="K23" s="14" t="str">
        <f>IF(MIN(D23:J23)&gt;0,"On all 7","Missing on "&amp;COUNTIF(D23:J23,0)&amp;" of 7")</f>
        <v>On all 7</v>
      </c>
      <c r="L23" s="15" t="str">
        <f>IF(MAX(D23:J23)&gt;1,"Duplicated on "&amp;COUNTIF(D23:J23,"&gt;1")&amp;" unit(s)","-")</f>
        <v>Duplicated on 2 unit(s)</v>
      </c>
    </row>
    <row r="24" spans="1:12" x14ac:dyDescent="0.3">
      <c r="A24" s="13" t="s">
        <v>5066</v>
      </c>
      <c r="B24" s="14" t="s">
        <v>2498</v>
      </c>
      <c r="C24" s="14" t="s">
        <v>12</v>
      </c>
      <c r="D24" s="19">
        <f>COUNTIFS(SSC_Ontology_Ver0.5!$A$2209:$A$2492,SUBSTITUTE($A24,"{X}",D$19),SSC_Ontology_Ver0.5!$C$2209:$C$2492,$B24,SSC_Ontology_Ver0.5!$D$2209:$D$2492,SUBSTITUTE($C24,"{X}",D$19))</f>
        <v>1</v>
      </c>
      <c r="E24" s="19">
        <f>COUNTIFS(SSC_Ontology_Ver0.5!$A$2209:$A$2492,SUBSTITUTE($A24,"{X}",E$19),SSC_Ontology_Ver0.5!$C$2209:$C$2492,$B24,SSC_Ontology_Ver0.5!$D$2209:$D$2492,SUBSTITUTE($C24,"{X}",E$19))</f>
        <v>2</v>
      </c>
      <c r="F24" s="19">
        <f>COUNTIFS(SSC_Ontology_Ver0.5!$A$2209:$A$2492,SUBSTITUTE($A24,"{X}",F$19),SSC_Ontology_Ver0.5!$C$2209:$C$2492,$B24,SSC_Ontology_Ver0.5!$D$2209:$D$2492,SUBSTITUTE($C24,"{X}",F$19))</f>
        <v>2</v>
      </c>
      <c r="G24" s="19">
        <f>COUNTIFS(SSC_Ontology_Ver0.5!$A$2209:$A$2492,SUBSTITUTE($A24,"{X}",G$19),SSC_Ontology_Ver0.5!$C$2209:$C$2492,$B24,SSC_Ontology_Ver0.5!$D$2209:$D$2492,SUBSTITUTE($C24,"{X}",G$19))</f>
        <v>1</v>
      </c>
      <c r="H24" s="19">
        <f>COUNTIFS(SSC_Ontology_Ver0.5!$A$2209:$A$2492,SUBSTITUTE($A24,"{X}",H$19),SSC_Ontology_Ver0.5!$C$2209:$C$2492,$B24,SSC_Ontology_Ver0.5!$D$2209:$D$2492,SUBSTITUTE($C24,"{X}",H$19))</f>
        <v>1</v>
      </c>
      <c r="I24" s="19">
        <f>COUNTIFS(SSC_Ontology_Ver0.5!$A$2209:$A$2492,SUBSTITUTE($A24,"{X}",I$19),SSC_Ontology_Ver0.5!$C$2209:$C$2492,$B24,SSC_Ontology_Ver0.5!$D$2209:$D$2492,SUBSTITUTE($C24,"{X}",I$19))</f>
        <v>1</v>
      </c>
      <c r="J24" s="19">
        <f>COUNTIFS(SSC_Ontology_Ver0.5!$A$2209:$A$2492,SUBSTITUTE($A24,"{X}",J$19),SSC_Ontology_Ver0.5!$C$2209:$C$2492,$B24,SSC_Ontology_Ver0.5!$D$2209:$D$2492,SUBSTITUTE($C24,"{X}",J$19))</f>
        <v>1</v>
      </c>
      <c r="K24" s="14" t="str">
        <f>IF(MIN(D24:J24)&gt;0,"On all 7","Missing on "&amp;COUNTIF(D24:J24,0)&amp;" of 7")</f>
        <v>On all 7</v>
      </c>
      <c r="L24" s="15" t="str">
        <f>IF(MAX(D24:J24)&gt;1,"Duplicated on "&amp;COUNTIF(D24:J24,"&gt;1")&amp;" unit(s)","-")</f>
        <v>Duplicated on 2 unit(s)</v>
      </c>
    </row>
    <row r="25" spans="1:12" x14ac:dyDescent="0.3">
      <c r="A25" s="13" t="s">
        <v>5066</v>
      </c>
      <c r="B25" s="14" t="s">
        <v>1692</v>
      </c>
      <c r="C25" s="14" t="s">
        <v>2499</v>
      </c>
      <c r="D25" s="19">
        <f>COUNTIFS(SSC_Ontology_Ver0.5!$A$2209:$A$2492,SUBSTITUTE($A25,"{X}",D$19),SSC_Ontology_Ver0.5!$C$2209:$C$2492,$B25,SSC_Ontology_Ver0.5!$D$2209:$D$2492,SUBSTITUTE($C25,"{X}",D$19))</f>
        <v>1</v>
      </c>
      <c r="E25" s="19">
        <f>COUNTIFS(SSC_Ontology_Ver0.5!$A$2209:$A$2492,SUBSTITUTE($A25,"{X}",E$19),SSC_Ontology_Ver0.5!$C$2209:$C$2492,$B25,SSC_Ontology_Ver0.5!$D$2209:$D$2492,SUBSTITUTE($C25,"{X}",E$19))</f>
        <v>2</v>
      </c>
      <c r="F25" s="19">
        <f>COUNTIFS(SSC_Ontology_Ver0.5!$A$2209:$A$2492,SUBSTITUTE($A25,"{X}",F$19),SSC_Ontology_Ver0.5!$C$2209:$C$2492,$B25,SSC_Ontology_Ver0.5!$D$2209:$D$2492,SUBSTITUTE($C25,"{X}",F$19))</f>
        <v>2</v>
      </c>
      <c r="G25" s="19">
        <f>COUNTIFS(SSC_Ontology_Ver0.5!$A$2209:$A$2492,SUBSTITUTE($A25,"{X}",G$19),SSC_Ontology_Ver0.5!$C$2209:$C$2492,$B25,SSC_Ontology_Ver0.5!$D$2209:$D$2492,SUBSTITUTE($C25,"{X}",G$19))</f>
        <v>1</v>
      </c>
      <c r="H25" s="19">
        <f>COUNTIFS(SSC_Ontology_Ver0.5!$A$2209:$A$2492,SUBSTITUTE($A25,"{X}",H$19),SSC_Ontology_Ver0.5!$C$2209:$C$2492,$B25,SSC_Ontology_Ver0.5!$D$2209:$D$2492,SUBSTITUTE($C25,"{X}",H$19))</f>
        <v>1</v>
      </c>
      <c r="I25" s="19">
        <f>COUNTIFS(SSC_Ontology_Ver0.5!$A$2209:$A$2492,SUBSTITUTE($A25,"{X}",I$19),SSC_Ontology_Ver0.5!$C$2209:$C$2492,$B25,SSC_Ontology_Ver0.5!$D$2209:$D$2492,SUBSTITUTE($C25,"{X}",I$19))</f>
        <v>1</v>
      </c>
      <c r="J25" s="19">
        <f>COUNTIFS(SSC_Ontology_Ver0.5!$A$2209:$A$2492,SUBSTITUTE($A25,"{X}",J$19),SSC_Ontology_Ver0.5!$C$2209:$C$2492,$B25,SSC_Ontology_Ver0.5!$D$2209:$D$2492,SUBSTITUTE($C25,"{X}",J$19))</f>
        <v>1</v>
      </c>
      <c r="K25" s="14" t="str">
        <f>IF(MIN(D25:J25)&gt;0,"On all 7","Missing on "&amp;COUNTIF(D25:J25,0)&amp;" of 7")</f>
        <v>On all 7</v>
      </c>
      <c r="L25" s="15" t="str">
        <f>IF(MAX(D25:J25)&gt;1,"Duplicated on "&amp;COUNTIF(D25:J25,"&gt;1")&amp;" unit(s)","-")</f>
        <v>Duplicated on 2 unit(s)</v>
      </c>
    </row>
    <row r="26" spans="1:12" x14ac:dyDescent="0.3">
      <c r="A26" s="13" t="s">
        <v>5066</v>
      </c>
      <c r="B26" s="14" t="s">
        <v>16</v>
      </c>
      <c r="C26" s="14" t="s">
        <v>2499</v>
      </c>
      <c r="D26" s="19">
        <f>COUNTIFS(SSC_Ontology_Ver0.5!$A$2209:$A$2492,SUBSTITUTE($A26,"{X}",D$19),SSC_Ontology_Ver0.5!$C$2209:$C$2492,$B26,SSC_Ontology_Ver0.5!$D$2209:$D$2492,SUBSTITUTE($C26,"{X}",D$19))</f>
        <v>1</v>
      </c>
      <c r="E26" s="19">
        <f>COUNTIFS(SSC_Ontology_Ver0.5!$A$2209:$A$2492,SUBSTITUTE($A26,"{X}",E$19),SSC_Ontology_Ver0.5!$C$2209:$C$2492,$B26,SSC_Ontology_Ver0.5!$D$2209:$D$2492,SUBSTITUTE($C26,"{X}",E$19))</f>
        <v>2</v>
      </c>
      <c r="F26" s="19">
        <f>COUNTIFS(SSC_Ontology_Ver0.5!$A$2209:$A$2492,SUBSTITUTE($A26,"{X}",F$19),SSC_Ontology_Ver0.5!$C$2209:$C$2492,$B26,SSC_Ontology_Ver0.5!$D$2209:$D$2492,SUBSTITUTE($C26,"{X}",F$19))</f>
        <v>2</v>
      </c>
      <c r="G26" s="19">
        <f>COUNTIFS(SSC_Ontology_Ver0.5!$A$2209:$A$2492,SUBSTITUTE($A26,"{X}",G$19),SSC_Ontology_Ver0.5!$C$2209:$C$2492,$B26,SSC_Ontology_Ver0.5!$D$2209:$D$2492,SUBSTITUTE($C26,"{X}",G$19))</f>
        <v>1</v>
      </c>
      <c r="H26" s="19">
        <f>COUNTIFS(SSC_Ontology_Ver0.5!$A$2209:$A$2492,SUBSTITUTE($A26,"{X}",H$19),SSC_Ontology_Ver0.5!$C$2209:$C$2492,$B26,SSC_Ontology_Ver0.5!$D$2209:$D$2492,SUBSTITUTE($C26,"{X}",H$19))</f>
        <v>1</v>
      </c>
      <c r="I26" s="19">
        <f>COUNTIFS(SSC_Ontology_Ver0.5!$A$2209:$A$2492,SUBSTITUTE($A26,"{X}",I$19),SSC_Ontology_Ver0.5!$C$2209:$C$2492,$B26,SSC_Ontology_Ver0.5!$D$2209:$D$2492,SUBSTITUTE($C26,"{X}",I$19))</f>
        <v>1</v>
      </c>
      <c r="J26" s="19">
        <f>COUNTIFS(SSC_Ontology_Ver0.5!$A$2209:$A$2492,SUBSTITUTE($A26,"{X}",J$19),SSC_Ontology_Ver0.5!$C$2209:$C$2492,$B26,SSC_Ontology_Ver0.5!$D$2209:$D$2492,SUBSTITUTE($C26,"{X}",J$19))</f>
        <v>1</v>
      </c>
      <c r="K26" s="14" t="str">
        <f>IF(MIN(D26:J26)&gt;0,"On all 7","Missing on "&amp;COUNTIF(D26:J26,0)&amp;" of 7")</f>
        <v>On all 7</v>
      </c>
      <c r="L26" s="15" t="str">
        <f>IF(MAX(D26:J26)&gt;1,"Duplicated on "&amp;COUNTIF(D26:J26,"&gt;1")&amp;" unit(s)","-")</f>
        <v>Duplicated on 2 unit(s)</v>
      </c>
    </row>
    <row r="27" spans="1:12" x14ac:dyDescent="0.3">
      <c r="A27" s="13" t="s">
        <v>5066</v>
      </c>
      <c r="B27" s="14" t="s">
        <v>11</v>
      </c>
      <c r="C27" s="14" t="s">
        <v>12</v>
      </c>
      <c r="D27" s="19">
        <f>COUNTIFS(SSC_Ontology_Ver0.5!$A$2209:$A$2492,SUBSTITUTE($A27,"{X}",D$19),SSC_Ontology_Ver0.5!$C$2209:$C$2492,$B27,SSC_Ontology_Ver0.5!$D$2209:$D$2492,SUBSTITUTE($C27,"{X}",D$19))</f>
        <v>1</v>
      </c>
      <c r="E27" s="19">
        <f>COUNTIFS(SSC_Ontology_Ver0.5!$A$2209:$A$2492,SUBSTITUTE($A27,"{X}",E$19),SSC_Ontology_Ver0.5!$C$2209:$C$2492,$B27,SSC_Ontology_Ver0.5!$D$2209:$D$2492,SUBSTITUTE($C27,"{X}",E$19))</f>
        <v>2</v>
      </c>
      <c r="F27" s="19">
        <f>COUNTIFS(SSC_Ontology_Ver0.5!$A$2209:$A$2492,SUBSTITUTE($A27,"{X}",F$19),SSC_Ontology_Ver0.5!$C$2209:$C$2492,$B27,SSC_Ontology_Ver0.5!$D$2209:$D$2492,SUBSTITUTE($C27,"{X}",F$19))</f>
        <v>2</v>
      </c>
      <c r="G27" s="19">
        <f>COUNTIFS(SSC_Ontology_Ver0.5!$A$2209:$A$2492,SUBSTITUTE($A27,"{X}",G$19),SSC_Ontology_Ver0.5!$C$2209:$C$2492,$B27,SSC_Ontology_Ver0.5!$D$2209:$D$2492,SUBSTITUTE($C27,"{X}",G$19))</f>
        <v>1</v>
      </c>
      <c r="H27" s="19">
        <f>COUNTIFS(SSC_Ontology_Ver0.5!$A$2209:$A$2492,SUBSTITUTE($A27,"{X}",H$19),SSC_Ontology_Ver0.5!$C$2209:$C$2492,$B27,SSC_Ontology_Ver0.5!$D$2209:$D$2492,SUBSTITUTE($C27,"{X}",H$19))</f>
        <v>1</v>
      </c>
      <c r="I27" s="19">
        <f>COUNTIFS(SSC_Ontology_Ver0.5!$A$2209:$A$2492,SUBSTITUTE($A27,"{X}",I$19),SSC_Ontology_Ver0.5!$C$2209:$C$2492,$B27,SSC_Ontology_Ver0.5!$D$2209:$D$2492,SUBSTITUTE($C27,"{X}",I$19))</f>
        <v>1</v>
      </c>
      <c r="J27" s="19">
        <f>COUNTIFS(SSC_Ontology_Ver0.5!$A$2209:$A$2492,SUBSTITUTE($A27,"{X}",J$19),SSC_Ontology_Ver0.5!$C$2209:$C$2492,$B27,SSC_Ontology_Ver0.5!$D$2209:$D$2492,SUBSTITUTE($C27,"{X}",J$19))</f>
        <v>1</v>
      </c>
      <c r="K27" s="14" t="str">
        <f>IF(MIN(D27:J27)&gt;0,"On all 7","Missing on "&amp;COUNTIF(D27:J27,0)&amp;" of 7")</f>
        <v>On all 7</v>
      </c>
      <c r="L27" s="15" t="str">
        <f>IF(MAX(D27:J27)&gt;1,"Duplicated on "&amp;COUNTIF(D27:J27,"&gt;1")&amp;" unit(s)","-")</f>
        <v>Duplicated on 2 unit(s)</v>
      </c>
    </row>
    <row r="28" spans="1:12" x14ac:dyDescent="0.3">
      <c r="A28" s="13" t="s">
        <v>5067</v>
      </c>
      <c r="B28" s="14" t="s">
        <v>308</v>
      </c>
      <c r="C28" s="14" t="s">
        <v>5070</v>
      </c>
      <c r="D28" s="19">
        <f>COUNTIFS(SSC_Ontology_Ver0.5!$A$2209:$A$2492,SUBSTITUTE($A28,"{X}",D$19),SSC_Ontology_Ver0.5!$C$2209:$C$2492,$B28,SSC_Ontology_Ver0.5!$D$2209:$D$2492,SUBSTITUTE($C28,"{X}",D$19))</f>
        <v>1</v>
      </c>
      <c r="E28" s="19">
        <f>COUNTIFS(SSC_Ontology_Ver0.5!$A$2209:$A$2492,SUBSTITUTE($A28,"{X}",E$19),SSC_Ontology_Ver0.5!$C$2209:$C$2492,$B28,SSC_Ontology_Ver0.5!$D$2209:$D$2492,SUBSTITUTE($C28,"{X}",E$19))</f>
        <v>2</v>
      </c>
      <c r="F28" s="19">
        <f>COUNTIFS(SSC_Ontology_Ver0.5!$A$2209:$A$2492,SUBSTITUTE($A28,"{X}",F$19),SSC_Ontology_Ver0.5!$C$2209:$C$2492,$B28,SSC_Ontology_Ver0.5!$D$2209:$D$2492,SUBSTITUTE($C28,"{X}",F$19))</f>
        <v>2</v>
      </c>
      <c r="G28" s="19">
        <f>COUNTIFS(SSC_Ontology_Ver0.5!$A$2209:$A$2492,SUBSTITUTE($A28,"{X}",G$19),SSC_Ontology_Ver0.5!$C$2209:$C$2492,$B28,SSC_Ontology_Ver0.5!$D$2209:$D$2492,SUBSTITUTE($C28,"{X}",G$19))</f>
        <v>1</v>
      </c>
      <c r="H28" s="19">
        <f>COUNTIFS(SSC_Ontology_Ver0.5!$A$2209:$A$2492,SUBSTITUTE($A28,"{X}",H$19),SSC_Ontology_Ver0.5!$C$2209:$C$2492,$B28,SSC_Ontology_Ver0.5!$D$2209:$D$2492,SUBSTITUTE($C28,"{X}",H$19))</f>
        <v>1</v>
      </c>
      <c r="I28" s="19">
        <f>COUNTIFS(SSC_Ontology_Ver0.5!$A$2209:$A$2492,SUBSTITUTE($A28,"{X}",I$19),SSC_Ontology_Ver0.5!$C$2209:$C$2492,$B28,SSC_Ontology_Ver0.5!$D$2209:$D$2492,SUBSTITUTE($C28,"{X}",I$19))</f>
        <v>1</v>
      </c>
      <c r="J28" s="19">
        <f>COUNTIFS(SSC_Ontology_Ver0.5!$A$2209:$A$2492,SUBSTITUTE($A28,"{X}",J$19),SSC_Ontology_Ver0.5!$C$2209:$C$2492,$B28,SSC_Ontology_Ver0.5!$D$2209:$D$2492,SUBSTITUTE($C28,"{X}",J$19))</f>
        <v>1</v>
      </c>
      <c r="K28" s="14" t="str">
        <f>IF(MIN(D28:J28)&gt;0,"On all 7","Missing on "&amp;COUNTIF(D28:J28,0)&amp;" of 7")</f>
        <v>On all 7</v>
      </c>
      <c r="L28" s="15" t="str">
        <f>IF(MAX(D28:J28)&gt;1,"Duplicated on "&amp;COUNTIF(D28:J28,"&gt;1")&amp;" unit(s)","-")</f>
        <v>Duplicated on 2 unit(s)</v>
      </c>
    </row>
    <row r="29" spans="1:12" x14ac:dyDescent="0.3">
      <c r="A29" s="13" t="s">
        <v>5067</v>
      </c>
      <c r="B29" s="14" t="s">
        <v>308</v>
      </c>
      <c r="C29" s="14" t="s">
        <v>5071</v>
      </c>
      <c r="D29" s="19">
        <f>COUNTIFS(SSC_Ontology_Ver0.5!$A$2209:$A$2492,SUBSTITUTE($A29,"{X}",D$19),SSC_Ontology_Ver0.5!$C$2209:$C$2492,$B29,SSC_Ontology_Ver0.5!$D$2209:$D$2492,SUBSTITUTE($C29,"{X}",D$19))</f>
        <v>1</v>
      </c>
      <c r="E29" s="19">
        <f>COUNTIFS(SSC_Ontology_Ver0.5!$A$2209:$A$2492,SUBSTITUTE($A29,"{X}",E$19),SSC_Ontology_Ver0.5!$C$2209:$C$2492,$B29,SSC_Ontology_Ver0.5!$D$2209:$D$2492,SUBSTITUTE($C29,"{X}",E$19))</f>
        <v>0</v>
      </c>
      <c r="F29" s="19">
        <f>COUNTIFS(SSC_Ontology_Ver0.5!$A$2209:$A$2492,SUBSTITUTE($A29,"{X}",F$19),SSC_Ontology_Ver0.5!$C$2209:$C$2492,$B29,SSC_Ontology_Ver0.5!$D$2209:$D$2492,SUBSTITUTE($C29,"{X}",F$19))</f>
        <v>0</v>
      </c>
      <c r="G29" s="19">
        <f>COUNTIFS(SSC_Ontology_Ver0.5!$A$2209:$A$2492,SUBSTITUTE($A29,"{X}",G$19),SSC_Ontology_Ver0.5!$C$2209:$C$2492,$B29,SSC_Ontology_Ver0.5!$D$2209:$D$2492,SUBSTITUTE($C29,"{X}",G$19))</f>
        <v>0</v>
      </c>
      <c r="H29" s="19">
        <f>COUNTIFS(SSC_Ontology_Ver0.5!$A$2209:$A$2492,SUBSTITUTE($A29,"{X}",H$19),SSC_Ontology_Ver0.5!$C$2209:$C$2492,$B29,SSC_Ontology_Ver0.5!$D$2209:$D$2492,SUBSTITUTE($C29,"{X}",H$19))</f>
        <v>0</v>
      </c>
      <c r="I29" s="19">
        <f>COUNTIFS(SSC_Ontology_Ver0.5!$A$2209:$A$2492,SUBSTITUTE($A29,"{X}",I$19),SSC_Ontology_Ver0.5!$C$2209:$C$2492,$B29,SSC_Ontology_Ver0.5!$D$2209:$D$2492,SUBSTITUTE($C29,"{X}",I$19))</f>
        <v>0</v>
      </c>
      <c r="J29" s="19">
        <f>COUNTIFS(SSC_Ontology_Ver0.5!$A$2209:$A$2492,SUBSTITUTE($A29,"{X}",J$19),SSC_Ontology_Ver0.5!$C$2209:$C$2492,$B29,SSC_Ontology_Ver0.5!$D$2209:$D$2492,SUBSTITUTE($C29,"{X}",J$19))</f>
        <v>0</v>
      </c>
      <c r="K29" s="14" t="str">
        <f>IF(MIN(D29:J29)&gt;0,"On all 7","Missing on "&amp;COUNTIF(D29:J29,0)&amp;" of 7")</f>
        <v>Missing on 6 of 7</v>
      </c>
      <c r="L29" s="15" t="str">
        <f>IF(MAX(D29:J29)&gt;1,"Duplicated on "&amp;COUNTIF(D29:J29,"&gt;1")&amp;" unit(s)","-")</f>
        <v>-</v>
      </c>
    </row>
    <row r="30" spans="1:12" x14ac:dyDescent="0.3">
      <c r="A30" s="13" t="s">
        <v>5067</v>
      </c>
      <c r="B30" s="14" t="s">
        <v>308</v>
      </c>
      <c r="C30" s="14" t="s">
        <v>5072</v>
      </c>
      <c r="D30" s="19">
        <f>COUNTIFS(SSC_Ontology_Ver0.5!$A$2209:$A$2492,SUBSTITUTE($A30,"{X}",D$19),SSC_Ontology_Ver0.5!$C$2209:$C$2492,$B30,SSC_Ontology_Ver0.5!$D$2209:$D$2492,SUBSTITUTE($C30,"{X}",D$19))</f>
        <v>1</v>
      </c>
      <c r="E30" s="19">
        <f>COUNTIFS(SSC_Ontology_Ver0.5!$A$2209:$A$2492,SUBSTITUTE($A30,"{X}",E$19),SSC_Ontology_Ver0.5!$C$2209:$C$2492,$B30,SSC_Ontology_Ver0.5!$D$2209:$D$2492,SUBSTITUTE($C30,"{X}",E$19))</f>
        <v>2</v>
      </c>
      <c r="F30" s="19">
        <f>COUNTIFS(SSC_Ontology_Ver0.5!$A$2209:$A$2492,SUBSTITUTE($A30,"{X}",F$19),SSC_Ontology_Ver0.5!$C$2209:$C$2492,$B30,SSC_Ontology_Ver0.5!$D$2209:$D$2492,SUBSTITUTE($C30,"{X}",F$19))</f>
        <v>2</v>
      </c>
      <c r="G30" s="19">
        <f>COUNTIFS(SSC_Ontology_Ver0.5!$A$2209:$A$2492,SUBSTITUTE($A30,"{X}",G$19),SSC_Ontology_Ver0.5!$C$2209:$C$2492,$B30,SSC_Ontology_Ver0.5!$D$2209:$D$2492,SUBSTITUTE($C30,"{X}",G$19))</f>
        <v>1</v>
      </c>
      <c r="H30" s="19">
        <f>COUNTIFS(SSC_Ontology_Ver0.5!$A$2209:$A$2492,SUBSTITUTE($A30,"{X}",H$19),SSC_Ontology_Ver0.5!$C$2209:$C$2492,$B30,SSC_Ontology_Ver0.5!$D$2209:$D$2492,SUBSTITUTE($C30,"{X}",H$19))</f>
        <v>1</v>
      </c>
      <c r="I30" s="19">
        <f>COUNTIFS(SSC_Ontology_Ver0.5!$A$2209:$A$2492,SUBSTITUTE($A30,"{X}",I$19),SSC_Ontology_Ver0.5!$C$2209:$C$2492,$B30,SSC_Ontology_Ver0.5!$D$2209:$D$2492,SUBSTITUTE($C30,"{X}",I$19))</f>
        <v>1</v>
      </c>
      <c r="J30" s="19">
        <f>COUNTIFS(SSC_Ontology_Ver0.5!$A$2209:$A$2492,SUBSTITUTE($A30,"{X}",J$19),SSC_Ontology_Ver0.5!$C$2209:$C$2492,$B30,SSC_Ontology_Ver0.5!$D$2209:$D$2492,SUBSTITUTE($C30,"{X}",J$19))</f>
        <v>1</v>
      </c>
      <c r="K30" s="14" t="str">
        <f>IF(MIN(D30:J30)&gt;0,"On all 7","Missing on "&amp;COUNTIF(D30:J30,0)&amp;" of 7")</f>
        <v>On all 7</v>
      </c>
      <c r="L30" s="15" t="str">
        <f>IF(MAX(D30:J30)&gt;1,"Duplicated on "&amp;COUNTIF(D30:J30,"&gt;1")&amp;" unit(s)","-")</f>
        <v>Duplicated on 2 unit(s)</v>
      </c>
    </row>
    <row r="31" spans="1:12" x14ac:dyDescent="0.3">
      <c r="A31" s="13" t="s">
        <v>5067</v>
      </c>
      <c r="B31" s="14" t="s">
        <v>308</v>
      </c>
      <c r="C31" s="14" t="s">
        <v>5073</v>
      </c>
      <c r="D31" s="19">
        <f>COUNTIFS(SSC_Ontology_Ver0.5!$A$2209:$A$2492,SUBSTITUTE($A31,"{X}",D$19),SSC_Ontology_Ver0.5!$C$2209:$C$2492,$B31,SSC_Ontology_Ver0.5!$D$2209:$D$2492,SUBSTITUTE($C31,"{X}",D$19))</f>
        <v>1</v>
      </c>
      <c r="E31" s="19">
        <f>COUNTIFS(SSC_Ontology_Ver0.5!$A$2209:$A$2492,SUBSTITUTE($A31,"{X}",E$19),SSC_Ontology_Ver0.5!$C$2209:$C$2492,$B31,SSC_Ontology_Ver0.5!$D$2209:$D$2492,SUBSTITUTE($C31,"{X}",E$19))</f>
        <v>0</v>
      </c>
      <c r="F31" s="19">
        <f>COUNTIFS(SSC_Ontology_Ver0.5!$A$2209:$A$2492,SUBSTITUTE($A31,"{X}",F$19),SSC_Ontology_Ver0.5!$C$2209:$C$2492,$B31,SSC_Ontology_Ver0.5!$D$2209:$D$2492,SUBSTITUTE($C31,"{X}",F$19))</f>
        <v>0</v>
      </c>
      <c r="G31" s="19">
        <f>COUNTIFS(SSC_Ontology_Ver0.5!$A$2209:$A$2492,SUBSTITUTE($A31,"{X}",G$19),SSC_Ontology_Ver0.5!$C$2209:$C$2492,$B31,SSC_Ontology_Ver0.5!$D$2209:$D$2492,SUBSTITUTE($C31,"{X}",G$19))</f>
        <v>0</v>
      </c>
      <c r="H31" s="19">
        <f>COUNTIFS(SSC_Ontology_Ver0.5!$A$2209:$A$2492,SUBSTITUTE($A31,"{X}",H$19),SSC_Ontology_Ver0.5!$C$2209:$C$2492,$B31,SSC_Ontology_Ver0.5!$D$2209:$D$2492,SUBSTITUTE($C31,"{X}",H$19))</f>
        <v>0</v>
      </c>
      <c r="I31" s="19">
        <f>COUNTIFS(SSC_Ontology_Ver0.5!$A$2209:$A$2492,SUBSTITUTE($A31,"{X}",I$19),SSC_Ontology_Ver0.5!$C$2209:$C$2492,$B31,SSC_Ontology_Ver0.5!$D$2209:$D$2492,SUBSTITUTE($C31,"{X}",I$19))</f>
        <v>0</v>
      </c>
      <c r="J31" s="19">
        <f>COUNTIFS(SSC_Ontology_Ver0.5!$A$2209:$A$2492,SUBSTITUTE($A31,"{X}",J$19),SSC_Ontology_Ver0.5!$C$2209:$C$2492,$B31,SSC_Ontology_Ver0.5!$D$2209:$D$2492,SUBSTITUTE($C31,"{X}",J$19))</f>
        <v>0</v>
      </c>
      <c r="K31" s="14" t="str">
        <f>IF(MIN(D31:J31)&gt;0,"On all 7","Missing on "&amp;COUNTIF(D31:J31,0)&amp;" of 7")</f>
        <v>Missing on 6 of 7</v>
      </c>
      <c r="L31" s="15" t="str">
        <f>IF(MAX(D31:J31)&gt;1,"Duplicated on "&amp;COUNTIF(D31:J31,"&gt;1")&amp;" unit(s)","-")</f>
        <v>-</v>
      </c>
    </row>
    <row r="32" spans="1:12" x14ac:dyDescent="0.3">
      <c r="A32" s="13" t="s">
        <v>5067</v>
      </c>
      <c r="B32" s="14" t="s">
        <v>308</v>
      </c>
      <c r="C32" s="14" t="s">
        <v>5074</v>
      </c>
      <c r="D32" s="19">
        <f>COUNTIFS(SSC_Ontology_Ver0.5!$A$2209:$A$2492,SUBSTITUTE($A32,"{X}",D$19),SSC_Ontology_Ver0.5!$C$2209:$C$2492,$B32,SSC_Ontology_Ver0.5!$D$2209:$D$2492,SUBSTITUTE($C32,"{X}",D$19))</f>
        <v>1</v>
      </c>
      <c r="E32" s="19">
        <f>COUNTIFS(SSC_Ontology_Ver0.5!$A$2209:$A$2492,SUBSTITUTE($A32,"{X}",E$19),SSC_Ontology_Ver0.5!$C$2209:$C$2492,$B32,SSC_Ontology_Ver0.5!$D$2209:$D$2492,SUBSTITUTE($C32,"{X}",E$19))</f>
        <v>0</v>
      </c>
      <c r="F32" s="19">
        <f>COUNTIFS(SSC_Ontology_Ver0.5!$A$2209:$A$2492,SUBSTITUTE($A32,"{X}",F$19),SSC_Ontology_Ver0.5!$C$2209:$C$2492,$B32,SSC_Ontology_Ver0.5!$D$2209:$D$2492,SUBSTITUTE($C32,"{X}",F$19))</f>
        <v>0</v>
      </c>
      <c r="G32" s="19">
        <f>COUNTIFS(SSC_Ontology_Ver0.5!$A$2209:$A$2492,SUBSTITUTE($A32,"{X}",G$19),SSC_Ontology_Ver0.5!$C$2209:$C$2492,$B32,SSC_Ontology_Ver0.5!$D$2209:$D$2492,SUBSTITUTE($C32,"{X}",G$19))</f>
        <v>0</v>
      </c>
      <c r="H32" s="19">
        <f>COUNTIFS(SSC_Ontology_Ver0.5!$A$2209:$A$2492,SUBSTITUTE($A32,"{X}",H$19),SSC_Ontology_Ver0.5!$C$2209:$C$2492,$B32,SSC_Ontology_Ver0.5!$D$2209:$D$2492,SUBSTITUTE($C32,"{X}",H$19))</f>
        <v>0</v>
      </c>
      <c r="I32" s="19">
        <f>COUNTIFS(SSC_Ontology_Ver0.5!$A$2209:$A$2492,SUBSTITUTE($A32,"{X}",I$19),SSC_Ontology_Ver0.5!$C$2209:$C$2492,$B32,SSC_Ontology_Ver0.5!$D$2209:$D$2492,SUBSTITUTE($C32,"{X}",I$19))</f>
        <v>0</v>
      </c>
      <c r="J32" s="19">
        <f>COUNTIFS(SSC_Ontology_Ver0.5!$A$2209:$A$2492,SUBSTITUTE($A32,"{X}",J$19),SSC_Ontology_Ver0.5!$C$2209:$C$2492,$B32,SSC_Ontology_Ver0.5!$D$2209:$D$2492,SUBSTITUTE($C32,"{X}",J$19))</f>
        <v>0</v>
      </c>
      <c r="K32" s="14" t="str">
        <f>IF(MIN(D32:J32)&gt;0,"On all 7","Missing on "&amp;COUNTIF(D32:J32,0)&amp;" of 7")</f>
        <v>Missing on 6 of 7</v>
      </c>
      <c r="L32" s="15" t="str">
        <f>IF(MAX(D32:J32)&gt;1,"Duplicated on "&amp;COUNTIF(D32:J32,"&gt;1")&amp;" unit(s)","-")</f>
        <v>-</v>
      </c>
    </row>
    <row r="33" spans="1:12" x14ac:dyDescent="0.3">
      <c r="A33" s="13" t="s">
        <v>5067</v>
      </c>
      <c r="B33" s="14" t="s">
        <v>308</v>
      </c>
      <c r="C33" s="14" t="s">
        <v>5075</v>
      </c>
      <c r="D33" s="19">
        <f>COUNTIFS(SSC_Ontology_Ver0.5!$A$2209:$A$2492,SUBSTITUTE($A33,"{X}",D$19),SSC_Ontology_Ver0.5!$C$2209:$C$2492,$B33,SSC_Ontology_Ver0.5!$D$2209:$D$2492,SUBSTITUTE($C33,"{X}",D$19))</f>
        <v>1</v>
      </c>
      <c r="E33" s="19">
        <f>COUNTIFS(SSC_Ontology_Ver0.5!$A$2209:$A$2492,SUBSTITUTE($A33,"{X}",E$19),SSC_Ontology_Ver0.5!$C$2209:$C$2492,$B33,SSC_Ontology_Ver0.5!$D$2209:$D$2492,SUBSTITUTE($C33,"{X}",E$19))</f>
        <v>2</v>
      </c>
      <c r="F33" s="19">
        <f>COUNTIFS(SSC_Ontology_Ver0.5!$A$2209:$A$2492,SUBSTITUTE($A33,"{X}",F$19),SSC_Ontology_Ver0.5!$C$2209:$C$2492,$B33,SSC_Ontology_Ver0.5!$D$2209:$D$2492,SUBSTITUTE($C33,"{X}",F$19))</f>
        <v>2</v>
      </c>
      <c r="G33" s="19">
        <f>COUNTIFS(SSC_Ontology_Ver0.5!$A$2209:$A$2492,SUBSTITUTE($A33,"{X}",G$19),SSC_Ontology_Ver0.5!$C$2209:$C$2492,$B33,SSC_Ontology_Ver0.5!$D$2209:$D$2492,SUBSTITUTE($C33,"{X}",G$19))</f>
        <v>1</v>
      </c>
      <c r="H33" s="19">
        <f>COUNTIFS(SSC_Ontology_Ver0.5!$A$2209:$A$2492,SUBSTITUTE($A33,"{X}",H$19),SSC_Ontology_Ver0.5!$C$2209:$C$2492,$B33,SSC_Ontology_Ver0.5!$D$2209:$D$2492,SUBSTITUTE($C33,"{X}",H$19))</f>
        <v>1</v>
      </c>
      <c r="I33" s="19">
        <f>COUNTIFS(SSC_Ontology_Ver0.5!$A$2209:$A$2492,SUBSTITUTE($A33,"{X}",I$19),SSC_Ontology_Ver0.5!$C$2209:$C$2492,$B33,SSC_Ontology_Ver0.5!$D$2209:$D$2492,SUBSTITUTE($C33,"{X}",I$19))</f>
        <v>1</v>
      </c>
      <c r="J33" s="19">
        <f>COUNTIFS(SSC_Ontology_Ver0.5!$A$2209:$A$2492,SUBSTITUTE($A33,"{X}",J$19),SSC_Ontology_Ver0.5!$C$2209:$C$2492,$B33,SSC_Ontology_Ver0.5!$D$2209:$D$2492,SUBSTITUTE($C33,"{X}",J$19))</f>
        <v>1</v>
      </c>
      <c r="K33" s="14" t="str">
        <f>IF(MIN(D33:J33)&gt;0,"On all 7","Missing on "&amp;COUNTIF(D33:J33,0)&amp;" of 7")</f>
        <v>On all 7</v>
      </c>
      <c r="L33" s="15" t="str">
        <f>IF(MAX(D33:J33)&gt;1,"Duplicated on "&amp;COUNTIF(D33:J33,"&gt;1")&amp;" unit(s)","-")</f>
        <v>Duplicated on 2 unit(s)</v>
      </c>
    </row>
    <row r="34" spans="1:12" x14ac:dyDescent="0.3">
      <c r="A34" s="13" t="s">
        <v>5067</v>
      </c>
      <c r="B34" s="14" t="s">
        <v>308</v>
      </c>
      <c r="C34" s="14" t="s">
        <v>5076</v>
      </c>
      <c r="D34" s="19">
        <f>COUNTIFS(SSC_Ontology_Ver0.5!$A$2209:$A$2492,SUBSTITUTE($A34,"{X}",D$19),SSC_Ontology_Ver0.5!$C$2209:$C$2492,$B34,SSC_Ontology_Ver0.5!$D$2209:$D$2492,SUBSTITUTE($C34,"{X}",D$19))</f>
        <v>1</v>
      </c>
      <c r="E34" s="19">
        <f>COUNTIFS(SSC_Ontology_Ver0.5!$A$2209:$A$2492,SUBSTITUTE($A34,"{X}",E$19),SSC_Ontology_Ver0.5!$C$2209:$C$2492,$B34,SSC_Ontology_Ver0.5!$D$2209:$D$2492,SUBSTITUTE($C34,"{X}",E$19))</f>
        <v>2</v>
      </c>
      <c r="F34" s="19">
        <f>COUNTIFS(SSC_Ontology_Ver0.5!$A$2209:$A$2492,SUBSTITUTE($A34,"{X}",F$19),SSC_Ontology_Ver0.5!$C$2209:$C$2492,$B34,SSC_Ontology_Ver0.5!$D$2209:$D$2492,SUBSTITUTE($C34,"{X}",F$19))</f>
        <v>2</v>
      </c>
      <c r="G34" s="19">
        <f>COUNTIFS(SSC_Ontology_Ver0.5!$A$2209:$A$2492,SUBSTITUTE($A34,"{X}",G$19),SSC_Ontology_Ver0.5!$C$2209:$C$2492,$B34,SSC_Ontology_Ver0.5!$D$2209:$D$2492,SUBSTITUTE($C34,"{X}",G$19))</f>
        <v>1</v>
      </c>
      <c r="H34" s="19">
        <f>COUNTIFS(SSC_Ontology_Ver0.5!$A$2209:$A$2492,SUBSTITUTE($A34,"{X}",H$19),SSC_Ontology_Ver0.5!$C$2209:$C$2492,$B34,SSC_Ontology_Ver0.5!$D$2209:$D$2492,SUBSTITUTE($C34,"{X}",H$19))</f>
        <v>1</v>
      </c>
      <c r="I34" s="19">
        <f>COUNTIFS(SSC_Ontology_Ver0.5!$A$2209:$A$2492,SUBSTITUTE($A34,"{X}",I$19),SSC_Ontology_Ver0.5!$C$2209:$C$2492,$B34,SSC_Ontology_Ver0.5!$D$2209:$D$2492,SUBSTITUTE($C34,"{X}",I$19))</f>
        <v>1</v>
      </c>
      <c r="J34" s="19">
        <f>COUNTIFS(SSC_Ontology_Ver0.5!$A$2209:$A$2492,SUBSTITUTE($A34,"{X}",J$19),SSC_Ontology_Ver0.5!$C$2209:$C$2492,$B34,SSC_Ontology_Ver0.5!$D$2209:$D$2492,SUBSTITUTE($C34,"{X}",J$19))</f>
        <v>1</v>
      </c>
      <c r="K34" s="14" t="str">
        <f>IF(MIN(D34:J34)&gt;0,"On all 7","Missing on "&amp;COUNTIF(D34:J34,0)&amp;" of 7")</f>
        <v>On all 7</v>
      </c>
      <c r="L34" s="15" t="str">
        <f>IF(MAX(D34:J34)&gt;1,"Duplicated on "&amp;COUNTIF(D34:J34,"&gt;1")&amp;" unit(s)","-")</f>
        <v>Duplicated on 2 unit(s)</v>
      </c>
    </row>
    <row r="35" spans="1:12" x14ac:dyDescent="0.3">
      <c r="A35" s="13" t="s">
        <v>5067</v>
      </c>
      <c r="B35" s="14" t="s">
        <v>308</v>
      </c>
      <c r="C35" s="14" t="s">
        <v>5077</v>
      </c>
      <c r="D35" s="19">
        <f>COUNTIFS(SSC_Ontology_Ver0.5!$A$2209:$A$2492,SUBSTITUTE($A35,"{X}",D$19),SSC_Ontology_Ver0.5!$C$2209:$C$2492,$B35,SSC_Ontology_Ver0.5!$D$2209:$D$2492,SUBSTITUTE($C35,"{X}",D$19))</f>
        <v>1</v>
      </c>
      <c r="E35" s="19">
        <f>COUNTIFS(SSC_Ontology_Ver0.5!$A$2209:$A$2492,SUBSTITUTE($A35,"{X}",E$19),SSC_Ontology_Ver0.5!$C$2209:$C$2492,$B35,SSC_Ontology_Ver0.5!$D$2209:$D$2492,SUBSTITUTE($C35,"{X}",E$19))</f>
        <v>2</v>
      </c>
      <c r="F35" s="19">
        <f>COUNTIFS(SSC_Ontology_Ver0.5!$A$2209:$A$2492,SUBSTITUTE($A35,"{X}",F$19),SSC_Ontology_Ver0.5!$C$2209:$C$2492,$B35,SSC_Ontology_Ver0.5!$D$2209:$D$2492,SUBSTITUTE($C35,"{X}",F$19))</f>
        <v>2</v>
      </c>
      <c r="G35" s="19">
        <f>COUNTIFS(SSC_Ontology_Ver0.5!$A$2209:$A$2492,SUBSTITUTE($A35,"{X}",G$19),SSC_Ontology_Ver0.5!$C$2209:$C$2492,$B35,SSC_Ontology_Ver0.5!$D$2209:$D$2492,SUBSTITUTE($C35,"{X}",G$19))</f>
        <v>1</v>
      </c>
      <c r="H35" s="19">
        <f>COUNTIFS(SSC_Ontology_Ver0.5!$A$2209:$A$2492,SUBSTITUTE($A35,"{X}",H$19),SSC_Ontology_Ver0.5!$C$2209:$C$2492,$B35,SSC_Ontology_Ver0.5!$D$2209:$D$2492,SUBSTITUTE($C35,"{X}",H$19))</f>
        <v>1</v>
      </c>
      <c r="I35" s="19">
        <f>COUNTIFS(SSC_Ontology_Ver0.5!$A$2209:$A$2492,SUBSTITUTE($A35,"{X}",I$19),SSC_Ontology_Ver0.5!$C$2209:$C$2492,$B35,SSC_Ontology_Ver0.5!$D$2209:$D$2492,SUBSTITUTE($C35,"{X}",I$19))</f>
        <v>1</v>
      </c>
      <c r="J35" s="19">
        <f>COUNTIFS(SSC_Ontology_Ver0.5!$A$2209:$A$2492,SUBSTITUTE($A35,"{X}",J$19),SSC_Ontology_Ver0.5!$C$2209:$C$2492,$B35,SSC_Ontology_Ver0.5!$D$2209:$D$2492,SUBSTITUTE($C35,"{X}",J$19))</f>
        <v>1</v>
      </c>
      <c r="K35" s="14" t="str">
        <f>IF(MIN(D35:J35)&gt;0,"On all 7","Missing on "&amp;COUNTIF(D35:J35,0)&amp;" of 7")</f>
        <v>On all 7</v>
      </c>
      <c r="L35" s="15" t="str">
        <f>IF(MAX(D35:J35)&gt;1,"Duplicated on "&amp;COUNTIF(D35:J35,"&gt;1")&amp;" unit(s)","-")</f>
        <v>Duplicated on 2 unit(s)</v>
      </c>
    </row>
    <row r="36" spans="1:12" x14ac:dyDescent="0.3">
      <c r="A36" s="13" t="s">
        <v>5067</v>
      </c>
      <c r="B36" s="14" t="s">
        <v>308</v>
      </c>
      <c r="C36" s="14" t="s">
        <v>5078</v>
      </c>
      <c r="D36" s="19">
        <f>COUNTIFS(SSC_Ontology_Ver0.5!$A$2209:$A$2492,SUBSTITUTE($A36,"{X}",D$19),SSC_Ontology_Ver0.5!$C$2209:$C$2492,$B36,SSC_Ontology_Ver0.5!$D$2209:$D$2492,SUBSTITUTE($C36,"{X}",D$19))</f>
        <v>1</v>
      </c>
      <c r="E36" s="19">
        <f>COUNTIFS(SSC_Ontology_Ver0.5!$A$2209:$A$2492,SUBSTITUTE($A36,"{X}",E$19),SSC_Ontology_Ver0.5!$C$2209:$C$2492,$B36,SSC_Ontology_Ver0.5!$D$2209:$D$2492,SUBSTITUTE($C36,"{X}",E$19))</f>
        <v>2</v>
      </c>
      <c r="F36" s="19">
        <f>COUNTIFS(SSC_Ontology_Ver0.5!$A$2209:$A$2492,SUBSTITUTE($A36,"{X}",F$19),SSC_Ontology_Ver0.5!$C$2209:$C$2492,$B36,SSC_Ontology_Ver0.5!$D$2209:$D$2492,SUBSTITUTE($C36,"{X}",F$19))</f>
        <v>2</v>
      </c>
      <c r="G36" s="19">
        <f>COUNTIFS(SSC_Ontology_Ver0.5!$A$2209:$A$2492,SUBSTITUTE($A36,"{X}",G$19),SSC_Ontology_Ver0.5!$C$2209:$C$2492,$B36,SSC_Ontology_Ver0.5!$D$2209:$D$2492,SUBSTITUTE($C36,"{X}",G$19))</f>
        <v>1</v>
      </c>
      <c r="H36" s="19">
        <f>COUNTIFS(SSC_Ontology_Ver0.5!$A$2209:$A$2492,SUBSTITUTE($A36,"{X}",H$19),SSC_Ontology_Ver0.5!$C$2209:$C$2492,$B36,SSC_Ontology_Ver0.5!$D$2209:$D$2492,SUBSTITUTE($C36,"{X}",H$19))</f>
        <v>1</v>
      </c>
      <c r="I36" s="19">
        <f>COUNTIFS(SSC_Ontology_Ver0.5!$A$2209:$A$2492,SUBSTITUTE($A36,"{X}",I$19),SSC_Ontology_Ver0.5!$C$2209:$C$2492,$B36,SSC_Ontology_Ver0.5!$D$2209:$D$2492,SUBSTITUTE($C36,"{X}",I$19))</f>
        <v>1</v>
      </c>
      <c r="J36" s="19">
        <f>COUNTIFS(SSC_Ontology_Ver0.5!$A$2209:$A$2492,SUBSTITUTE($A36,"{X}",J$19),SSC_Ontology_Ver0.5!$C$2209:$C$2492,$B36,SSC_Ontology_Ver0.5!$D$2209:$D$2492,SUBSTITUTE($C36,"{X}",J$19))</f>
        <v>1</v>
      </c>
      <c r="K36" s="14" t="str">
        <f>IF(MIN(D36:J36)&gt;0,"On all 7","Missing on "&amp;COUNTIF(D36:J36,0)&amp;" of 7")</f>
        <v>On all 7</v>
      </c>
      <c r="L36" s="15" t="str">
        <f>IF(MAX(D36:J36)&gt;1,"Duplicated on "&amp;COUNTIF(D36:J36,"&gt;1")&amp;" unit(s)","-")</f>
        <v>Duplicated on 2 unit(s)</v>
      </c>
    </row>
    <row r="37" spans="1:12" x14ac:dyDescent="0.3">
      <c r="A37" s="13" t="s">
        <v>5067</v>
      </c>
      <c r="B37" s="14" t="s">
        <v>308</v>
      </c>
      <c r="C37" s="14" t="s">
        <v>5079</v>
      </c>
      <c r="D37" s="19">
        <f>COUNTIFS(SSC_Ontology_Ver0.5!$A$2209:$A$2492,SUBSTITUTE($A37,"{X}",D$19),SSC_Ontology_Ver0.5!$C$2209:$C$2492,$B37,SSC_Ontology_Ver0.5!$D$2209:$D$2492,SUBSTITUTE($C37,"{X}",D$19))</f>
        <v>1</v>
      </c>
      <c r="E37" s="19">
        <f>COUNTIFS(SSC_Ontology_Ver0.5!$A$2209:$A$2492,SUBSTITUTE($A37,"{X}",E$19),SSC_Ontology_Ver0.5!$C$2209:$C$2492,$B37,SSC_Ontology_Ver0.5!$D$2209:$D$2492,SUBSTITUTE($C37,"{X}",E$19))</f>
        <v>2</v>
      </c>
      <c r="F37" s="19">
        <f>COUNTIFS(SSC_Ontology_Ver0.5!$A$2209:$A$2492,SUBSTITUTE($A37,"{X}",F$19),SSC_Ontology_Ver0.5!$C$2209:$C$2492,$B37,SSC_Ontology_Ver0.5!$D$2209:$D$2492,SUBSTITUTE($C37,"{X}",F$19))</f>
        <v>2</v>
      </c>
      <c r="G37" s="19">
        <f>COUNTIFS(SSC_Ontology_Ver0.5!$A$2209:$A$2492,SUBSTITUTE($A37,"{X}",G$19),SSC_Ontology_Ver0.5!$C$2209:$C$2492,$B37,SSC_Ontology_Ver0.5!$D$2209:$D$2492,SUBSTITUTE($C37,"{X}",G$19))</f>
        <v>1</v>
      </c>
      <c r="H37" s="19">
        <f>COUNTIFS(SSC_Ontology_Ver0.5!$A$2209:$A$2492,SUBSTITUTE($A37,"{X}",H$19),SSC_Ontology_Ver0.5!$C$2209:$C$2492,$B37,SSC_Ontology_Ver0.5!$D$2209:$D$2492,SUBSTITUTE($C37,"{X}",H$19))</f>
        <v>1</v>
      </c>
      <c r="I37" s="19">
        <f>COUNTIFS(SSC_Ontology_Ver0.5!$A$2209:$A$2492,SUBSTITUTE($A37,"{X}",I$19),SSC_Ontology_Ver0.5!$C$2209:$C$2492,$B37,SSC_Ontology_Ver0.5!$D$2209:$D$2492,SUBSTITUTE($C37,"{X}",I$19))</f>
        <v>1</v>
      </c>
      <c r="J37" s="19">
        <f>COUNTIFS(SSC_Ontology_Ver0.5!$A$2209:$A$2492,SUBSTITUTE($A37,"{X}",J$19),SSC_Ontology_Ver0.5!$C$2209:$C$2492,$B37,SSC_Ontology_Ver0.5!$D$2209:$D$2492,SUBSTITUTE($C37,"{X}",J$19))</f>
        <v>1</v>
      </c>
      <c r="K37" s="14" t="str">
        <f>IF(MIN(D37:J37)&gt;0,"On all 7","Missing on "&amp;COUNTIF(D37:J37,0)&amp;" of 7")</f>
        <v>On all 7</v>
      </c>
      <c r="L37" s="15" t="str">
        <f>IF(MAX(D37:J37)&gt;1,"Duplicated on "&amp;COUNTIF(D37:J37,"&gt;1")&amp;" unit(s)","-")</f>
        <v>Duplicated on 2 unit(s)</v>
      </c>
    </row>
    <row r="38" spans="1:12" x14ac:dyDescent="0.3">
      <c r="A38" s="13" t="s">
        <v>5070</v>
      </c>
      <c r="B38" s="14" t="s">
        <v>11</v>
      </c>
      <c r="C38" s="14" t="s">
        <v>12</v>
      </c>
      <c r="D38" s="19">
        <f>COUNTIFS(SSC_Ontology_Ver0.5!$A$2209:$A$2492,SUBSTITUTE($A38,"{X}",D$19),SSC_Ontology_Ver0.5!$C$2209:$C$2492,$B38,SSC_Ontology_Ver0.5!$D$2209:$D$2492,SUBSTITUTE($C38,"{X}",D$19))</f>
        <v>1</v>
      </c>
      <c r="E38" s="19">
        <f>COUNTIFS(SSC_Ontology_Ver0.5!$A$2209:$A$2492,SUBSTITUTE($A38,"{X}",E$19),SSC_Ontology_Ver0.5!$C$2209:$C$2492,$B38,SSC_Ontology_Ver0.5!$D$2209:$D$2492,SUBSTITUTE($C38,"{X}",E$19))</f>
        <v>2</v>
      </c>
      <c r="F38" s="19">
        <f>COUNTIFS(SSC_Ontology_Ver0.5!$A$2209:$A$2492,SUBSTITUTE($A38,"{X}",F$19),SSC_Ontology_Ver0.5!$C$2209:$C$2492,$B38,SSC_Ontology_Ver0.5!$D$2209:$D$2492,SUBSTITUTE($C38,"{X}",F$19))</f>
        <v>2</v>
      </c>
      <c r="G38" s="19">
        <f>COUNTIFS(SSC_Ontology_Ver0.5!$A$2209:$A$2492,SUBSTITUTE($A38,"{X}",G$19),SSC_Ontology_Ver0.5!$C$2209:$C$2492,$B38,SSC_Ontology_Ver0.5!$D$2209:$D$2492,SUBSTITUTE($C38,"{X}",G$19))</f>
        <v>1</v>
      </c>
      <c r="H38" s="19">
        <f>COUNTIFS(SSC_Ontology_Ver0.5!$A$2209:$A$2492,SUBSTITUTE($A38,"{X}",H$19),SSC_Ontology_Ver0.5!$C$2209:$C$2492,$B38,SSC_Ontology_Ver0.5!$D$2209:$D$2492,SUBSTITUTE($C38,"{X}",H$19))</f>
        <v>1</v>
      </c>
      <c r="I38" s="19">
        <f>COUNTIFS(SSC_Ontology_Ver0.5!$A$2209:$A$2492,SUBSTITUTE($A38,"{X}",I$19),SSC_Ontology_Ver0.5!$C$2209:$C$2492,$B38,SSC_Ontology_Ver0.5!$D$2209:$D$2492,SUBSTITUTE($C38,"{X}",I$19))</f>
        <v>1</v>
      </c>
      <c r="J38" s="19">
        <f>COUNTIFS(SSC_Ontology_Ver0.5!$A$2209:$A$2492,SUBSTITUTE($A38,"{X}",J$19),SSC_Ontology_Ver0.5!$C$2209:$C$2492,$B38,SSC_Ontology_Ver0.5!$D$2209:$D$2492,SUBSTITUTE($C38,"{X}",J$19))</f>
        <v>1</v>
      </c>
      <c r="K38" s="14" t="str">
        <f>IF(MIN(D38:J38)&gt;0,"On all 7","Missing on "&amp;COUNTIF(D38:J38,0)&amp;" of 7")</f>
        <v>On all 7</v>
      </c>
      <c r="L38" s="15" t="str">
        <f>IF(MAX(D38:J38)&gt;1,"Duplicated on "&amp;COUNTIF(D38:J38,"&gt;1")&amp;" unit(s)","-")</f>
        <v>Duplicated on 2 unit(s)</v>
      </c>
    </row>
    <row r="39" spans="1:12" x14ac:dyDescent="0.3">
      <c r="A39" s="13" t="s">
        <v>5071</v>
      </c>
      <c r="B39" s="14" t="s">
        <v>11</v>
      </c>
      <c r="C39" s="14" t="s">
        <v>12</v>
      </c>
      <c r="D39" s="19">
        <f>COUNTIFS(SSC_Ontology_Ver0.5!$A$2209:$A$2492,SUBSTITUTE($A39,"{X}",D$19),SSC_Ontology_Ver0.5!$C$2209:$C$2492,$B39,SSC_Ontology_Ver0.5!$D$2209:$D$2492,SUBSTITUTE($C39,"{X}",D$19))</f>
        <v>1</v>
      </c>
      <c r="E39" s="19">
        <f>COUNTIFS(SSC_Ontology_Ver0.5!$A$2209:$A$2492,SUBSTITUTE($A39,"{X}",E$19),SSC_Ontology_Ver0.5!$C$2209:$C$2492,$B39,SSC_Ontology_Ver0.5!$D$2209:$D$2492,SUBSTITUTE($C39,"{X}",E$19))</f>
        <v>0</v>
      </c>
      <c r="F39" s="19">
        <f>COUNTIFS(SSC_Ontology_Ver0.5!$A$2209:$A$2492,SUBSTITUTE($A39,"{X}",F$19),SSC_Ontology_Ver0.5!$C$2209:$C$2492,$B39,SSC_Ontology_Ver0.5!$D$2209:$D$2492,SUBSTITUTE($C39,"{X}",F$19))</f>
        <v>0</v>
      </c>
      <c r="G39" s="19">
        <f>COUNTIFS(SSC_Ontology_Ver0.5!$A$2209:$A$2492,SUBSTITUTE($A39,"{X}",G$19),SSC_Ontology_Ver0.5!$C$2209:$C$2492,$B39,SSC_Ontology_Ver0.5!$D$2209:$D$2492,SUBSTITUTE($C39,"{X}",G$19))</f>
        <v>0</v>
      </c>
      <c r="H39" s="19">
        <f>COUNTIFS(SSC_Ontology_Ver0.5!$A$2209:$A$2492,SUBSTITUTE($A39,"{X}",H$19),SSC_Ontology_Ver0.5!$C$2209:$C$2492,$B39,SSC_Ontology_Ver0.5!$D$2209:$D$2492,SUBSTITUTE($C39,"{X}",H$19))</f>
        <v>0</v>
      </c>
      <c r="I39" s="19">
        <f>COUNTIFS(SSC_Ontology_Ver0.5!$A$2209:$A$2492,SUBSTITUTE($A39,"{X}",I$19),SSC_Ontology_Ver0.5!$C$2209:$C$2492,$B39,SSC_Ontology_Ver0.5!$D$2209:$D$2492,SUBSTITUTE($C39,"{X}",I$19))</f>
        <v>0</v>
      </c>
      <c r="J39" s="19">
        <f>COUNTIFS(SSC_Ontology_Ver0.5!$A$2209:$A$2492,SUBSTITUTE($A39,"{X}",J$19),SSC_Ontology_Ver0.5!$C$2209:$C$2492,$B39,SSC_Ontology_Ver0.5!$D$2209:$D$2492,SUBSTITUTE($C39,"{X}",J$19))</f>
        <v>0</v>
      </c>
      <c r="K39" s="14" t="str">
        <f>IF(MIN(D39:J39)&gt;0,"On all 7","Missing on "&amp;COUNTIF(D39:J39,0)&amp;" of 7")</f>
        <v>Missing on 6 of 7</v>
      </c>
      <c r="L39" s="15" t="str">
        <f>IF(MAX(D39:J39)&gt;1,"Duplicated on "&amp;COUNTIF(D39:J39,"&gt;1")&amp;" unit(s)","-")</f>
        <v>-</v>
      </c>
    </row>
    <row r="40" spans="1:12" x14ac:dyDescent="0.3">
      <c r="A40" s="13" t="s">
        <v>5072</v>
      </c>
      <c r="B40" s="14" t="s">
        <v>11</v>
      </c>
      <c r="C40" s="14" t="s">
        <v>12</v>
      </c>
      <c r="D40" s="19">
        <f>COUNTIFS(SSC_Ontology_Ver0.5!$A$2209:$A$2492,SUBSTITUTE($A40,"{X}",D$19),SSC_Ontology_Ver0.5!$C$2209:$C$2492,$B40,SSC_Ontology_Ver0.5!$D$2209:$D$2492,SUBSTITUTE($C40,"{X}",D$19))</f>
        <v>1</v>
      </c>
      <c r="E40" s="19">
        <f>COUNTIFS(SSC_Ontology_Ver0.5!$A$2209:$A$2492,SUBSTITUTE($A40,"{X}",E$19),SSC_Ontology_Ver0.5!$C$2209:$C$2492,$B40,SSC_Ontology_Ver0.5!$D$2209:$D$2492,SUBSTITUTE($C40,"{X}",E$19))</f>
        <v>2</v>
      </c>
      <c r="F40" s="19">
        <f>COUNTIFS(SSC_Ontology_Ver0.5!$A$2209:$A$2492,SUBSTITUTE($A40,"{X}",F$19),SSC_Ontology_Ver0.5!$C$2209:$C$2492,$B40,SSC_Ontology_Ver0.5!$D$2209:$D$2492,SUBSTITUTE($C40,"{X}",F$19))</f>
        <v>2</v>
      </c>
      <c r="G40" s="19">
        <f>COUNTIFS(SSC_Ontology_Ver0.5!$A$2209:$A$2492,SUBSTITUTE($A40,"{X}",G$19),SSC_Ontology_Ver0.5!$C$2209:$C$2492,$B40,SSC_Ontology_Ver0.5!$D$2209:$D$2492,SUBSTITUTE($C40,"{X}",G$19))</f>
        <v>1</v>
      </c>
      <c r="H40" s="19">
        <f>COUNTIFS(SSC_Ontology_Ver0.5!$A$2209:$A$2492,SUBSTITUTE($A40,"{X}",H$19),SSC_Ontology_Ver0.5!$C$2209:$C$2492,$B40,SSC_Ontology_Ver0.5!$D$2209:$D$2492,SUBSTITUTE($C40,"{X}",H$19))</f>
        <v>1</v>
      </c>
      <c r="I40" s="19">
        <f>COUNTIFS(SSC_Ontology_Ver0.5!$A$2209:$A$2492,SUBSTITUTE($A40,"{X}",I$19),SSC_Ontology_Ver0.5!$C$2209:$C$2492,$B40,SSC_Ontology_Ver0.5!$D$2209:$D$2492,SUBSTITUTE($C40,"{X}",I$19))</f>
        <v>1</v>
      </c>
      <c r="J40" s="19">
        <f>COUNTIFS(SSC_Ontology_Ver0.5!$A$2209:$A$2492,SUBSTITUTE($A40,"{X}",J$19),SSC_Ontology_Ver0.5!$C$2209:$C$2492,$B40,SSC_Ontology_Ver0.5!$D$2209:$D$2492,SUBSTITUTE($C40,"{X}",J$19))</f>
        <v>1</v>
      </c>
      <c r="K40" s="14" t="str">
        <f>IF(MIN(D40:J40)&gt;0,"On all 7","Missing on "&amp;COUNTIF(D40:J40,0)&amp;" of 7")</f>
        <v>On all 7</v>
      </c>
      <c r="L40" s="15" t="str">
        <f>IF(MAX(D40:J40)&gt;1,"Duplicated on "&amp;COUNTIF(D40:J40,"&gt;1")&amp;" unit(s)","-")</f>
        <v>Duplicated on 2 unit(s)</v>
      </c>
    </row>
    <row r="41" spans="1:12" x14ac:dyDescent="0.3">
      <c r="A41" s="13" t="s">
        <v>5074</v>
      </c>
      <c r="B41" s="14" t="s">
        <v>11</v>
      </c>
      <c r="C41" s="14" t="s">
        <v>12</v>
      </c>
      <c r="D41" s="19">
        <f>COUNTIFS(SSC_Ontology_Ver0.5!$A$2209:$A$2492,SUBSTITUTE($A41,"{X}",D$19),SSC_Ontology_Ver0.5!$C$2209:$C$2492,$B41,SSC_Ontology_Ver0.5!$D$2209:$D$2492,SUBSTITUTE($C41,"{X}",D$19))</f>
        <v>1</v>
      </c>
      <c r="E41" s="19">
        <f>COUNTIFS(SSC_Ontology_Ver0.5!$A$2209:$A$2492,SUBSTITUTE($A41,"{X}",E$19),SSC_Ontology_Ver0.5!$C$2209:$C$2492,$B41,SSC_Ontology_Ver0.5!$D$2209:$D$2492,SUBSTITUTE($C41,"{X}",E$19))</f>
        <v>0</v>
      </c>
      <c r="F41" s="19">
        <f>COUNTIFS(SSC_Ontology_Ver0.5!$A$2209:$A$2492,SUBSTITUTE($A41,"{X}",F$19),SSC_Ontology_Ver0.5!$C$2209:$C$2492,$B41,SSC_Ontology_Ver0.5!$D$2209:$D$2492,SUBSTITUTE($C41,"{X}",F$19))</f>
        <v>0</v>
      </c>
      <c r="G41" s="19">
        <f>COUNTIFS(SSC_Ontology_Ver0.5!$A$2209:$A$2492,SUBSTITUTE($A41,"{X}",G$19),SSC_Ontology_Ver0.5!$C$2209:$C$2492,$B41,SSC_Ontology_Ver0.5!$D$2209:$D$2492,SUBSTITUTE($C41,"{X}",G$19))</f>
        <v>0</v>
      </c>
      <c r="H41" s="19">
        <f>COUNTIFS(SSC_Ontology_Ver0.5!$A$2209:$A$2492,SUBSTITUTE($A41,"{X}",H$19),SSC_Ontology_Ver0.5!$C$2209:$C$2492,$B41,SSC_Ontology_Ver0.5!$D$2209:$D$2492,SUBSTITUTE($C41,"{X}",H$19))</f>
        <v>0</v>
      </c>
      <c r="I41" s="19">
        <f>COUNTIFS(SSC_Ontology_Ver0.5!$A$2209:$A$2492,SUBSTITUTE($A41,"{X}",I$19),SSC_Ontology_Ver0.5!$C$2209:$C$2492,$B41,SSC_Ontology_Ver0.5!$D$2209:$D$2492,SUBSTITUTE($C41,"{X}",I$19))</f>
        <v>0</v>
      </c>
      <c r="J41" s="19">
        <f>COUNTIFS(SSC_Ontology_Ver0.5!$A$2209:$A$2492,SUBSTITUTE($A41,"{X}",J$19),SSC_Ontology_Ver0.5!$C$2209:$C$2492,$B41,SSC_Ontology_Ver0.5!$D$2209:$D$2492,SUBSTITUTE($C41,"{X}",J$19))</f>
        <v>0</v>
      </c>
      <c r="K41" s="14" t="str">
        <f>IF(MIN(D41:J41)&gt;0,"On all 7","Missing on "&amp;COUNTIF(D41:J41,0)&amp;" of 7")</f>
        <v>Missing on 6 of 7</v>
      </c>
      <c r="L41" s="15" t="str">
        <f>IF(MAX(D41:J41)&gt;1,"Duplicated on "&amp;COUNTIF(D41:J41,"&gt;1")&amp;" unit(s)","-")</f>
        <v>-</v>
      </c>
    </row>
    <row r="42" spans="1:12" x14ac:dyDescent="0.3">
      <c r="A42" s="13" t="s">
        <v>5073</v>
      </c>
      <c r="B42" s="14" t="s">
        <v>11</v>
      </c>
      <c r="C42" s="14" t="s">
        <v>12</v>
      </c>
      <c r="D42" s="19">
        <f>COUNTIFS(SSC_Ontology_Ver0.5!$A$2209:$A$2492,SUBSTITUTE($A42,"{X}",D$19),SSC_Ontology_Ver0.5!$C$2209:$C$2492,$B42,SSC_Ontology_Ver0.5!$D$2209:$D$2492,SUBSTITUTE($C42,"{X}",D$19))</f>
        <v>1</v>
      </c>
      <c r="E42" s="19">
        <f>COUNTIFS(SSC_Ontology_Ver0.5!$A$2209:$A$2492,SUBSTITUTE($A42,"{X}",E$19),SSC_Ontology_Ver0.5!$C$2209:$C$2492,$B42,SSC_Ontology_Ver0.5!$D$2209:$D$2492,SUBSTITUTE($C42,"{X}",E$19))</f>
        <v>0</v>
      </c>
      <c r="F42" s="19">
        <f>COUNTIFS(SSC_Ontology_Ver0.5!$A$2209:$A$2492,SUBSTITUTE($A42,"{X}",F$19),SSC_Ontology_Ver0.5!$C$2209:$C$2492,$B42,SSC_Ontology_Ver0.5!$D$2209:$D$2492,SUBSTITUTE($C42,"{X}",F$19))</f>
        <v>0</v>
      </c>
      <c r="G42" s="19">
        <f>COUNTIFS(SSC_Ontology_Ver0.5!$A$2209:$A$2492,SUBSTITUTE($A42,"{X}",G$19),SSC_Ontology_Ver0.5!$C$2209:$C$2492,$B42,SSC_Ontology_Ver0.5!$D$2209:$D$2492,SUBSTITUTE($C42,"{X}",G$19))</f>
        <v>0</v>
      </c>
      <c r="H42" s="19">
        <f>COUNTIFS(SSC_Ontology_Ver0.5!$A$2209:$A$2492,SUBSTITUTE($A42,"{X}",H$19),SSC_Ontology_Ver0.5!$C$2209:$C$2492,$B42,SSC_Ontology_Ver0.5!$D$2209:$D$2492,SUBSTITUTE($C42,"{X}",H$19))</f>
        <v>0</v>
      </c>
      <c r="I42" s="19">
        <f>COUNTIFS(SSC_Ontology_Ver0.5!$A$2209:$A$2492,SUBSTITUTE($A42,"{X}",I$19),SSC_Ontology_Ver0.5!$C$2209:$C$2492,$B42,SSC_Ontology_Ver0.5!$D$2209:$D$2492,SUBSTITUTE($C42,"{X}",I$19))</f>
        <v>0</v>
      </c>
      <c r="J42" s="19">
        <f>COUNTIFS(SSC_Ontology_Ver0.5!$A$2209:$A$2492,SUBSTITUTE($A42,"{X}",J$19),SSC_Ontology_Ver0.5!$C$2209:$C$2492,$B42,SSC_Ontology_Ver0.5!$D$2209:$D$2492,SUBSTITUTE($C42,"{X}",J$19))</f>
        <v>0</v>
      </c>
      <c r="K42" s="14" t="str">
        <f>IF(MIN(D42:J42)&gt;0,"On all 7","Missing on "&amp;COUNTIF(D42:J42,0)&amp;" of 7")</f>
        <v>Missing on 6 of 7</v>
      </c>
      <c r="L42" s="15" t="str">
        <f>IF(MAX(D42:J42)&gt;1,"Duplicated on "&amp;COUNTIF(D42:J42,"&gt;1")&amp;" unit(s)","-")</f>
        <v>-</v>
      </c>
    </row>
    <row r="43" spans="1:12" x14ac:dyDescent="0.3">
      <c r="A43" s="13" t="s">
        <v>5075</v>
      </c>
      <c r="B43" s="14" t="s">
        <v>11</v>
      </c>
      <c r="C43" s="14" t="s">
        <v>12</v>
      </c>
      <c r="D43" s="19">
        <f>COUNTIFS(SSC_Ontology_Ver0.5!$A$2209:$A$2492,SUBSTITUTE($A43,"{X}",D$19),SSC_Ontology_Ver0.5!$C$2209:$C$2492,$B43,SSC_Ontology_Ver0.5!$D$2209:$D$2492,SUBSTITUTE($C43,"{X}",D$19))</f>
        <v>1</v>
      </c>
      <c r="E43" s="19">
        <f>COUNTIFS(SSC_Ontology_Ver0.5!$A$2209:$A$2492,SUBSTITUTE($A43,"{X}",E$19),SSC_Ontology_Ver0.5!$C$2209:$C$2492,$B43,SSC_Ontology_Ver0.5!$D$2209:$D$2492,SUBSTITUTE($C43,"{X}",E$19))</f>
        <v>2</v>
      </c>
      <c r="F43" s="19">
        <f>COUNTIFS(SSC_Ontology_Ver0.5!$A$2209:$A$2492,SUBSTITUTE($A43,"{X}",F$19),SSC_Ontology_Ver0.5!$C$2209:$C$2492,$B43,SSC_Ontology_Ver0.5!$D$2209:$D$2492,SUBSTITUTE($C43,"{X}",F$19))</f>
        <v>2</v>
      </c>
      <c r="G43" s="19">
        <f>COUNTIFS(SSC_Ontology_Ver0.5!$A$2209:$A$2492,SUBSTITUTE($A43,"{X}",G$19),SSC_Ontology_Ver0.5!$C$2209:$C$2492,$B43,SSC_Ontology_Ver0.5!$D$2209:$D$2492,SUBSTITUTE($C43,"{X}",G$19))</f>
        <v>1</v>
      </c>
      <c r="H43" s="19">
        <f>COUNTIFS(SSC_Ontology_Ver0.5!$A$2209:$A$2492,SUBSTITUTE($A43,"{X}",H$19),SSC_Ontology_Ver0.5!$C$2209:$C$2492,$B43,SSC_Ontology_Ver0.5!$D$2209:$D$2492,SUBSTITUTE($C43,"{X}",H$19))</f>
        <v>1</v>
      </c>
      <c r="I43" s="19">
        <f>COUNTIFS(SSC_Ontology_Ver0.5!$A$2209:$A$2492,SUBSTITUTE($A43,"{X}",I$19),SSC_Ontology_Ver0.5!$C$2209:$C$2492,$B43,SSC_Ontology_Ver0.5!$D$2209:$D$2492,SUBSTITUTE($C43,"{X}",I$19))</f>
        <v>1</v>
      </c>
      <c r="J43" s="19">
        <f>COUNTIFS(SSC_Ontology_Ver0.5!$A$2209:$A$2492,SUBSTITUTE($A43,"{X}",J$19),SSC_Ontology_Ver0.5!$C$2209:$C$2492,$B43,SSC_Ontology_Ver0.5!$D$2209:$D$2492,SUBSTITUTE($C43,"{X}",J$19))</f>
        <v>1</v>
      </c>
      <c r="K43" s="14" t="str">
        <f>IF(MIN(D43:J43)&gt;0,"On all 7","Missing on "&amp;COUNTIF(D43:J43,0)&amp;" of 7")</f>
        <v>On all 7</v>
      </c>
      <c r="L43" s="15" t="str">
        <f>IF(MAX(D43:J43)&gt;1,"Duplicated on "&amp;COUNTIF(D43:J43,"&gt;1")&amp;" unit(s)","-")</f>
        <v>Duplicated on 2 unit(s)</v>
      </c>
    </row>
    <row r="44" spans="1:12" x14ac:dyDescent="0.3">
      <c r="A44" s="13" t="s">
        <v>5076</v>
      </c>
      <c r="B44" s="14" t="s">
        <v>11</v>
      </c>
      <c r="C44" s="14" t="s">
        <v>12</v>
      </c>
      <c r="D44" s="19">
        <f>COUNTIFS(SSC_Ontology_Ver0.5!$A$2209:$A$2492,SUBSTITUTE($A44,"{X}",D$19),SSC_Ontology_Ver0.5!$C$2209:$C$2492,$B44,SSC_Ontology_Ver0.5!$D$2209:$D$2492,SUBSTITUTE($C44,"{X}",D$19))</f>
        <v>1</v>
      </c>
      <c r="E44" s="19">
        <f>COUNTIFS(SSC_Ontology_Ver0.5!$A$2209:$A$2492,SUBSTITUTE($A44,"{X}",E$19),SSC_Ontology_Ver0.5!$C$2209:$C$2492,$B44,SSC_Ontology_Ver0.5!$D$2209:$D$2492,SUBSTITUTE($C44,"{X}",E$19))</f>
        <v>2</v>
      </c>
      <c r="F44" s="19">
        <f>COUNTIFS(SSC_Ontology_Ver0.5!$A$2209:$A$2492,SUBSTITUTE($A44,"{X}",F$19),SSC_Ontology_Ver0.5!$C$2209:$C$2492,$B44,SSC_Ontology_Ver0.5!$D$2209:$D$2492,SUBSTITUTE($C44,"{X}",F$19))</f>
        <v>2</v>
      </c>
      <c r="G44" s="19">
        <f>COUNTIFS(SSC_Ontology_Ver0.5!$A$2209:$A$2492,SUBSTITUTE($A44,"{X}",G$19),SSC_Ontology_Ver0.5!$C$2209:$C$2492,$B44,SSC_Ontology_Ver0.5!$D$2209:$D$2492,SUBSTITUTE($C44,"{X}",G$19))</f>
        <v>1</v>
      </c>
      <c r="H44" s="19">
        <f>COUNTIFS(SSC_Ontology_Ver0.5!$A$2209:$A$2492,SUBSTITUTE($A44,"{X}",H$19),SSC_Ontology_Ver0.5!$C$2209:$C$2492,$B44,SSC_Ontology_Ver0.5!$D$2209:$D$2492,SUBSTITUTE($C44,"{X}",H$19))</f>
        <v>1</v>
      </c>
      <c r="I44" s="19">
        <f>COUNTIFS(SSC_Ontology_Ver0.5!$A$2209:$A$2492,SUBSTITUTE($A44,"{X}",I$19),SSC_Ontology_Ver0.5!$C$2209:$C$2492,$B44,SSC_Ontology_Ver0.5!$D$2209:$D$2492,SUBSTITUTE($C44,"{X}",I$19))</f>
        <v>1</v>
      </c>
      <c r="J44" s="19">
        <f>COUNTIFS(SSC_Ontology_Ver0.5!$A$2209:$A$2492,SUBSTITUTE($A44,"{X}",J$19),SSC_Ontology_Ver0.5!$C$2209:$C$2492,$B44,SSC_Ontology_Ver0.5!$D$2209:$D$2492,SUBSTITUTE($C44,"{X}",J$19))</f>
        <v>1</v>
      </c>
      <c r="K44" s="14" t="str">
        <f>IF(MIN(D44:J44)&gt;0,"On all 7","Missing on "&amp;COUNTIF(D44:J44,0)&amp;" of 7")</f>
        <v>On all 7</v>
      </c>
      <c r="L44" s="15" t="str">
        <f>IF(MAX(D44:J44)&gt;1,"Duplicated on "&amp;COUNTIF(D44:J44,"&gt;1")&amp;" unit(s)","-")</f>
        <v>Duplicated on 2 unit(s)</v>
      </c>
    </row>
    <row r="45" spans="1:12" x14ac:dyDescent="0.3">
      <c r="A45" s="13" t="s">
        <v>5077</v>
      </c>
      <c r="B45" s="14" t="s">
        <v>11</v>
      </c>
      <c r="C45" s="14" t="s">
        <v>12</v>
      </c>
      <c r="D45" s="19">
        <f>COUNTIFS(SSC_Ontology_Ver0.5!$A$2209:$A$2492,SUBSTITUTE($A45,"{X}",D$19),SSC_Ontology_Ver0.5!$C$2209:$C$2492,$B45,SSC_Ontology_Ver0.5!$D$2209:$D$2492,SUBSTITUTE($C45,"{X}",D$19))</f>
        <v>1</v>
      </c>
      <c r="E45" s="19">
        <f>COUNTIFS(SSC_Ontology_Ver0.5!$A$2209:$A$2492,SUBSTITUTE($A45,"{X}",E$19),SSC_Ontology_Ver0.5!$C$2209:$C$2492,$B45,SSC_Ontology_Ver0.5!$D$2209:$D$2492,SUBSTITUTE($C45,"{X}",E$19))</f>
        <v>2</v>
      </c>
      <c r="F45" s="19">
        <f>COUNTIFS(SSC_Ontology_Ver0.5!$A$2209:$A$2492,SUBSTITUTE($A45,"{X}",F$19),SSC_Ontology_Ver0.5!$C$2209:$C$2492,$B45,SSC_Ontology_Ver0.5!$D$2209:$D$2492,SUBSTITUTE($C45,"{X}",F$19))</f>
        <v>2</v>
      </c>
      <c r="G45" s="19">
        <f>COUNTIFS(SSC_Ontology_Ver0.5!$A$2209:$A$2492,SUBSTITUTE($A45,"{X}",G$19),SSC_Ontology_Ver0.5!$C$2209:$C$2492,$B45,SSC_Ontology_Ver0.5!$D$2209:$D$2492,SUBSTITUTE($C45,"{X}",G$19))</f>
        <v>1</v>
      </c>
      <c r="H45" s="19">
        <f>COUNTIFS(SSC_Ontology_Ver0.5!$A$2209:$A$2492,SUBSTITUTE($A45,"{X}",H$19),SSC_Ontology_Ver0.5!$C$2209:$C$2492,$B45,SSC_Ontology_Ver0.5!$D$2209:$D$2492,SUBSTITUTE($C45,"{X}",H$19))</f>
        <v>1</v>
      </c>
      <c r="I45" s="19">
        <f>COUNTIFS(SSC_Ontology_Ver0.5!$A$2209:$A$2492,SUBSTITUTE($A45,"{X}",I$19),SSC_Ontology_Ver0.5!$C$2209:$C$2492,$B45,SSC_Ontology_Ver0.5!$D$2209:$D$2492,SUBSTITUTE($C45,"{X}",I$19))</f>
        <v>1</v>
      </c>
      <c r="J45" s="19">
        <f>COUNTIFS(SSC_Ontology_Ver0.5!$A$2209:$A$2492,SUBSTITUTE($A45,"{X}",J$19),SSC_Ontology_Ver0.5!$C$2209:$C$2492,$B45,SSC_Ontology_Ver0.5!$D$2209:$D$2492,SUBSTITUTE($C45,"{X}",J$19))</f>
        <v>1</v>
      </c>
      <c r="K45" s="14" t="str">
        <f>IF(MIN(D45:J45)&gt;0,"On all 7","Missing on "&amp;COUNTIF(D45:J45,0)&amp;" of 7")</f>
        <v>On all 7</v>
      </c>
      <c r="L45" s="15" t="str">
        <f>IF(MAX(D45:J45)&gt;1,"Duplicated on "&amp;COUNTIF(D45:J45,"&gt;1")&amp;" unit(s)","-")</f>
        <v>Duplicated on 2 unit(s)</v>
      </c>
    </row>
    <row r="46" spans="1:12" x14ac:dyDescent="0.3">
      <c r="A46" s="13" t="s">
        <v>5078</v>
      </c>
      <c r="B46" s="14" t="s">
        <v>11</v>
      </c>
      <c r="C46" s="14" t="s">
        <v>12</v>
      </c>
      <c r="D46" s="19">
        <f>COUNTIFS(SSC_Ontology_Ver0.5!$A$2209:$A$2492,SUBSTITUTE($A46,"{X}",D$19),SSC_Ontology_Ver0.5!$C$2209:$C$2492,$B46,SSC_Ontology_Ver0.5!$D$2209:$D$2492,SUBSTITUTE($C46,"{X}",D$19))</f>
        <v>1</v>
      </c>
      <c r="E46" s="19">
        <f>COUNTIFS(SSC_Ontology_Ver0.5!$A$2209:$A$2492,SUBSTITUTE($A46,"{X}",E$19),SSC_Ontology_Ver0.5!$C$2209:$C$2492,$B46,SSC_Ontology_Ver0.5!$D$2209:$D$2492,SUBSTITUTE($C46,"{X}",E$19))</f>
        <v>2</v>
      </c>
      <c r="F46" s="19">
        <f>COUNTIFS(SSC_Ontology_Ver0.5!$A$2209:$A$2492,SUBSTITUTE($A46,"{X}",F$19),SSC_Ontology_Ver0.5!$C$2209:$C$2492,$B46,SSC_Ontology_Ver0.5!$D$2209:$D$2492,SUBSTITUTE($C46,"{X}",F$19))</f>
        <v>2</v>
      </c>
      <c r="G46" s="19">
        <f>COUNTIFS(SSC_Ontology_Ver0.5!$A$2209:$A$2492,SUBSTITUTE($A46,"{X}",G$19),SSC_Ontology_Ver0.5!$C$2209:$C$2492,$B46,SSC_Ontology_Ver0.5!$D$2209:$D$2492,SUBSTITUTE($C46,"{X}",G$19))</f>
        <v>1</v>
      </c>
      <c r="H46" s="19">
        <f>COUNTIFS(SSC_Ontology_Ver0.5!$A$2209:$A$2492,SUBSTITUTE($A46,"{X}",H$19),SSC_Ontology_Ver0.5!$C$2209:$C$2492,$B46,SSC_Ontology_Ver0.5!$D$2209:$D$2492,SUBSTITUTE($C46,"{X}",H$19))</f>
        <v>1</v>
      </c>
      <c r="I46" s="19">
        <f>COUNTIFS(SSC_Ontology_Ver0.5!$A$2209:$A$2492,SUBSTITUTE($A46,"{X}",I$19),SSC_Ontology_Ver0.5!$C$2209:$C$2492,$B46,SSC_Ontology_Ver0.5!$D$2209:$D$2492,SUBSTITUTE($C46,"{X}",I$19))</f>
        <v>1</v>
      </c>
      <c r="J46" s="19">
        <f>COUNTIFS(SSC_Ontology_Ver0.5!$A$2209:$A$2492,SUBSTITUTE($A46,"{X}",J$19),SSC_Ontology_Ver0.5!$C$2209:$C$2492,$B46,SSC_Ontology_Ver0.5!$D$2209:$D$2492,SUBSTITUTE($C46,"{X}",J$19))</f>
        <v>1</v>
      </c>
      <c r="K46" s="14" t="str">
        <f>IF(MIN(D46:J46)&gt;0,"On all 7","Missing on "&amp;COUNTIF(D46:J46,0)&amp;" of 7")</f>
        <v>On all 7</v>
      </c>
      <c r="L46" s="15" t="str">
        <f>IF(MAX(D46:J46)&gt;1,"Duplicated on "&amp;COUNTIF(D46:J46,"&gt;1")&amp;" unit(s)","-")</f>
        <v>Duplicated on 2 unit(s)</v>
      </c>
    </row>
    <row r="47" spans="1:12" x14ac:dyDescent="0.3">
      <c r="A47" s="13" t="s">
        <v>5079</v>
      </c>
      <c r="B47" s="14" t="s">
        <v>11</v>
      </c>
      <c r="C47" s="14" t="s">
        <v>12</v>
      </c>
      <c r="D47" s="19">
        <f>COUNTIFS(SSC_Ontology_Ver0.5!$A$2209:$A$2492,SUBSTITUTE($A47,"{X}",D$19),SSC_Ontology_Ver0.5!$C$2209:$C$2492,$B47,SSC_Ontology_Ver0.5!$D$2209:$D$2492,SUBSTITUTE($C47,"{X}",D$19))</f>
        <v>1</v>
      </c>
      <c r="E47" s="19">
        <f>COUNTIFS(SSC_Ontology_Ver0.5!$A$2209:$A$2492,SUBSTITUTE($A47,"{X}",E$19),SSC_Ontology_Ver0.5!$C$2209:$C$2492,$B47,SSC_Ontology_Ver0.5!$D$2209:$D$2492,SUBSTITUTE($C47,"{X}",E$19))</f>
        <v>2</v>
      </c>
      <c r="F47" s="19">
        <f>COUNTIFS(SSC_Ontology_Ver0.5!$A$2209:$A$2492,SUBSTITUTE($A47,"{X}",F$19),SSC_Ontology_Ver0.5!$C$2209:$C$2492,$B47,SSC_Ontology_Ver0.5!$D$2209:$D$2492,SUBSTITUTE($C47,"{X}",F$19))</f>
        <v>2</v>
      </c>
      <c r="G47" s="19">
        <f>COUNTIFS(SSC_Ontology_Ver0.5!$A$2209:$A$2492,SUBSTITUTE($A47,"{X}",G$19),SSC_Ontology_Ver0.5!$C$2209:$C$2492,$B47,SSC_Ontology_Ver0.5!$D$2209:$D$2492,SUBSTITUTE($C47,"{X}",G$19))</f>
        <v>1</v>
      </c>
      <c r="H47" s="19">
        <f>COUNTIFS(SSC_Ontology_Ver0.5!$A$2209:$A$2492,SUBSTITUTE($A47,"{X}",H$19),SSC_Ontology_Ver0.5!$C$2209:$C$2492,$B47,SSC_Ontology_Ver0.5!$D$2209:$D$2492,SUBSTITUTE($C47,"{X}",H$19))</f>
        <v>1</v>
      </c>
      <c r="I47" s="19">
        <f>COUNTIFS(SSC_Ontology_Ver0.5!$A$2209:$A$2492,SUBSTITUTE($A47,"{X}",I$19),SSC_Ontology_Ver0.5!$C$2209:$C$2492,$B47,SSC_Ontology_Ver0.5!$D$2209:$D$2492,SUBSTITUTE($C47,"{X}",I$19))</f>
        <v>1</v>
      </c>
      <c r="J47" s="19">
        <f>COUNTIFS(SSC_Ontology_Ver0.5!$A$2209:$A$2492,SUBSTITUTE($A47,"{X}",J$19),SSC_Ontology_Ver0.5!$C$2209:$C$2492,$B47,SSC_Ontology_Ver0.5!$D$2209:$D$2492,SUBSTITUTE($C47,"{X}",J$19))</f>
        <v>1</v>
      </c>
      <c r="K47" s="14" t="str">
        <f>IF(MIN(D47:J47)&gt;0,"On all 7","Missing on "&amp;COUNTIF(D47:J47,0)&amp;" of 7")</f>
        <v>On all 7</v>
      </c>
      <c r="L47" s="15" t="str">
        <f>IF(MAX(D47:J47)&gt;1,"Duplicated on "&amp;COUNTIF(D47:J47,"&gt;1")&amp;" unit(s)","-")</f>
        <v>Duplicated on 2 unit(s)</v>
      </c>
    </row>
    <row r="48" spans="1:12" x14ac:dyDescent="0.3">
      <c r="A48" s="13" t="s">
        <v>5068</v>
      </c>
      <c r="B48" s="14" t="s">
        <v>11</v>
      </c>
      <c r="C48" s="14" t="s">
        <v>12</v>
      </c>
      <c r="D48" s="19">
        <f>COUNTIFS(SSC_Ontology_Ver0.5!$A$2209:$A$2492,SUBSTITUTE($A48,"{X}",D$19),SSC_Ontology_Ver0.5!$C$2209:$C$2492,$B48,SSC_Ontology_Ver0.5!$D$2209:$D$2492,SUBSTITUTE($C48,"{X}",D$19))</f>
        <v>1</v>
      </c>
      <c r="E48" s="19">
        <f>COUNTIFS(SSC_Ontology_Ver0.5!$A$2209:$A$2492,SUBSTITUTE($A48,"{X}",E$19),SSC_Ontology_Ver0.5!$C$2209:$C$2492,$B48,SSC_Ontology_Ver0.5!$D$2209:$D$2492,SUBSTITUTE($C48,"{X}",E$19))</f>
        <v>2</v>
      </c>
      <c r="F48" s="19">
        <f>COUNTIFS(SSC_Ontology_Ver0.5!$A$2209:$A$2492,SUBSTITUTE($A48,"{X}",F$19),SSC_Ontology_Ver0.5!$C$2209:$C$2492,$B48,SSC_Ontology_Ver0.5!$D$2209:$D$2492,SUBSTITUTE($C48,"{X}",F$19))</f>
        <v>2</v>
      </c>
      <c r="G48" s="19">
        <f>COUNTIFS(SSC_Ontology_Ver0.5!$A$2209:$A$2492,SUBSTITUTE($A48,"{X}",G$19),SSC_Ontology_Ver0.5!$C$2209:$C$2492,$B48,SSC_Ontology_Ver0.5!$D$2209:$D$2492,SUBSTITUTE($C48,"{X}",G$19))</f>
        <v>1</v>
      </c>
      <c r="H48" s="19">
        <f>COUNTIFS(SSC_Ontology_Ver0.5!$A$2209:$A$2492,SUBSTITUTE($A48,"{X}",H$19),SSC_Ontology_Ver0.5!$C$2209:$C$2492,$B48,SSC_Ontology_Ver0.5!$D$2209:$D$2492,SUBSTITUTE($C48,"{X}",H$19))</f>
        <v>1</v>
      </c>
      <c r="I48" s="19">
        <f>COUNTIFS(SSC_Ontology_Ver0.5!$A$2209:$A$2492,SUBSTITUTE($A48,"{X}",I$19),SSC_Ontology_Ver0.5!$C$2209:$C$2492,$B48,SSC_Ontology_Ver0.5!$D$2209:$D$2492,SUBSTITUTE($C48,"{X}",I$19))</f>
        <v>1</v>
      </c>
      <c r="J48" s="19">
        <f>COUNTIFS(SSC_Ontology_Ver0.5!$A$2209:$A$2492,SUBSTITUTE($A48,"{X}",J$19),SSC_Ontology_Ver0.5!$C$2209:$C$2492,$B48,SSC_Ontology_Ver0.5!$D$2209:$D$2492,SUBSTITUTE($C48,"{X}",J$19))</f>
        <v>1</v>
      </c>
      <c r="K48" s="14" t="str">
        <f>IF(MIN(D48:J48)&gt;0,"On all 7","Missing on "&amp;COUNTIF(D48:J48,0)&amp;" of 7")</f>
        <v>On all 7</v>
      </c>
      <c r="L48" s="15" t="str">
        <f>IF(MAX(D48:J48)&gt;1,"Duplicated on "&amp;COUNTIF(D48:J48,"&gt;1")&amp;" unit(s)","-")</f>
        <v>Duplicated on 2 unit(s)</v>
      </c>
    </row>
    <row r="49" spans="1:12" x14ac:dyDescent="0.3">
      <c r="A49" s="13" t="s">
        <v>5069</v>
      </c>
      <c r="B49" s="14" t="s">
        <v>11</v>
      </c>
      <c r="C49" s="14" t="s">
        <v>12</v>
      </c>
      <c r="D49" s="19">
        <f>COUNTIFS(SSC_Ontology_Ver0.5!$A$2209:$A$2492,SUBSTITUTE($A49,"{X}",D$19),SSC_Ontology_Ver0.5!$C$2209:$C$2492,$B49,SSC_Ontology_Ver0.5!$D$2209:$D$2492,SUBSTITUTE($C49,"{X}",D$19))</f>
        <v>1</v>
      </c>
      <c r="E49" s="19">
        <f>COUNTIFS(SSC_Ontology_Ver0.5!$A$2209:$A$2492,SUBSTITUTE($A49,"{X}",E$19),SSC_Ontology_Ver0.5!$C$2209:$C$2492,$B49,SSC_Ontology_Ver0.5!$D$2209:$D$2492,SUBSTITUTE($C49,"{X}",E$19))</f>
        <v>2</v>
      </c>
      <c r="F49" s="19">
        <f>COUNTIFS(SSC_Ontology_Ver0.5!$A$2209:$A$2492,SUBSTITUTE($A49,"{X}",F$19),SSC_Ontology_Ver0.5!$C$2209:$C$2492,$B49,SSC_Ontology_Ver0.5!$D$2209:$D$2492,SUBSTITUTE($C49,"{X}",F$19))</f>
        <v>2</v>
      </c>
      <c r="G49" s="19">
        <f>COUNTIFS(SSC_Ontology_Ver0.5!$A$2209:$A$2492,SUBSTITUTE($A49,"{X}",G$19),SSC_Ontology_Ver0.5!$C$2209:$C$2492,$B49,SSC_Ontology_Ver0.5!$D$2209:$D$2492,SUBSTITUTE($C49,"{X}",G$19))</f>
        <v>1</v>
      </c>
      <c r="H49" s="19">
        <f>COUNTIFS(SSC_Ontology_Ver0.5!$A$2209:$A$2492,SUBSTITUTE($A49,"{X}",H$19),SSC_Ontology_Ver0.5!$C$2209:$C$2492,$B49,SSC_Ontology_Ver0.5!$D$2209:$D$2492,SUBSTITUTE($C49,"{X}",H$19))</f>
        <v>1</v>
      </c>
      <c r="I49" s="19">
        <f>COUNTIFS(SSC_Ontology_Ver0.5!$A$2209:$A$2492,SUBSTITUTE($A49,"{X}",I$19),SSC_Ontology_Ver0.5!$C$2209:$C$2492,$B49,SSC_Ontology_Ver0.5!$D$2209:$D$2492,SUBSTITUTE($C49,"{X}",I$19))</f>
        <v>1</v>
      </c>
      <c r="J49" s="19">
        <f>COUNTIFS(SSC_Ontology_Ver0.5!$A$2209:$A$2492,SUBSTITUTE($A49,"{X}",J$19),SSC_Ontology_Ver0.5!$C$2209:$C$2492,$B49,SSC_Ontology_Ver0.5!$D$2209:$D$2492,SUBSTITUTE($C49,"{X}",J$19))</f>
        <v>1</v>
      </c>
      <c r="K49" s="14" t="str">
        <f>IF(MIN(D49:J49)&gt;0,"On all 7","Missing on "&amp;COUNTIF(D49:J49,0)&amp;" of 7")</f>
        <v>On all 7</v>
      </c>
      <c r="L49" s="15" t="str">
        <f>IF(MAX(D49:J49)&gt;1,"Duplicated on "&amp;COUNTIF(D49:J49,"&gt;1")&amp;" unit(s)","-")</f>
        <v>Duplicated on 2 unit(s)</v>
      </c>
    </row>
    <row r="50" spans="1:12" x14ac:dyDescent="0.3">
      <c r="A50" s="13" t="s">
        <v>5067</v>
      </c>
      <c r="B50" s="14" t="s">
        <v>308</v>
      </c>
      <c r="C50" s="14" t="s">
        <v>5080</v>
      </c>
      <c r="D50" s="19">
        <f>COUNTIFS(SSC_Ontology_Ver0.5!$A$2209:$A$2492,SUBSTITUTE($A50,"{X}",D$19),SSC_Ontology_Ver0.5!$C$2209:$C$2492,$B50,SSC_Ontology_Ver0.5!$D$2209:$D$2492,SUBSTITUTE($C50,"{X}",D$19))</f>
        <v>0</v>
      </c>
      <c r="E50" s="19">
        <f>COUNTIFS(SSC_Ontology_Ver0.5!$A$2209:$A$2492,SUBSTITUTE($A50,"{X}",E$19),SSC_Ontology_Ver0.5!$C$2209:$C$2492,$B50,SSC_Ontology_Ver0.5!$D$2209:$D$2492,SUBSTITUTE($C50,"{X}",E$19))</f>
        <v>2</v>
      </c>
      <c r="F50" s="19">
        <f>COUNTIFS(SSC_Ontology_Ver0.5!$A$2209:$A$2492,SUBSTITUTE($A50,"{X}",F$19),SSC_Ontology_Ver0.5!$C$2209:$C$2492,$B50,SSC_Ontology_Ver0.5!$D$2209:$D$2492,SUBSTITUTE($C50,"{X}",F$19))</f>
        <v>2</v>
      </c>
      <c r="G50" s="19">
        <f>COUNTIFS(SSC_Ontology_Ver0.5!$A$2209:$A$2492,SUBSTITUTE($A50,"{X}",G$19),SSC_Ontology_Ver0.5!$C$2209:$C$2492,$B50,SSC_Ontology_Ver0.5!$D$2209:$D$2492,SUBSTITUTE($C50,"{X}",G$19))</f>
        <v>1</v>
      </c>
      <c r="H50" s="19">
        <f>COUNTIFS(SSC_Ontology_Ver0.5!$A$2209:$A$2492,SUBSTITUTE($A50,"{X}",H$19),SSC_Ontology_Ver0.5!$C$2209:$C$2492,$B50,SSC_Ontology_Ver0.5!$D$2209:$D$2492,SUBSTITUTE($C50,"{X}",H$19))</f>
        <v>1</v>
      </c>
      <c r="I50" s="19">
        <f>COUNTIFS(SSC_Ontology_Ver0.5!$A$2209:$A$2492,SUBSTITUTE($A50,"{X}",I$19),SSC_Ontology_Ver0.5!$C$2209:$C$2492,$B50,SSC_Ontology_Ver0.5!$D$2209:$D$2492,SUBSTITUTE($C50,"{X}",I$19))</f>
        <v>1</v>
      </c>
      <c r="J50" s="19">
        <f>COUNTIFS(SSC_Ontology_Ver0.5!$A$2209:$A$2492,SUBSTITUTE($A50,"{X}",J$19),SSC_Ontology_Ver0.5!$C$2209:$C$2492,$B50,SSC_Ontology_Ver0.5!$D$2209:$D$2492,SUBSTITUTE($C50,"{X}",J$19))</f>
        <v>1</v>
      </c>
      <c r="K50" s="14" t="str">
        <f>IF(MIN(D50:J50)&gt;0,"On all 7","Missing on "&amp;COUNTIF(D50:J50,0)&amp;" of 7")</f>
        <v>Missing on 1 of 7</v>
      </c>
      <c r="L50" s="15" t="str">
        <f>IF(MAX(D50:J50)&gt;1,"Duplicated on "&amp;COUNTIF(D50:J50,"&gt;1")&amp;" unit(s)","-")</f>
        <v>Duplicated on 2 unit(s)</v>
      </c>
    </row>
    <row r="51" spans="1:12" x14ac:dyDescent="0.3">
      <c r="A51" s="13" t="s">
        <v>5080</v>
      </c>
      <c r="B51" s="14" t="s">
        <v>11</v>
      </c>
      <c r="C51" s="14" t="s">
        <v>12</v>
      </c>
      <c r="D51" s="19">
        <f>COUNTIFS(SSC_Ontology_Ver0.5!$A$2209:$A$2492,SUBSTITUTE($A51,"{X}",D$19),SSC_Ontology_Ver0.5!$C$2209:$C$2492,$B51,SSC_Ontology_Ver0.5!$D$2209:$D$2492,SUBSTITUTE($C51,"{X}",D$19))</f>
        <v>0</v>
      </c>
      <c r="E51" s="19">
        <f>COUNTIFS(SSC_Ontology_Ver0.5!$A$2209:$A$2492,SUBSTITUTE($A51,"{X}",E$19),SSC_Ontology_Ver0.5!$C$2209:$C$2492,$B51,SSC_Ontology_Ver0.5!$D$2209:$D$2492,SUBSTITUTE($C51,"{X}",E$19))</f>
        <v>2</v>
      </c>
      <c r="F51" s="19">
        <f>COUNTIFS(SSC_Ontology_Ver0.5!$A$2209:$A$2492,SUBSTITUTE($A51,"{X}",F$19),SSC_Ontology_Ver0.5!$C$2209:$C$2492,$B51,SSC_Ontology_Ver0.5!$D$2209:$D$2492,SUBSTITUTE($C51,"{X}",F$19))</f>
        <v>2</v>
      </c>
      <c r="G51" s="19">
        <f>COUNTIFS(SSC_Ontology_Ver0.5!$A$2209:$A$2492,SUBSTITUTE($A51,"{X}",G$19),SSC_Ontology_Ver0.5!$C$2209:$C$2492,$B51,SSC_Ontology_Ver0.5!$D$2209:$D$2492,SUBSTITUTE($C51,"{X}",G$19))</f>
        <v>1</v>
      </c>
      <c r="H51" s="19">
        <f>COUNTIFS(SSC_Ontology_Ver0.5!$A$2209:$A$2492,SUBSTITUTE($A51,"{X}",H$19),SSC_Ontology_Ver0.5!$C$2209:$C$2492,$B51,SSC_Ontology_Ver0.5!$D$2209:$D$2492,SUBSTITUTE($C51,"{X}",H$19))</f>
        <v>1</v>
      </c>
      <c r="I51" s="19">
        <f>COUNTIFS(SSC_Ontology_Ver0.5!$A$2209:$A$2492,SUBSTITUTE($A51,"{X}",I$19),SSC_Ontology_Ver0.5!$C$2209:$C$2492,$B51,SSC_Ontology_Ver0.5!$D$2209:$D$2492,SUBSTITUTE($C51,"{X}",I$19))</f>
        <v>1</v>
      </c>
      <c r="J51" s="19">
        <f>COUNTIFS(SSC_Ontology_Ver0.5!$A$2209:$A$2492,SUBSTITUTE($A51,"{X}",J$19),SSC_Ontology_Ver0.5!$C$2209:$C$2492,$B51,SSC_Ontology_Ver0.5!$D$2209:$D$2492,SUBSTITUTE($C51,"{X}",J$19))</f>
        <v>1</v>
      </c>
      <c r="K51" s="14" t="str">
        <f>IF(MIN(D51:J51)&gt;0,"On all 7","Missing on "&amp;COUNTIF(D51:J51,0)&amp;" of 7")</f>
        <v>Missing on 1 of 7</v>
      </c>
      <c r="L51" s="15" t="str">
        <f>IF(MAX(D51:J51)&gt;1,"Duplicated on "&amp;COUNTIF(D51:J51,"&gt;1")&amp;" unit(s)","-")</f>
        <v>Duplicated on 2 unit(s)</v>
      </c>
    </row>
    <row r="52" spans="1:12" x14ac:dyDescent="0.3">
      <c r="A52" s="13" t="s">
        <v>5067</v>
      </c>
      <c r="B52" s="14" t="s">
        <v>308</v>
      </c>
      <c r="C52" s="14" t="s">
        <v>5081</v>
      </c>
      <c r="D52" s="19">
        <f>COUNTIFS(SSC_Ontology_Ver0.5!$A$2209:$A$2492,SUBSTITUTE($A52,"{X}",D$19),SSC_Ontology_Ver0.5!$C$2209:$C$2492,$B52,SSC_Ontology_Ver0.5!$D$2209:$D$2492,SUBSTITUTE($C52,"{X}",D$19))</f>
        <v>0</v>
      </c>
      <c r="E52" s="19">
        <f>COUNTIFS(SSC_Ontology_Ver0.5!$A$2209:$A$2492,SUBSTITUTE($A52,"{X}",E$19),SSC_Ontology_Ver0.5!$C$2209:$C$2492,$B52,SSC_Ontology_Ver0.5!$D$2209:$D$2492,SUBSTITUTE($C52,"{X}",E$19))</f>
        <v>0</v>
      </c>
      <c r="F52" s="19">
        <f>COUNTIFS(SSC_Ontology_Ver0.5!$A$2209:$A$2492,SUBSTITUTE($A52,"{X}",F$19),SSC_Ontology_Ver0.5!$C$2209:$C$2492,$B52,SSC_Ontology_Ver0.5!$D$2209:$D$2492,SUBSTITUTE($C52,"{X}",F$19))</f>
        <v>0</v>
      </c>
      <c r="G52" s="19">
        <f>COUNTIFS(SSC_Ontology_Ver0.5!$A$2209:$A$2492,SUBSTITUTE($A52,"{X}",G$19),SSC_Ontology_Ver0.5!$C$2209:$C$2492,$B52,SSC_Ontology_Ver0.5!$D$2209:$D$2492,SUBSTITUTE($C52,"{X}",G$19))</f>
        <v>1</v>
      </c>
      <c r="H52" s="19">
        <f>COUNTIFS(SSC_Ontology_Ver0.5!$A$2209:$A$2492,SUBSTITUTE($A52,"{X}",H$19),SSC_Ontology_Ver0.5!$C$2209:$C$2492,$B52,SSC_Ontology_Ver0.5!$D$2209:$D$2492,SUBSTITUTE($C52,"{X}",H$19))</f>
        <v>1</v>
      </c>
      <c r="I52" s="19">
        <f>COUNTIFS(SSC_Ontology_Ver0.5!$A$2209:$A$2492,SUBSTITUTE($A52,"{X}",I$19),SSC_Ontology_Ver0.5!$C$2209:$C$2492,$B52,SSC_Ontology_Ver0.5!$D$2209:$D$2492,SUBSTITUTE($C52,"{X}",I$19))</f>
        <v>1</v>
      </c>
      <c r="J52" s="19">
        <f>COUNTIFS(SSC_Ontology_Ver0.5!$A$2209:$A$2492,SUBSTITUTE($A52,"{X}",J$19),SSC_Ontology_Ver0.5!$C$2209:$C$2492,$B52,SSC_Ontology_Ver0.5!$D$2209:$D$2492,SUBSTITUTE($C52,"{X}",J$19))</f>
        <v>1</v>
      </c>
      <c r="K52" s="14" t="str">
        <f>IF(MIN(D52:J52)&gt;0,"On all 7","Missing on "&amp;COUNTIF(D52:J52,0)&amp;" of 7")</f>
        <v>Missing on 3 of 7</v>
      </c>
      <c r="L52" s="15" t="str">
        <f>IF(MAX(D52:J52)&gt;1,"Duplicated on "&amp;COUNTIF(D52:J52,"&gt;1")&amp;" unit(s)","-")</f>
        <v>-</v>
      </c>
    </row>
    <row r="53" spans="1:12" x14ac:dyDescent="0.3">
      <c r="A53" s="13" t="s">
        <v>5067</v>
      </c>
      <c r="B53" s="14" t="s">
        <v>308</v>
      </c>
      <c r="C53" s="14" t="s">
        <v>5082</v>
      </c>
      <c r="D53" s="19">
        <f>COUNTIFS(SSC_Ontology_Ver0.5!$A$2209:$A$2492,SUBSTITUTE($A53,"{X}",D$19),SSC_Ontology_Ver0.5!$C$2209:$C$2492,$B53,SSC_Ontology_Ver0.5!$D$2209:$D$2492,SUBSTITUTE($C53,"{X}",D$19))</f>
        <v>0</v>
      </c>
      <c r="E53" s="19">
        <f>COUNTIFS(SSC_Ontology_Ver0.5!$A$2209:$A$2492,SUBSTITUTE($A53,"{X}",E$19),SSC_Ontology_Ver0.5!$C$2209:$C$2492,$B53,SSC_Ontology_Ver0.5!$D$2209:$D$2492,SUBSTITUTE($C53,"{X}",E$19))</f>
        <v>0</v>
      </c>
      <c r="F53" s="19">
        <f>COUNTIFS(SSC_Ontology_Ver0.5!$A$2209:$A$2492,SUBSTITUTE($A53,"{X}",F$19),SSC_Ontology_Ver0.5!$C$2209:$C$2492,$B53,SSC_Ontology_Ver0.5!$D$2209:$D$2492,SUBSTITUTE($C53,"{X}",F$19))</f>
        <v>0</v>
      </c>
      <c r="G53" s="19">
        <f>COUNTIFS(SSC_Ontology_Ver0.5!$A$2209:$A$2492,SUBSTITUTE($A53,"{X}",G$19),SSC_Ontology_Ver0.5!$C$2209:$C$2492,$B53,SSC_Ontology_Ver0.5!$D$2209:$D$2492,SUBSTITUTE($C53,"{X}",G$19))</f>
        <v>1</v>
      </c>
      <c r="H53" s="19">
        <f>COUNTIFS(SSC_Ontology_Ver0.5!$A$2209:$A$2492,SUBSTITUTE($A53,"{X}",H$19),SSC_Ontology_Ver0.5!$C$2209:$C$2492,$B53,SSC_Ontology_Ver0.5!$D$2209:$D$2492,SUBSTITUTE($C53,"{X}",H$19))</f>
        <v>1</v>
      </c>
      <c r="I53" s="19">
        <f>COUNTIFS(SSC_Ontology_Ver0.5!$A$2209:$A$2492,SUBSTITUTE($A53,"{X}",I$19),SSC_Ontology_Ver0.5!$C$2209:$C$2492,$B53,SSC_Ontology_Ver0.5!$D$2209:$D$2492,SUBSTITUTE($C53,"{X}",I$19))</f>
        <v>1</v>
      </c>
      <c r="J53" s="19">
        <f>COUNTIFS(SSC_Ontology_Ver0.5!$A$2209:$A$2492,SUBSTITUTE($A53,"{X}",J$19),SSC_Ontology_Ver0.5!$C$2209:$C$2492,$B53,SSC_Ontology_Ver0.5!$D$2209:$D$2492,SUBSTITUTE($C53,"{X}",J$19))</f>
        <v>1</v>
      </c>
      <c r="K53" s="14" t="str">
        <f>IF(MIN(D53:J53)&gt;0,"On all 7","Missing on "&amp;COUNTIF(D53:J53,0)&amp;" of 7")</f>
        <v>Missing on 3 of 7</v>
      </c>
      <c r="L53" s="15" t="str">
        <f>IF(MAX(D53:J53)&gt;1,"Duplicated on "&amp;COUNTIF(D53:J53,"&gt;1")&amp;" unit(s)","-")</f>
        <v>-</v>
      </c>
    </row>
    <row r="54" spans="1:12" x14ac:dyDescent="0.3">
      <c r="A54" s="13" t="s">
        <v>5081</v>
      </c>
      <c r="B54" s="14" t="s">
        <v>11</v>
      </c>
      <c r="C54" s="14" t="s">
        <v>12</v>
      </c>
      <c r="D54" s="19">
        <f>COUNTIFS(SSC_Ontology_Ver0.5!$A$2209:$A$2492,SUBSTITUTE($A54,"{X}",D$19),SSC_Ontology_Ver0.5!$C$2209:$C$2492,$B54,SSC_Ontology_Ver0.5!$D$2209:$D$2492,SUBSTITUTE($C54,"{X}",D$19))</f>
        <v>0</v>
      </c>
      <c r="E54" s="19">
        <f>COUNTIFS(SSC_Ontology_Ver0.5!$A$2209:$A$2492,SUBSTITUTE($A54,"{X}",E$19),SSC_Ontology_Ver0.5!$C$2209:$C$2492,$B54,SSC_Ontology_Ver0.5!$D$2209:$D$2492,SUBSTITUTE($C54,"{X}",E$19))</f>
        <v>0</v>
      </c>
      <c r="F54" s="19">
        <f>COUNTIFS(SSC_Ontology_Ver0.5!$A$2209:$A$2492,SUBSTITUTE($A54,"{X}",F$19),SSC_Ontology_Ver0.5!$C$2209:$C$2492,$B54,SSC_Ontology_Ver0.5!$D$2209:$D$2492,SUBSTITUTE($C54,"{X}",F$19))</f>
        <v>0</v>
      </c>
      <c r="G54" s="19">
        <f>COUNTIFS(SSC_Ontology_Ver0.5!$A$2209:$A$2492,SUBSTITUTE($A54,"{X}",G$19),SSC_Ontology_Ver0.5!$C$2209:$C$2492,$B54,SSC_Ontology_Ver0.5!$D$2209:$D$2492,SUBSTITUTE($C54,"{X}",G$19))</f>
        <v>1</v>
      </c>
      <c r="H54" s="19">
        <f>COUNTIFS(SSC_Ontology_Ver0.5!$A$2209:$A$2492,SUBSTITUTE($A54,"{X}",H$19),SSC_Ontology_Ver0.5!$C$2209:$C$2492,$B54,SSC_Ontology_Ver0.5!$D$2209:$D$2492,SUBSTITUTE($C54,"{X}",H$19))</f>
        <v>1</v>
      </c>
      <c r="I54" s="19">
        <f>COUNTIFS(SSC_Ontology_Ver0.5!$A$2209:$A$2492,SUBSTITUTE($A54,"{X}",I$19),SSC_Ontology_Ver0.5!$C$2209:$C$2492,$B54,SSC_Ontology_Ver0.5!$D$2209:$D$2492,SUBSTITUTE($C54,"{X}",I$19))</f>
        <v>1</v>
      </c>
      <c r="J54" s="19">
        <f>COUNTIFS(SSC_Ontology_Ver0.5!$A$2209:$A$2492,SUBSTITUTE($A54,"{X}",J$19),SSC_Ontology_Ver0.5!$C$2209:$C$2492,$B54,SSC_Ontology_Ver0.5!$D$2209:$D$2492,SUBSTITUTE($C54,"{X}",J$19))</f>
        <v>1</v>
      </c>
      <c r="K54" s="14" t="str">
        <f>IF(MIN(D54:J54)&gt;0,"On all 7","Missing on "&amp;COUNTIF(D54:J54,0)&amp;" of 7")</f>
        <v>Missing on 3 of 7</v>
      </c>
      <c r="L54" s="15" t="str">
        <f>IF(MAX(D54:J54)&gt;1,"Duplicated on "&amp;COUNTIF(D54:J54,"&gt;1")&amp;" unit(s)","-")</f>
        <v>-</v>
      </c>
    </row>
    <row r="55" spans="1:12" x14ac:dyDescent="0.3">
      <c r="A55" s="16" t="s">
        <v>5082</v>
      </c>
      <c r="B55" s="17" t="s">
        <v>11</v>
      </c>
      <c r="C55" s="17" t="s">
        <v>12</v>
      </c>
      <c r="D55" s="20">
        <f>COUNTIFS(SSC_Ontology_Ver0.5!$A$2209:$A$2492,SUBSTITUTE($A55,"{X}",D$19),SSC_Ontology_Ver0.5!$C$2209:$C$2492,$B55,SSC_Ontology_Ver0.5!$D$2209:$D$2492,SUBSTITUTE($C55,"{X}",D$19))</f>
        <v>0</v>
      </c>
      <c r="E55" s="20">
        <f>COUNTIFS(SSC_Ontology_Ver0.5!$A$2209:$A$2492,SUBSTITUTE($A55,"{X}",E$19),SSC_Ontology_Ver0.5!$C$2209:$C$2492,$B55,SSC_Ontology_Ver0.5!$D$2209:$D$2492,SUBSTITUTE($C55,"{X}",E$19))</f>
        <v>0</v>
      </c>
      <c r="F55" s="20">
        <f>COUNTIFS(SSC_Ontology_Ver0.5!$A$2209:$A$2492,SUBSTITUTE($A55,"{X}",F$19),SSC_Ontology_Ver0.5!$C$2209:$C$2492,$B55,SSC_Ontology_Ver0.5!$D$2209:$D$2492,SUBSTITUTE($C55,"{X}",F$19))</f>
        <v>0</v>
      </c>
      <c r="G55" s="20">
        <f>COUNTIFS(SSC_Ontology_Ver0.5!$A$2209:$A$2492,SUBSTITUTE($A55,"{X}",G$19),SSC_Ontology_Ver0.5!$C$2209:$C$2492,$B55,SSC_Ontology_Ver0.5!$D$2209:$D$2492,SUBSTITUTE($C55,"{X}",G$19))</f>
        <v>1</v>
      </c>
      <c r="H55" s="20">
        <f>COUNTIFS(SSC_Ontology_Ver0.5!$A$2209:$A$2492,SUBSTITUTE($A55,"{X}",H$19),SSC_Ontology_Ver0.5!$C$2209:$C$2492,$B55,SSC_Ontology_Ver0.5!$D$2209:$D$2492,SUBSTITUTE($C55,"{X}",H$19))</f>
        <v>1</v>
      </c>
      <c r="I55" s="20">
        <f>COUNTIFS(SSC_Ontology_Ver0.5!$A$2209:$A$2492,SUBSTITUTE($A55,"{X}",I$19),SSC_Ontology_Ver0.5!$C$2209:$C$2492,$B55,SSC_Ontology_Ver0.5!$D$2209:$D$2492,SUBSTITUTE($C55,"{X}",I$19))</f>
        <v>1</v>
      </c>
      <c r="J55" s="20">
        <f>COUNTIFS(SSC_Ontology_Ver0.5!$A$2209:$A$2492,SUBSTITUTE($A55,"{X}",J$19),SSC_Ontology_Ver0.5!$C$2209:$C$2492,$B55,SSC_Ontology_Ver0.5!$D$2209:$D$2492,SUBSTITUTE($C55,"{X}",J$19))</f>
        <v>1</v>
      </c>
      <c r="K55" s="17" t="str">
        <f>IF(MIN(D55:J55)&gt;0,"On all 7","Missing on "&amp;COUNTIF(D55:J55,0)&amp;" of 7")</f>
        <v>Missing on 3 of 7</v>
      </c>
      <c r="L55" s="18" t="str">
        <f>IF(MAX(D55:J55)&gt;1,"Duplicated on "&amp;COUNTIF(D55:J55,"&gt;1")&amp;" unit(s)","-")</f>
        <v>-</v>
      </c>
    </row>
    <row r="57" spans="1:12" x14ac:dyDescent="0.3">
      <c r="A57" s="24" t="s">
        <v>5084</v>
      </c>
    </row>
    <row r="58" spans="1:12" x14ac:dyDescent="0.3">
      <c r="A58" s="10" t="s">
        <v>5085</v>
      </c>
      <c r="B58" s="11" t="s">
        <v>5086</v>
      </c>
      <c r="C58" s="11" t="s">
        <v>4988</v>
      </c>
      <c r="D58" s="11" t="s">
        <v>4989</v>
      </c>
      <c r="E58" s="12" t="s">
        <v>4990</v>
      </c>
    </row>
    <row r="59" spans="1:12" x14ac:dyDescent="0.3">
      <c r="A59" s="13" t="s">
        <v>5049</v>
      </c>
      <c r="B59" s="19">
        <f>COUNTIFS(SSC_Ontology_Ver0.5!$A$2209:$A$2492,"entity:SSC_"&amp;$A59,SSC_Ontology_Ver0.5!$C$2209:$C$2492,"rec:locatedIn")</f>
        <v>1</v>
      </c>
      <c r="C59" s="14" t="str" cm="1">
        <f t="array" ref="C59">_xlfn.TEXTJOIN(" ; ",TRUE,IF((SSC_Ontology_Ver0.5!$A$2209:$A$2492="entity:SSC_"&amp;$A59)*(SSC_Ontology_Ver0.5!$C$2209:$C$2492="rec:locatedIn"),SSC_Ontology_Ver0.5!$D$2209:$D$2492,""))</f>
        <v>entity:Level7_Office0367</v>
      </c>
      <c r="D59" s="14" t="str" cm="1">
        <f t="array" ref="D59">_xlfn.TEXTJOIN(" ; ",TRUE,IF((SSC_Ontology_Ver0.5!$A$2209:$A$2492="entity:SSC_"&amp;$A59)*(SSC_Ontology_Ver0.5!$C$2209:$C$2492="rec:feeds"),SSC_Ontology_Ver0.5!$D$2209:$D$2492,""))</f>
        <v>entity:Level7_Office0367</v>
      </c>
      <c r="E59" s="25" t="str">
        <f>IF($C59=$D59,"same","different")</f>
        <v>same</v>
      </c>
    </row>
    <row r="60" spans="1:12" x14ac:dyDescent="0.3">
      <c r="A60" s="13" t="s">
        <v>5050</v>
      </c>
      <c r="B60" s="19">
        <f>COUNTIFS(SSC_Ontology_Ver0.5!$A$2209:$A$2492,"entity:SSC_"&amp;$A60,SSC_Ontology_Ver0.5!$C$2209:$C$2492,"rec:locatedIn")</f>
        <v>2</v>
      </c>
      <c r="C60" s="14" t="str" cm="1">
        <f t="array" ref="C60">_xlfn.TEXTJOIN(" ; ",TRUE,IF((SSC_Ontology_Ver0.5!$A$2209:$A$2492="entity:SSC_"&amp;$A60)*(SSC_Ontology_Ver0.5!$C$2209:$C$2492="rec:locatedIn"),SSC_Ontology_Ver0.5!$D$2209:$D$2492,""))</f>
        <v>entity:Level7_Office0367 ; entity:Level7_Office0367</v>
      </c>
      <c r="D60" s="14" t="str" cm="1">
        <f t="array" ref="D60">_xlfn.TEXTJOIN(" ; ",TRUE,IF((SSC_Ontology_Ver0.5!$A$2209:$A$2492="entity:SSC_"&amp;$A60)*(SSC_Ontology_Ver0.5!$C$2209:$C$2492="rec:feeds"),SSC_Ontology_Ver0.5!$D$2209:$D$2492,""))</f>
        <v>entity:Level7_Office0367 ; entity:Level7_Office0367</v>
      </c>
      <c r="E60" s="25" t="str">
        <f>IF($C60=$D60,"same","different")</f>
        <v>same</v>
      </c>
    </row>
    <row r="61" spans="1:12" x14ac:dyDescent="0.3">
      <c r="A61" s="13" t="s">
        <v>5051</v>
      </c>
      <c r="B61" s="19">
        <f>COUNTIFS(SSC_Ontology_Ver0.5!$A$2209:$A$2492,"entity:SSC_"&amp;$A61,SSC_Ontology_Ver0.5!$C$2209:$C$2492,"rec:locatedIn")</f>
        <v>2</v>
      </c>
      <c r="C61" s="14" t="str" cm="1">
        <f t="array" ref="C61">_xlfn.TEXTJOIN(" ; ",TRUE,IF((SSC_Ontology_Ver0.5!$A$2209:$A$2492="entity:SSC_"&amp;$A61)*(SSC_Ontology_Ver0.5!$C$2209:$C$2492="rec:locatedIn"),SSC_Ontology_Ver0.5!$D$2209:$D$2492,""))</f>
        <v>entity:Level7_Office0367 ; entity:Level7_Office0367</v>
      </c>
      <c r="D61" s="14" t="str" cm="1">
        <f t="array" ref="D61">_xlfn.TEXTJOIN(" ; ",TRUE,IF((SSC_Ontology_Ver0.5!$A$2209:$A$2492="entity:SSC_"&amp;$A61)*(SSC_Ontology_Ver0.5!$C$2209:$C$2492="rec:feeds"),SSC_Ontology_Ver0.5!$D$2209:$D$2492,""))</f>
        <v>entity:Level7_Office0367 ; entity:Level7_Office0367</v>
      </c>
      <c r="E61" s="25" t="str">
        <f>IF($C61=$D61,"same","different")</f>
        <v>same</v>
      </c>
    </row>
    <row r="62" spans="1:12" x14ac:dyDescent="0.3">
      <c r="A62" s="13" t="s">
        <v>5052</v>
      </c>
      <c r="B62" s="19">
        <f>COUNTIFS(SSC_Ontology_Ver0.5!$A$2209:$A$2492,"entity:SSC_"&amp;$A62,SSC_Ontology_Ver0.5!$C$2209:$C$2492,"rec:locatedIn")</f>
        <v>1</v>
      </c>
      <c r="C62" s="14" t="str" cm="1">
        <f t="array" ref="C62">_xlfn.TEXTJOIN(" ; ",TRUE,IF((SSC_Ontology_Ver0.5!$A$2209:$A$2492="entity:SSC_"&amp;$A62)*(SSC_Ontology_Ver0.5!$C$2209:$C$2492="rec:locatedIn"),SSC_Ontology_Ver0.5!$D$2209:$D$2492,""))</f>
        <v>entity:Level7_Office0367</v>
      </c>
      <c r="D62" s="14" t="str" cm="1">
        <f t="array" ref="D62">_xlfn.TEXTJOIN(" ; ",TRUE,IF((SSC_Ontology_Ver0.5!$A$2209:$A$2492="entity:SSC_"&amp;$A62)*(SSC_Ontology_Ver0.5!$C$2209:$C$2492="rec:feeds"),SSC_Ontology_Ver0.5!$D$2209:$D$2492,""))</f>
        <v>entity:Level7_Office0367</v>
      </c>
      <c r="E62" s="25" t="str">
        <f>IF($C62=$D62,"same","different")</f>
        <v>same</v>
      </c>
    </row>
    <row r="63" spans="1:12" x14ac:dyDescent="0.3">
      <c r="A63" s="13" t="s">
        <v>5053</v>
      </c>
      <c r="B63" s="19">
        <f>COUNTIFS(SSC_Ontology_Ver0.5!$A$2209:$A$2492,"entity:SSC_"&amp;$A63,SSC_Ontology_Ver0.5!$C$2209:$C$2492,"rec:locatedIn")</f>
        <v>1</v>
      </c>
      <c r="C63" s="14" t="str" cm="1">
        <f t="array" ref="C63">_xlfn.TEXTJOIN(" ; ",TRUE,IF((SSC_Ontology_Ver0.5!$A$2209:$A$2492="entity:SSC_"&amp;$A63)*(SSC_Ontology_Ver0.5!$C$2209:$C$2492="rec:locatedIn"),SSC_Ontology_Ver0.5!$D$2209:$D$2492,""))</f>
        <v>entity:Level7_Office0367</v>
      </c>
      <c r="D63" s="14" t="str" cm="1">
        <f t="array" ref="D63">_xlfn.TEXTJOIN(" ; ",TRUE,IF((SSC_Ontology_Ver0.5!$A$2209:$A$2492="entity:SSC_"&amp;$A63)*(SSC_Ontology_Ver0.5!$C$2209:$C$2492="rec:feeds"),SSC_Ontology_Ver0.5!$D$2209:$D$2492,""))</f>
        <v>entity:Level7_Office0367</v>
      </c>
      <c r="E63" s="25" t="str">
        <f>IF($C63=$D63,"same","different")</f>
        <v>same</v>
      </c>
    </row>
    <row r="64" spans="1:12" x14ac:dyDescent="0.3">
      <c r="A64" s="13" t="s">
        <v>5054</v>
      </c>
      <c r="B64" s="19">
        <f>COUNTIFS(SSC_Ontology_Ver0.5!$A$2209:$A$2492,"entity:SSC_"&amp;$A64,SSC_Ontology_Ver0.5!$C$2209:$C$2492,"rec:locatedIn")</f>
        <v>1</v>
      </c>
      <c r="C64" s="14" t="str" cm="1">
        <f t="array" ref="C64">_xlfn.TEXTJOIN(" ; ",TRUE,IF((SSC_Ontology_Ver0.5!$A$2209:$A$2492="entity:SSC_"&amp;$A64)*(SSC_Ontology_Ver0.5!$C$2209:$C$2492="rec:locatedIn"),SSC_Ontology_Ver0.5!$D$2209:$D$2492,""))</f>
        <v>entity:Level7_Office0367</v>
      </c>
      <c r="D64" s="14" t="str" cm="1">
        <f t="array" ref="D64">_xlfn.TEXTJOIN(" ; ",TRUE,IF((SSC_Ontology_Ver0.5!$A$2209:$A$2492="entity:SSC_"&amp;$A64)*(SSC_Ontology_Ver0.5!$C$2209:$C$2492="rec:feeds"),SSC_Ontology_Ver0.5!$D$2209:$D$2492,""))</f>
        <v>entity:Level7_Office0367</v>
      </c>
      <c r="E64" s="25" t="str">
        <f>IF($C64=$D64,"same","different")</f>
        <v>same</v>
      </c>
    </row>
    <row r="65" spans="1:5" x14ac:dyDescent="0.3">
      <c r="A65" s="16" t="s">
        <v>5055</v>
      </c>
      <c r="B65" s="20">
        <f>COUNTIFS(SSC_Ontology_Ver0.5!$A$2209:$A$2492,"entity:SSC_"&amp;$A65,SSC_Ontology_Ver0.5!$C$2209:$C$2492,"rec:locatedIn")</f>
        <v>1</v>
      </c>
      <c r="C65" s="17" t="str" cm="1">
        <f t="array" ref="C65">_xlfn.TEXTJOIN(" ; ",TRUE,IF((SSC_Ontology_Ver0.5!$A$2209:$A$2492="entity:SSC_"&amp;$A65)*(SSC_Ontology_Ver0.5!$C$2209:$C$2492="rec:locatedIn"),SSC_Ontology_Ver0.5!$D$2209:$D$2492,""))</f>
        <v>entity:Level7_Office0367</v>
      </c>
      <c r="D65" s="17" t="str" cm="1">
        <f t="array" ref="D65">_xlfn.TEXTJOIN(" ; ",TRUE,IF((SSC_Ontology_Ver0.5!$A$2209:$A$2492="entity:SSC_"&amp;$A65)*(SSC_Ontology_Ver0.5!$C$2209:$C$2492="rec:feeds"),SSC_Ontology_Ver0.5!$D$2209:$D$2492,""))</f>
        <v>entity:Level7_Office0367</v>
      </c>
      <c r="E65" s="26" t="str">
        <f>IF($C65=$D65,"same","different")</f>
        <v>same</v>
      </c>
    </row>
    <row r="67" spans="1:5" x14ac:dyDescent="0.3">
      <c r="A67" s="8" t="s">
        <v>5087</v>
      </c>
    </row>
  </sheetData>
  <conditionalFormatting sqref="A20:L55 A57">
    <cfRule type="expression" dxfId="4" priority="1">
      <formula>$K20&lt;&gt;"On all 7"</formula>
    </cfRule>
  </conditionalFormatting>
  <conditionalFormatting sqref="L20:L55">
    <cfRule type="expression" dxfId="3" priority="2">
      <formula>$L20&lt;&gt;"-"</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C2F99-3EB8-438D-92A8-C736C35A7EC6}">
  <dimension ref="A1:E41"/>
  <sheetViews>
    <sheetView workbookViewId="0">
      <selection activeCell="B10" sqref="B10"/>
    </sheetView>
  </sheetViews>
  <sheetFormatPr defaultRowHeight="14.4" x14ac:dyDescent="0.3"/>
  <cols>
    <col min="1" max="1" width="70.33203125" customWidth="1"/>
    <col min="2" max="2" width="48.109375" customWidth="1"/>
    <col min="3" max="5" width="27.77734375" customWidth="1"/>
  </cols>
  <sheetData>
    <row r="1" spans="1:5" ht="18" x14ac:dyDescent="0.35">
      <c r="A1" s="7" t="s">
        <v>5092</v>
      </c>
    </row>
    <row r="2" spans="1:5" x14ac:dyDescent="0.3">
      <c r="A2" s="8" t="s">
        <v>5093</v>
      </c>
    </row>
    <row r="4" spans="1:5" x14ac:dyDescent="0.3">
      <c r="A4" s="6" t="s">
        <v>5094</v>
      </c>
    </row>
    <row r="5" spans="1:5" x14ac:dyDescent="0.3">
      <c r="A5" s="10" t="s">
        <v>4733</v>
      </c>
      <c r="B5" s="12" t="s">
        <v>5095</v>
      </c>
    </row>
    <row r="6" spans="1:5" x14ac:dyDescent="0.3">
      <c r="A6" s="13" t="s">
        <v>5096</v>
      </c>
      <c r="B6" s="25">
        <f>COUNTIF(SSC_Ontology_Ver0.5!$A:$A,"entity:SSC_MV_Generator")</f>
        <v>16</v>
      </c>
    </row>
    <row r="7" spans="1:5" x14ac:dyDescent="0.3">
      <c r="A7" s="13" t="s">
        <v>5097</v>
      </c>
      <c r="B7" s="25">
        <f>COUNTIF(SSC_Ontology_Ver0.5!$A:$A,"entity:SSC_MV_Generator_*")</f>
        <v>10</v>
      </c>
    </row>
    <row r="8" spans="1:5" x14ac:dyDescent="0.3">
      <c r="A8" s="13" t="s">
        <v>5098</v>
      </c>
      <c r="B8" s="25">
        <f>B6+B7</f>
        <v>26</v>
      </c>
    </row>
    <row r="9" spans="1:5" x14ac:dyDescent="0.3">
      <c r="A9" s="13" t="s">
        <v>5099</v>
      </c>
      <c r="B9" s="25">
        <f>COUNTIF(SSC_Ontology_Ver0.5!$A$2347:$A$2371,"entity:SSC_MV_Generator")+COUNTIF(SSC_Ontology_Ver0.5!$A$2347:$A$2371,"entity:SSC_MV_Generator_*")</f>
        <v>25</v>
      </c>
    </row>
    <row r="10" spans="1:5" x14ac:dyDescent="0.3">
      <c r="A10" s="16" t="s">
        <v>5100</v>
      </c>
      <c r="B10" s="26">
        <f>B8-B9</f>
        <v>1</v>
      </c>
    </row>
    <row r="12" spans="1:5" x14ac:dyDescent="0.3">
      <c r="A12" s="6" t="s">
        <v>5101</v>
      </c>
    </row>
    <row r="13" spans="1:5" x14ac:dyDescent="0.3">
      <c r="A13" s="10" t="s">
        <v>5102</v>
      </c>
      <c r="B13" s="11" t="s">
        <v>5103</v>
      </c>
      <c r="C13" s="11" t="s">
        <v>5104</v>
      </c>
      <c r="D13" s="11" t="s">
        <v>5105</v>
      </c>
      <c r="E13" s="12" t="s">
        <v>4760</v>
      </c>
    </row>
    <row r="14" spans="1:5" x14ac:dyDescent="0.3">
      <c r="A14" s="13" t="s">
        <v>2583</v>
      </c>
      <c r="B14" s="14" t="str">
        <f>IFERROR(INDEX(SSC_Ontology_Ver0.5!$B:$B,MATCH($A14,SSC_Ontology_Ver0.5!$A:$A,0)),"— not defined —")</f>
        <v>brick:Battery_Voltage_Sensor</v>
      </c>
      <c r="C14" s="19">
        <f>COUNTIFS(SSC_Ontology_Ver0.5!$A:$A,"entity:SSC_MV_Generator",SSC_Ontology_Ver0.5!$C:$C,"brick:hasPoint",SSC_Ontology_Ver0.5!$D:$D,$A14)</f>
        <v>1</v>
      </c>
      <c r="D14" s="19">
        <f>COUNTIFS(SSC_Ontology_Ver0.5!$A:$A,$A14,SSC_Ontology_Ver0.5!$C:$C,"ref:hasExternalReference")</f>
        <v>1</v>
      </c>
      <c r="E14" s="25" t="str">
        <f>IF(AND($C14=1,$D14=1),"OK",IF($C14=0,"Not declared",IF($D14=0,"No external reference","Duplicated")))</f>
        <v>OK</v>
      </c>
    </row>
    <row r="15" spans="1:5" x14ac:dyDescent="0.3">
      <c r="A15" s="13" t="s">
        <v>2586</v>
      </c>
      <c r="B15" s="14" t="str">
        <f>IFERROR(INDEX(SSC_Ontology_Ver0.5!$B:$B,MATCH($A15,SSC_Ontology_Ver0.5!$A:$A,0)),"— not defined —")</f>
        <v>brick:Current_Sensor</v>
      </c>
      <c r="C15" s="19">
        <f>COUNTIFS(SSC_Ontology_Ver0.5!$A:$A,"entity:SSC_MV_Generator",SSC_Ontology_Ver0.5!$C:$C,"brick:hasPoint",SSC_Ontology_Ver0.5!$D:$D,$A15)</f>
        <v>1</v>
      </c>
      <c r="D15" s="19">
        <f>COUNTIFS(SSC_Ontology_Ver0.5!$A:$A,$A15,SSC_Ontology_Ver0.5!$C:$C,"ref:hasExternalReference")</f>
        <v>1</v>
      </c>
      <c r="E15" s="25" t="str">
        <f>IF(AND($C15=1,$D15=1),"OK",IF($C15=0,"Not declared",IF($D15=0,"No external reference","Duplicated")))</f>
        <v>OK</v>
      </c>
    </row>
    <row r="16" spans="1:5" x14ac:dyDescent="0.3">
      <c r="A16" s="13" t="s">
        <v>2590</v>
      </c>
      <c r="B16" s="14" t="str">
        <f>IFERROR(INDEX(SSC_Ontology_Ver0.5!$B:$B,MATCH($A16,SSC_Ontology_Ver0.5!$A:$A,0)),"— not defined —")</f>
        <v>brick:Pressure_Sensor</v>
      </c>
      <c r="C16" s="19">
        <f>COUNTIFS(SSC_Ontology_Ver0.5!$A:$A,"entity:SSC_MV_Generator",SSC_Ontology_Ver0.5!$C:$C,"brick:hasPoint",SSC_Ontology_Ver0.5!$D:$D,$A16)</f>
        <v>1</v>
      </c>
      <c r="D16" s="19">
        <f>COUNTIFS(SSC_Ontology_Ver0.5!$A:$A,$A16,SSC_Ontology_Ver0.5!$C:$C,"ref:hasExternalReference")</f>
        <v>1</v>
      </c>
      <c r="E16" s="25" t="str">
        <f>IF(AND($C16=1,$D16=1),"OK",IF($C16=0,"Not declared",IF($D16=0,"No external reference","Duplicated")))</f>
        <v>OK</v>
      </c>
    </row>
    <row r="17" spans="1:5" x14ac:dyDescent="0.3">
      <c r="A17" s="13" t="s">
        <v>2593</v>
      </c>
      <c r="B17" s="14" t="str">
        <f>IFERROR(INDEX(SSC_Ontology_Ver0.5!$B:$B,MATCH($A17,SSC_Ontology_Ver0.5!$A:$A,0)),"— not defined —")</f>
        <v>brick:Frequency_Sensor</v>
      </c>
      <c r="C17" s="19">
        <f>COUNTIFS(SSC_Ontology_Ver0.5!$A:$A,"entity:SSC_MV_Generator",SSC_Ontology_Ver0.5!$C:$C,"brick:hasPoint",SSC_Ontology_Ver0.5!$D:$D,$A17)</f>
        <v>1</v>
      </c>
      <c r="D17" s="19">
        <f>COUNTIFS(SSC_Ontology_Ver0.5!$A:$A,$A17,SSC_Ontology_Ver0.5!$C:$C,"ref:hasExternalReference")</f>
        <v>1</v>
      </c>
      <c r="E17" s="25" t="str">
        <f>IF(AND($C17=1,$D17=1),"OK",IF($C17=0,"Not declared",IF($D17=0,"No external reference","Duplicated")))</f>
        <v>OK</v>
      </c>
    </row>
    <row r="18" spans="1:5" x14ac:dyDescent="0.3">
      <c r="A18" s="13" t="s">
        <v>2596</v>
      </c>
      <c r="B18" s="14" t="str">
        <f>IFERROR(INDEX(SSC_Ontology_Ver0.5!$B:$B,MATCH($A18,SSC_Ontology_Ver0.5!$A:$A,0)),"— not defined —")</f>
        <v>brick:Apparent_Power_Sensor</v>
      </c>
      <c r="C18" s="19">
        <f>COUNTIFS(SSC_Ontology_Ver0.5!$A:$A,"entity:SSC_MV_Generator",SSC_Ontology_Ver0.5!$C:$C,"brick:hasPoint",SSC_Ontology_Ver0.5!$D:$D,$A18)</f>
        <v>1</v>
      </c>
      <c r="D18" s="19">
        <f>COUNTIFS(SSC_Ontology_Ver0.5!$A:$A,$A18,SSC_Ontology_Ver0.5!$C:$C,"ref:hasExternalReference")</f>
        <v>1</v>
      </c>
      <c r="E18" s="25" t="str">
        <f>IF(AND($C18=1,$D18=1),"OK",IF($C18=0,"Not declared",IF($D18=0,"No external reference","Duplicated")))</f>
        <v>OK</v>
      </c>
    </row>
    <row r="19" spans="1:5" x14ac:dyDescent="0.3">
      <c r="A19" s="13" t="s">
        <v>2600</v>
      </c>
      <c r="B19" s="14" t="str">
        <f>IFERROR(INDEX(SSC_Ontology_Ver0.5!$B:$B,MATCH($A19,SSC_Ontology_Ver0.5!$A:$A,0)),"— not defined —")</f>
        <v>brick:Active_Power_Sensor</v>
      </c>
      <c r="C19" s="19">
        <f>COUNTIFS(SSC_Ontology_Ver0.5!$A:$A,"entity:SSC_MV_Generator",SSC_Ontology_Ver0.5!$C:$C,"brick:hasPoint",SSC_Ontology_Ver0.5!$D:$D,$A19)</f>
        <v>1</v>
      </c>
      <c r="D19" s="19">
        <f>COUNTIFS(SSC_Ontology_Ver0.5!$A:$A,$A19,SSC_Ontology_Ver0.5!$C:$C,"ref:hasExternalReference")</f>
        <v>1</v>
      </c>
      <c r="E19" s="25" t="str">
        <f>IF(AND($C19=1,$D19=1),"OK",IF($C19=0,"Not declared",IF($D19=0,"No external reference","Duplicated")))</f>
        <v>OK</v>
      </c>
    </row>
    <row r="20" spans="1:5" x14ac:dyDescent="0.3">
      <c r="A20" s="13" t="s">
        <v>2603</v>
      </c>
      <c r="B20" s="14" t="str">
        <f>IFERROR(INDEX(SSC_Ontology_Ver0.5!$B:$B,MATCH($A20,SSC_Ontology_Ver0.5!$A:$A,0)),"— not defined —")</f>
        <v>brick:Energy_Sensor</v>
      </c>
      <c r="C20" s="19">
        <f>COUNTIFS(SSC_Ontology_Ver0.5!$A:$A,"entity:SSC_MV_Generator",SSC_Ontology_Ver0.5!$C:$C,"brick:hasPoint",SSC_Ontology_Ver0.5!$D:$D,$A20)</f>
        <v>1</v>
      </c>
      <c r="D20" s="19">
        <f>COUNTIFS(SSC_Ontology_Ver0.5!$A:$A,$A20,SSC_Ontology_Ver0.5!$C:$C,"ref:hasExternalReference")</f>
        <v>1</v>
      </c>
      <c r="E20" s="25" t="str">
        <f>IF(AND($C20=1,$D20=1),"OK",IF($C20=0,"Not declared",IF($D20=0,"No external reference","Duplicated")))</f>
        <v>OK</v>
      </c>
    </row>
    <row r="21" spans="1:5" x14ac:dyDescent="0.3">
      <c r="A21" s="13" t="s">
        <v>2606</v>
      </c>
      <c r="B21" s="14" t="str">
        <f>IFERROR(INDEX(SSC_Ontology_Ver0.5!$B:$B,MATCH($A21,SSC_Ontology_Ver0.5!$A:$A,0)),"— not defined —")</f>
        <v>brick:Run_Status</v>
      </c>
      <c r="C21" s="19">
        <f>COUNTIFS(SSC_Ontology_Ver0.5!$A:$A,"entity:SSC_MV_Generator",SSC_Ontology_Ver0.5!$C:$C,"brick:hasPoint",SSC_Ontology_Ver0.5!$D:$D,$A21)</f>
        <v>1</v>
      </c>
      <c r="D21" s="19">
        <f>COUNTIFS(SSC_Ontology_Ver0.5!$A:$A,$A21,SSC_Ontology_Ver0.5!$C:$C,"ref:hasExternalReference")</f>
        <v>1</v>
      </c>
      <c r="E21" s="25" t="str">
        <f>IF(AND($C21=1,$D21=1),"OK",IF($C21=0,"Not declared",IF($D21=0,"No external reference","Duplicated")))</f>
        <v>OK</v>
      </c>
    </row>
    <row r="22" spans="1:5" x14ac:dyDescent="0.3">
      <c r="A22" s="13" t="s">
        <v>2608</v>
      </c>
      <c r="B22" s="14" t="str">
        <f>IFERROR(INDEX(SSC_Ontology_Ver0.5!$B:$B,MATCH($A22,SSC_Ontology_Ver0.5!$A:$A,0)),"— not defined —")</f>
        <v>brick:Duration_Sensor</v>
      </c>
      <c r="C22" s="19">
        <f>COUNTIFS(SSC_Ontology_Ver0.5!$A:$A,"entity:SSC_MV_Generator",SSC_Ontology_Ver0.5!$C:$C,"brick:hasPoint",SSC_Ontology_Ver0.5!$D:$D,$A22)</f>
        <v>1</v>
      </c>
      <c r="D22" s="19">
        <f>COUNTIFS(SSC_Ontology_Ver0.5!$A:$A,$A22,SSC_Ontology_Ver0.5!$C:$C,"ref:hasExternalReference")</f>
        <v>1</v>
      </c>
      <c r="E22" s="25" t="str">
        <f>IF(AND($C22=1,$D22=1),"OK",IF($C22=0,"Not declared",IF($D22=0,"No external reference","Duplicated")))</f>
        <v>OK</v>
      </c>
    </row>
    <row r="23" spans="1:5" x14ac:dyDescent="0.3">
      <c r="A23" s="16" t="s">
        <v>2610</v>
      </c>
      <c r="B23" s="17" t="str">
        <f>IFERROR(INDEX(SSC_Ontology_Ver0.5!$B:$B,MATCH($A23,SSC_Ontology_Ver0.5!$A:$A,0)),"— not defined —")</f>
        <v>brick:Voltage_Sensor</v>
      </c>
      <c r="C23" s="20">
        <f>COUNTIFS(SSC_Ontology_Ver0.5!$A:$A,"entity:SSC_MV_Generator",SSC_Ontology_Ver0.5!$C:$C,"brick:hasPoint",SSC_Ontology_Ver0.5!$D:$D,$A23)</f>
        <v>1</v>
      </c>
      <c r="D23" s="20">
        <f>COUNTIFS(SSC_Ontology_Ver0.5!$A:$A,$A23,SSC_Ontology_Ver0.5!$C:$C,"ref:hasExternalReference")</f>
        <v>1</v>
      </c>
      <c r="E23" s="26" t="str">
        <f>IF(AND($C23=1,$D23=1),"OK",IF($C23=0,"Not declared",IF($D23=0,"No external reference","Duplicated")))</f>
        <v>OK</v>
      </c>
    </row>
    <row r="25" spans="1:5" x14ac:dyDescent="0.3">
      <c r="A25" s="6" t="s">
        <v>5106</v>
      </c>
    </row>
    <row r="26" spans="1:5" x14ac:dyDescent="0.3">
      <c r="A26" s="10" t="s">
        <v>4742</v>
      </c>
      <c r="B26" s="11" t="s">
        <v>5107</v>
      </c>
      <c r="C26" s="11" t="s">
        <v>5108</v>
      </c>
      <c r="D26" s="12" t="s">
        <v>5109</v>
      </c>
    </row>
    <row r="27" spans="1:5" x14ac:dyDescent="0.3">
      <c r="A27" s="13" t="s">
        <v>22</v>
      </c>
      <c r="B27" s="14" t="s">
        <v>27</v>
      </c>
      <c r="C27" s="19">
        <f>COUNTIFS(SSC_Ontology_Ver0.5!$A:$A,"entity:SSC_MV_Generator",SSC_Ontology_Ver0.5!$C:$C,$A27,SSC_Ontology_Ver0.5!$D:$D,$B27)</f>
        <v>1</v>
      </c>
      <c r="D27" s="25" cm="1">
        <f t="array" ref="D27">IFERROR(_xlfn.AGGREGATE(15,6,ROW(SSC_Ontology_Ver0.5!$A$1:$A$5120)/((SSC_Ontology_Ver0.5!$A$1:$A$5120="entity:SSC_MV_Generator")*(SSC_Ontology_Ver0.5!$C$1:$C$5120=$A27)*(SSC_Ontology_Ver0.5!$D$1:$D$5120=$B27)),1),"not found")</f>
        <v>2357</v>
      </c>
    </row>
    <row r="28" spans="1:5" x14ac:dyDescent="0.3">
      <c r="A28" s="13" t="s">
        <v>537</v>
      </c>
      <c r="B28" s="14" t="s">
        <v>12</v>
      </c>
      <c r="C28" s="19">
        <f>COUNTIFS(SSC_Ontology_Ver0.5!$A:$A,"entity:SSC_MV_Generator",SSC_Ontology_Ver0.5!$C:$C,$A28,SSC_Ontology_Ver0.5!$D:$D,$B28)</f>
        <v>1</v>
      </c>
      <c r="D28" s="25" cm="1">
        <f t="array" ref="D28">IFERROR(_xlfn.AGGREGATE(15,6,ROW(SSC_Ontology_Ver0.5!$A$1:$A$5120)/((SSC_Ontology_Ver0.5!$A$1:$A$5120="entity:SSC_MV_Generator")*(SSC_Ontology_Ver0.5!$C$1:$C$5120=$A28)*(SSC_Ontology_Ver0.5!$D$1:$D$5120=$B28)),1),"not found")</f>
        <v>2358</v>
      </c>
    </row>
    <row r="29" spans="1:5" x14ac:dyDescent="0.3">
      <c r="A29" s="13" t="s">
        <v>539</v>
      </c>
      <c r="B29" s="14" t="s">
        <v>12</v>
      </c>
      <c r="C29" s="19">
        <f>COUNTIFS(SSC_Ontology_Ver0.5!$A:$A,"entity:SSC_MV_Generator",SSC_Ontology_Ver0.5!$C:$C,$A29,SSC_Ontology_Ver0.5!$D:$D,$B29)</f>
        <v>1</v>
      </c>
      <c r="D29" s="25" cm="1">
        <f t="array" ref="D29">IFERROR(_xlfn.AGGREGATE(15,6,ROW(SSC_Ontology_Ver0.5!$A$1:$A$5120)/((SSC_Ontology_Ver0.5!$A$1:$A$5120="entity:SSC_MV_Generator")*(SSC_Ontology_Ver0.5!$C$1:$C$5120=$A29)*(SSC_Ontology_Ver0.5!$D$1:$D$5120=$B29)),1),"not found")</f>
        <v>2359</v>
      </c>
    </row>
    <row r="30" spans="1:5" x14ac:dyDescent="0.3">
      <c r="A30" s="13" t="s">
        <v>540</v>
      </c>
      <c r="B30" s="14" t="s">
        <v>12</v>
      </c>
      <c r="C30" s="19">
        <f>COUNTIFS(SSC_Ontology_Ver0.5!$A:$A,"entity:SSC_MV_Generator",SSC_Ontology_Ver0.5!$C:$C,$A30,SSC_Ontology_Ver0.5!$D:$D,$B30)</f>
        <v>1</v>
      </c>
      <c r="D30" s="25" cm="1">
        <f t="array" ref="D30">IFERROR(_xlfn.AGGREGATE(15,6,ROW(SSC_Ontology_Ver0.5!$A$1:$A$5120)/((SSC_Ontology_Ver0.5!$A$1:$A$5120="entity:SSC_MV_Generator")*(SSC_Ontology_Ver0.5!$C$1:$C$5120=$A30)*(SSC_Ontology_Ver0.5!$D$1:$D$5120=$B30)),1),"not found")</f>
        <v>2360</v>
      </c>
    </row>
    <row r="31" spans="1:5" x14ac:dyDescent="0.3">
      <c r="A31" s="13" t="s">
        <v>11</v>
      </c>
      <c r="B31" s="14" t="s">
        <v>12</v>
      </c>
      <c r="C31" s="19">
        <f>COUNTIFS(SSC_Ontology_Ver0.5!$A:$A,"entity:SSC_MV_Generator",SSC_Ontology_Ver0.5!$C:$C,$A31,SSC_Ontology_Ver0.5!$D:$D,$B31)</f>
        <v>1</v>
      </c>
      <c r="D31" s="25" cm="1">
        <f t="array" ref="D31">IFERROR(_xlfn.AGGREGATE(15,6,ROW(SSC_Ontology_Ver0.5!$A$1:$A$5120)/((SSC_Ontology_Ver0.5!$A$1:$A$5120="entity:SSC_MV_Generator")*(SSC_Ontology_Ver0.5!$C$1:$C$5120=$A31)*(SSC_Ontology_Ver0.5!$D$1:$D$5120=$B31)),1),"not found")</f>
        <v>2361</v>
      </c>
    </row>
    <row r="32" spans="1:5" x14ac:dyDescent="0.3">
      <c r="A32" s="16" t="s">
        <v>16</v>
      </c>
      <c r="B32" s="17" t="s">
        <v>1071</v>
      </c>
      <c r="C32" s="20">
        <f>COUNTIFS(SSC_Ontology_Ver0.5!$A:$A,"entity:SSC_MV_Generator",SSC_Ontology_Ver0.5!$C:$C,$A32,SSC_Ontology_Ver0.5!$D:$D,$B32)</f>
        <v>1</v>
      </c>
      <c r="D32" s="26" cm="1">
        <f t="array" ref="D32">IFERROR(_xlfn.AGGREGATE(15,6,ROW(SSC_Ontology_Ver0.5!$A$1:$A$5120)/((SSC_Ontology_Ver0.5!$A$1:$A$5120="entity:SSC_MV_Generator")*(SSC_Ontology_Ver0.5!$C$1:$C$5120=$A32)*(SSC_Ontology_Ver0.5!$D$1:$D$5120=$B32)),1),"not found")</f>
        <v>5013</v>
      </c>
    </row>
    <row r="34" spans="1:1" x14ac:dyDescent="0.3">
      <c r="A34" s="6" t="s">
        <v>5110</v>
      </c>
    </row>
    <row r="35" spans="1:1" x14ac:dyDescent="0.3">
      <c r="A35" t="s">
        <v>5111</v>
      </c>
    </row>
    <row r="36" spans="1:1" x14ac:dyDescent="0.3">
      <c r="A36" t="s">
        <v>5112</v>
      </c>
    </row>
    <row r="37" spans="1:1" x14ac:dyDescent="0.3">
      <c r="A37" t="s">
        <v>5113</v>
      </c>
    </row>
    <row r="38" spans="1:1" x14ac:dyDescent="0.3">
      <c r="A38" t="s">
        <v>5114</v>
      </c>
    </row>
    <row r="39" spans="1:1" x14ac:dyDescent="0.3">
      <c r="A39" t="s">
        <v>5115</v>
      </c>
    </row>
    <row r="40" spans="1:1" x14ac:dyDescent="0.3">
      <c r="A40" t="s">
        <v>5116</v>
      </c>
    </row>
    <row r="41" spans="1:1" x14ac:dyDescent="0.3">
      <c r="A41" t="s">
        <v>5117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E7D1C-4B68-496D-8FB8-B728FDF198AC}">
  <dimension ref="A1:E197"/>
  <sheetViews>
    <sheetView tabSelected="1" workbookViewId="0">
      <pane ySplit="2" topLeftCell="A153" activePane="bottomLeft" state="frozen"/>
      <selection pane="bottomLeft" activeCell="E35" sqref="E35"/>
    </sheetView>
  </sheetViews>
  <sheetFormatPr defaultRowHeight="14.4" x14ac:dyDescent="0.3"/>
  <cols>
    <col min="1" max="1" width="48.109375" customWidth="1"/>
    <col min="2" max="2" width="35.21875" customWidth="1"/>
    <col min="3" max="3" width="53.6640625" customWidth="1"/>
    <col min="4" max="5" width="24.109375" customWidth="1"/>
  </cols>
  <sheetData>
    <row r="1" spans="1:2" ht="18" x14ac:dyDescent="0.35">
      <c r="A1" s="7" t="s">
        <v>5122</v>
      </c>
    </row>
    <row r="2" spans="1:2" x14ac:dyDescent="0.3">
      <c r="A2" s="8" t="s">
        <v>5123</v>
      </c>
    </row>
    <row r="4" spans="1:2" x14ac:dyDescent="0.3">
      <c r="A4" s="6" t="s">
        <v>5124</v>
      </c>
    </row>
    <row r="5" spans="1:2" x14ac:dyDescent="0.3">
      <c r="A5" s="10" t="s">
        <v>4733</v>
      </c>
      <c r="B5" s="12" t="s">
        <v>5125</v>
      </c>
    </row>
    <row r="6" spans="1:2" x14ac:dyDescent="0.3">
      <c r="A6" s="13" t="s">
        <v>5126</v>
      </c>
      <c r="B6" s="25">
        <v>108</v>
      </c>
    </row>
    <row r="7" spans="1:2" x14ac:dyDescent="0.3">
      <c r="A7" s="13" t="s">
        <v>5127</v>
      </c>
      <c r="B7" s="25">
        <f>COUNTIF(SSC_Ontology_Ver0.5!$A$2493:$A$4976,"entity:SSC_VAV*")+COUNTIF(SSC_Ontology_Ver0.5!$A$5014:$A$5120,"entity:SSC_VAV*")</f>
        <v>2591</v>
      </c>
    </row>
    <row r="8" spans="1:2" x14ac:dyDescent="0.3">
      <c r="A8" s="13" t="s">
        <v>5128</v>
      </c>
      <c r="B8" s="25">
        <f>COUNTIF($B$90:$B$197,24)</f>
        <v>107</v>
      </c>
    </row>
    <row r="9" spans="1:2" x14ac:dyDescent="0.3">
      <c r="A9" s="13" t="s">
        <v>5288</v>
      </c>
      <c r="B9" s="25">
        <f>COUNTIF($C$90:$C$197,"Expected*")</f>
        <v>0</v>
      </c>
    </row>
    <row r="10" spans="1:2" x14ac:dyDescent="0.3">
      <c r="A10" s="16" t="s">
        <v>5319</v>
      </c>
      <c r="B10" s="26">
        <f>COUNTIF($D$50:$D$85,130)</f>
        <v>36</v>
      </c>
    </row>
    <row r="11" spans="1:2" x14ac:dyDescent="0.3">
      <c r="A11" s="6" t="s">
        <v>4845</v>
      </c>
    </row>
    <row r="12" spans="1:2" x14ac:dyDescent="0.3">
      <c r="A12" t="s">
        <v>5284</v>
      </c>
    </row>
    <row r="13" spans="1:2" x14ac:dyDescent="0.3">
      <c r="A13" t="s">
        <v>5285</v>
      </c>
    </row>
    <row r="14" spans="1:2" x14ac:dyDescent="0.3">
      <c r="A14" t="s">
        <v>5321</v>
      </c>
    </row>
    <row r="15" spans="1:2" x14ac:dyDescent="0.3">
      <c r="A15" t="s">
        <v>5322</v>
      </c>
    </row>
    <row r="16" spans="1:2" x14ac:dyDescent="0.3">
      <c r="A16" t="s">
        <v>5286</v>
      </c>
    </row>
    <row r="17" spans="1:5" x14ac:dyDescent="0.3">
      <c r="A17" t="s">
        <v>5323</v>
      </c>
    </row>
    <row r="19" spans="1:5" x14ac:dyDescent="0.3">
      <c r="A19" s="6" t="s">
        <v>5129</v>
      </c>
    </row>
    <row r="20" spans="1:5" x14ac:dyDescent="0.3">
      <c r="A20" s="10" t="s">
        <v>5130</v>
      </c>
      <c r="B20" s="11" t="s">
        <v>4742</v>
      </c>
      <c r="C20" s="11" t="s">
        <v>5131</v>
      </c>
      <c r="D20" s="11" t="s">
        <v>5132</v>
      </c>
      <c r="E20" s="12" t="s">
        <v>4760</v>
      </c>
    </row>
    <row r="21" spans="1:5" x14ac:dyDescent="0.3">
      <c r="A21" s="13" t="s">
        <v>5133</v>
      </c>
      <c r="B21" s="14" t="s">
        <v>280</v>
      </c>
      <c r="C21" s="14" t="s">
        <v>5134</v>
      </c>
      <c r="D21" s="19">
        <f>COUNTIFS(SSC_Ontology_Ver0.5!$C$2493:$C$4976,$B21,SSC_Ontology_Ver0.5!$D$2493:$D$4976,$C21)+COUNTIFS(SSC_Ontology_Ver0.5!$C$5014:$C$5120,$B21,SSC_Ontology_Ver0.5!$D$5014:$D$5120,$C21)</f>
        <v>106</v>
      </c>
      <c r="E21" s="25" t="str">
        <f>IF($D21=108,"OK","MISSING "&amp;108-$D21&amp;" of 108")</f>
        <v>MISSING 2 of 108</v>
      </c>
    </row>
    <row r="22" spans="1:5" x14ac:dyDescent="0.3">
      <c r="A22" s="13" t="s">
        <v>5135</v>
      </c>
      <c r="B22" s="14" t="s">
        <v>308</v>
      </c>
      <c r="C22" s="14" t="s">
        <v>5136</v>
      </c>
      <c r="D22" s="19">
        <f>COUNTIFS(SSC_Ontology_Ver0.5!$C$2493:$C$4976,$B22,SSC_Ontology_Ver0.5!$D$2493:$D$4976,$C22)+COUNTIFS(SSC_Ontology_Ver0.5!$C$5014:$C$5120,$B22,SSC_Ontology_Ver0.5!$D$5014:$D$5120,$C22)</f>
        <v>106</v>
      </c>
      <c r="E22" s="25" t="str">
        <f>IF($D22=108,"OK","MISSING "&amp;108-$D22&amp;" of 108")</f>
        <v>MISSING 2 of 108</v>
      </c>
    </row>
    <row r="23" spans="1:5" x14ac:dyDescent="0.3">
      <c r="A23" s="13" t="s">
        <v>5137</v>
      </c>
      <c r="B23" s="14" t="s">
        <v>308</v>
      </c>
      <c r="C23" s="14" t="s">
        <v>5138</v>
      </c>
      <c r="D23" s="19">
        <f>COUNTIFS(SSC_Ontology_Ver0.5!$C$2493:$C$4976,$B23,SSC_Ontology_Ver0.5!$D$2493:$D$4976,$C23)+COUNTIFS(SSC_Ontology_Ver0.5!$C$5014:$C$5120,$B23,SSC_Ontology_Ver0.5!$D$5014:$D$5120,$C23)</f>
        <v>106</v>
      </c>
      <c r="E23" s="25" t="str">
        <f>IF($D23=108,"OK","MISSING "&amp;108-$D23&amp;" of 108")</f>
        <v>MISSING 2 of 108</v>
      </c>
    </row>
    <row r="24" spans="1:5" x14ac:dyDescent="0.3">
      <c r="A24" s="13" t="s">
        <v>5139</v>
      </c>
      <c r="B24" s="14" t="s">
        <v>308</v>
      </c>
      <c r="C24" s="14" t="s">
        <v>5140</v>
      </c>
      <c r="D24" s="19">
        <f>COUNTIFS(SSC_Ontology_Ver0.5!$C$2493:$C$4976,$B24,SSC_Ontology_Ver0.5!$D$2493:$D$4976,$C24)+COUNTIFS(SSC_Ontology_Ver0.5!$C$5014:$C$5120,$B24,SSC_Ontology_Ver0.5!$D$5014:$D$5120,$C24)</f>
        <v>106</v>
      </c>
      <c r="E24" s="25" t="str">
        <f>IF($D24=108,"OK","MISSING "&amp;108-$D24&amp;" of 108")</f>
        <v>MISSING 2 of 108</v>
      </c>
    </row>
    <row r="25" spans="1:5" x14ac:dyDescent="0.3">
      <c r="A25" s="13" t="s">
        <v>5141</v>
      </c>
      <c r="B25" s="14" t="s">
        <v>308</v>
      </c>
      <c r="C25" s="14" t="s">
        <v>5142</v>
      </c>
      <c r="D25" s="19">
        <f>COUNTIFS(SSC_Ontology_Ver0.5!$C$2493:$C$4976,$B25,SSC_Ontology_Ver0.5!$D$2493:$D$4976,$C25)+COUNTIFS(SSC_Ontology_Ver0.5!$C$5014:$C$5120,$B25,SSC_Ontology_Ver0.5!$D$5014:$D$5120,$C25)</f>
        <v>106</v>
      </c>
      <c r="E25" s="25" t="str">
        <f>IF($D25=108,"OK","MISSING "&amp;108-$D25&amp;" of 108")</f>
        <v>MISSING 2 of 108</v>
      </c>
    </row>
    <row r="26" spans="1:5" x14ac:dyDescent="0.3">
      <c r="A26" s="13" t="s">
        <v>5143</v>
      </c>
      <c r="B26" s="14" t="s">
        <v>308</v>
      </c>
      <c r="C26" s="14" t="s">
        <v>5144</v>
      </c>
      <c r="D26" s="19">
        <f>COUNTIFS(SSC_Ontology_Ver0.5!$C$2493:$C$4976,$B26,SSC_Ontology_Ver0.5!$D$2493:$D$4976,$C26)+COUNTIFS(SSC_Ontology_Ver0.5!$C$5014:$C$5120,$B26,SSC_Ontology_Ver0.5!$D$5014:$D$5120,$C26)</f>
        <v>106</v>
      </c>
      <c r="E26" s="25" t="str">
        <f>IF($D26=108,"OK","MISSING "&amp;108-$D26&amp;" of 108")</f>
        <v>MISSING 2 of 108</v>
      </c>
    </row>
    <row r="27" spans="1:5" x14ac:dyDescent="0.3">
      <c r="A27" s="13" t="s">
        <v>5145</v>
      </c>
      <c r="B27" s="14" t="s">
        <v>308</v>
      </c>
      <c r="C27" s="14" t="s">
        <v>5146</v>
      </c>
      <c r="D27" s="19">
        <f>COUNTIFS(SSC_Ontology_Ver0.5!$C$2493:$C$4976,$B27,SSC_Ontology_Ver0.5!$D$2493:$D$4976,$C27)+COUNTIFS(SSC_Ontology_Ver0.5!$C$5014:$C$5120,$B27,SSC_Ontology_Ver0.5!$D$5014:$D$5120,$C27)</f>
        <v>106</v>
      </c>
      <c r="E27" s="25" t="str">
        <f>IF($D27=108,"OK","MISSING "&amp;108-$D27&amp;" of 108")</f>
        <v>MISSING 2 of 108</v>
      </c>
    </row>
    <row r="28" spans="1:5" x14ac:dyDescent="0.3">
      <c r="A28" s="13" t="s">
        <v>5147</v>
      </c>
      <c r="B28" s="14" t="s">
        <v>308</v>
      </c>
      <c r="C28" s="14" t="s">
        <v>5148</v>
      </c>
      <c r="D28" s="19">
        <f>COUNTIFS(SSC_Ontology_Ver0.5!$C$2493:$C$4976,$B28,SSC_Ontology_Ver0.5!$D$2493:$D$4976,$C28)+COUNTIFS(SSC_Ontology_Ver0.5!$C$5014:$C$5120,$B28,SSC_Ontology_Ver0.5!$D$5014:$D$5120,$C28)</f>
        <v>106</v>
      </c>
      <c r="E28" s="25" t="str">
        <f>IF($D28=108,"OK","MISSING "&amp;108-$D28&amp;" of 108")</f>
        <v>MISSING 2 of 108</v>
      </c>
    </row>
    <row r="29" spans="1:5" x14ac:dyDescent="0.3">
      <c r="A29" s="13" t="s">
        <v>5149</v>
      </c>
      <c r="B29" s="14" t="s">
        <v>308</v>
      </c>
      <c r="C29" s="14" t="s">
        <v>5150</v>
      </c>
      <c r="D29" s="19">
        <f>COUNTIFS(SSC_Ontology_Ver0.5!$C$2493:$C$4976,$B29,SSC_Ontology_Ver0.5!$D$2493:$D$4976,$C29)+COUNTIFS(SSC_Ontology_Ver0.5!$C$5014:$C$5120,$B29,SSC_Ontology_Ver0.5!$D$5014:$D$5120,$C29)</f>
        <v>106</v>
      </c>
      <c r="E29" s="25" t="str">
        <f>IF($D29=108,"OK","MISSING "&amp;108-$D29&amp;" of 108")</f>
        <v>MISSING 2 of 108</v>
      </c>
    </row>
    <row r="30" spans="1:5" x14ac:dyDescent="0.3">
      <c r="A30" s="13" t="s">
        <v>5151</v>
      </c>
      <c r="B30" s="14" t="s">
        <v>22</v>
      </c>
      <c r="C30" s="14" t="s">
        <v>5152</v>
      </c>
      <c r="D30" s="19">
        <f>COUNTIFS(SSC_Ontology_Ver0.5!$A$2493:$A$4976,"entity:SSC_VAV0*",SSC_Ontology_Ver0.5!$C$2493:$C$4976,$B30)+COUNTIFS(SSC_Ontology_Ver0.5!$A$5014:$A$5120,"entity:SSC_VAV0*",SSC_Ontology_Ver0.5!$C$5014:$C$5120,$B30)</f>
        <v>108</v>
      </c>
      <c r="E30" s="25" t="str">
        <f>IF($D30=108,"OK","MISSING "&amp;108-$D30&amp;" of 108")</f>
        <v>OK</v>
      </c>
    </row>
    <row r="31" spans="1:5" x14ac:dyDescent="0.3">
      <c r="A31" s="13" t="s">
        <v>5153</v>
      </c>
      <c r="B31" s="14" t="s">
        <v>2748</v>
      </c>
      <c r="C31" s="14" t="s">
        <v>5152</v>
      </c>
      <c r="D31" s="19">
        <f>COUNTIFS(SSC_Ontology_Ver0.5!$A$2493:$A$4976,"entity:SSC_VAV0*",SSC_Ontology_Ver0.5!$C$2493:$C$4976,$B31)+COUNTIFS(SSC_Ontology_Ver0.5!$A$5014:$A$5120,"entity:SSC_VAV0*",SSC_Ontology_Ver0.5!$C$5014:$C$5120,$B31)</f>
        <v>108</v>
      </c>
      <c r="E31" s="25" t="str">
        <f>IF($D31=108,"OK","MISSING "&amp;108-$D31&amp;" of 108")</f>
        <v>OK</v>
      </c>
    </row>
    <row r="32" spans="1:5" x14ac:dyDescent="0.3">
      <c r="A32" s="13" t="s">
        <v>5154</v>
      </c>
      <c r="B32" s="14" t="s">
        <v>378</v>
      </c>
      <c r="C32" s="14" t="s">
        <v>5152</v>
      </c>
      <c r="D32" s="19">
        <f>COUNTIFS(SSC_Ontology_Ver0.5!$A$2493:$A$4976,"entity:SSC_VAV0*",SSC_Ontology_Ver0.5!$C$2493:$C$4976,$B32)+COUNTIFS(SSC_Ontology_Ver0.5!$A$5014:$A$5120,"entity:SSC_VAV0*",SSC_Ontology_Ver0.5!$C$5014:$C$5120,$B32)</f>
        <v>108</v>
      </c>
      <c r="E32" s="25" t="str">
        <f>IF($D32=108,"OK","MISSING "&amp;108-$D32&amp;" of 108")</f>
        <v>OK</v>
      </c>
    </row>
    <row r="33" spans="1:5" x14ac:dyDescent="0.3">
      <c r="A33" s="13" t="s">
        <v>5155</v>
      </c>
      <c r="B33" s="14" t="s">
        <v>380</v>
      </c>
      <c r="C33" s="14" t="s">
        <v>5152</v>
      </c>
      <c r="D33" s="19">
        <f>COUNTIFS(SSC_Ontology_Ver0.5!$A$2493:$A$4976,"entity:SSC_VAV0*",SSC_Ontology_Ver0.5!$C$2493:$C$4976,$B33)+COUNTIFS(SSC_Ontology_Ver0.5!$A$5014:$A$5120,"entity:SSC_VAV0*",SSC_Ontology_Ver0.5!$C$5014:$C$5120,$B33)</f>
        <v>108</v>
      </c>
      <c r="E33" s="25" t="str">
        <f>IF($D33=108,"OK","MISSING "&amp;108-$D33&amp;" of 108")</f>
        <v>OK</v>
      </c>
    </row>
    <row r="34" spans="1:5" x14ac:dyDescent="0.3">
      <c r="A34" s="13" t="s">
        <v>5156</v>
      </c>
      <c r="B34" s="14" t="s">
        <v>16</v>
      </c>
      <c r="C34" s="14" t="s">
        <v>5152</v>
      </c>
      <c r="D34" s="19">
        <f>COUNTIFS(SSC_Ontology_Ver0.5!$A$2493:$A$4976,"entity:SSC_VAV0*",SSC_Ontology_Ver0.5!$C$2493:$C$4976,$B34)+COUNTIFS(SSC_Ontology_Ver0.5!$A$5014:$A$5120,"entity:SSC_VAV0*",SSC_Ontology_Ver0.5!$C$5014:$C$5120,$B34)</f>
        <v>108</v>
      </c>
      <c r="E34" s="25" t="str">
        <f>IF($D34=108,"OK","MISSING "&amp;108-$D34&amp;" of 108")</f>
        <v>OK</v>
      </c>
    </row>
    <row r="35" spans="1:5" x14ac:dyDescent="0.3">
      <c r="A35" s="13" t="s">
        <v>5157</v>
      </c>
      <c r="B35" s="14" t="s">
        <v>1692</v>
      </c>
      <c r="C35" s="14" t="s">
        <v>5152</v>
      </c>
      <c r="D35" s="19">
        <f>COUNTIFS(SSC_Ontology_Ver0.5!$A$2493:$A$4976,"entity:SSC_VAV0*",SSC_Ontology_Ver0.5!$C$2493:$C$4976,$B35)+COUNTIFS(SSC_Ontology_Ver0.5!$A$5014:$A$5120,"entity:SSC_VAV0*",SSC_Ontology_Ver0.5!$C$5014:$C$5120,$B35)</f>
        <v>107</v>
      </c>
      <c r="E35" s="25" t="str">
        <f>IF($D35&gt;=107,"OK (107 + VAV0063 excluded)","MISSING "&amp;107-$D35&amp;" of 107")</f>
        <v>OK (107 + VAV0063 excluded)</v>
      </c>
    </row>
    <row r="36" spans="1:5" x14ac:dyDescent="0.3">
      <c r="A36" s="13" t="s">
        <v>5158</v>
      </c>
      <c r="B36" s="14" t="s">
        <v>11</v>
      </c>
      <c r="C36" s="14" t="s">
        <v>5167</v>
      </c>
      <c r="D36" s="19">
        <f>COUNTIFS(SSC_Ontology_Ver0.5!$A$2493:$A$4976,$C36,SSC_Ontology_Ver0.5!$C$2493:$C$4976,$B36)+COUNTIFS(SSC_Ontology_Ver0.5!$A$5014:$A$5120,$C36,SSC_Ontology_Ver0.5!$C$5014:$C$5120,$B36)</f>
        <v>108</v>
      </c>
      <c r="E36" s="25" t="str">
        <f>IF($D36=108,"OK","MISSING "&amp;108-$D36&amp;" of 108")</f>
        <v>OK</v>
      </c>
    </row>
    <row r="37" spans="1:5" x14ac:dyDescent="0.3">
      <c r="A37" s="13" t="s">
        <v>5159</v>
      </c>
      <c r="B37" s="14" t="s">
        <v>11</v>
      </c>
      <c r="C37" s="14" t="s">
        <v>5136</v>
      </c>
      <c r="D37" s="19">
        <f>COUNTIFS(SSC_Ontology_Ver0.5!$A$2493:$A$4976,$C37,SSC_Ontology_Ver0.5!$C$2493:$C$4976,$B37)+COUNTIFS(SSC_Ontology_Ver0.5!$A$5014:$A$5120,$C37,SSC_Ontology_Ver0.5!$C$5014:$C$5120,$B37)</f>
        <v>108</v>
      </c>
      <c r="E37" s="25" t="str">
        <f>IF($D37=108,"OK","MISSING "&amp;108-$D37&amp;" of 108")</f>
        <v>OK</v>
      </c>
    </row>
    <row r="38" spans="1:5" x14ac:dyDescent="0.3">
      <c r="A38" s="13" t="s">
        <v>5160</v>
      </c>
      <c r="B38" s="14" t="s">
        <v>11</v>
      </c>
      <c r="C38" s="14" t="s">
        <v>5138</v>
      </c>
      <c r="D38" s="19">
        <f>COUNTIFS(SSC_Ontology_Ver0.5!$A$2493:$A$4976,$C38,SSC_Ontology_Ver0.5!$C$2493:$C$4976,$B38)+COUNTIFS(SSC_Ontology_Ver0.5!$A$5014:$A$5120,$C38,SSC_Ontology_Ver0.5!$C$5014:$C$5120,$B38)</f>
        <v>108</v>
      </c>
      <c r="E38" s="25" t="str">
        <f>IF($D38=108,"OK","MISSING "&amp;108-$D38&amp;" of 108")</f>
        <v>OK</v>
      </c>
    </row>
    <row r="39" spans="1:5" x14ac:dyDescent="0.3">
      <c r="A39" s="13" t="s">
        <v>5161</v>
      </c>
      <c r="B39" s="14" t="s">
        <v>11</v>
      </c>
      <c r="C39" s="14" t="s">
        <v>5140</v>
      </c>
      <c r="D39" s="19">
        <f>COUNTIFS(SSC_Ontology_Ver0.5!$A$2493:$A$4976,$C39,SSC_Ontology_Ver0.5!$C$2493:$C$4976,$B39)+COUNTIFS(SSC_Ontology_Ver0.5!$A$5014:$A$5120,$C39,SSC_Ontology_Ver0.5!$C$5014:$C$5120,$B39)</f>
        <v>108</v>
      </c>
      <c r="E39" s="25" t="str">
        <f>IF($D39=108,"OK","MISSING "&amp;108-$D39&amp;" of 108")</f>
        <v>OK</v>
      </c>
    </row>
    <row r="40" spans="1:5" x14ac:dyDescent="0.3">
      <c r="A40" s="13" t="s">
        <v>5162</v>
      </c>
      <c r="B40" s="14" t="s">
        <v>11</v>
      </c>
      <c r="C40" s="14" t="s">
        <v>5142</v>
      </c>
      <c r="D40" s="19">
        <f>COUNTIFS(SSC_Ontology_Ver0.5!$A$2493:$A$4976,$C40,SSC_Ontology_Ver0.5!$C$2493:$C$4976,$B40)+COUNTIFS(SSC_Ontology_Ver0.5!$A$5014:$A$5120,$C40,SSC_Ontology_Ver0.5!$C$5014:$C$5120,$B40)</f>
        <v>108</v>
      </c>
      <c r="E40" s="25" t="str">
        <f>IF($D40=108,"OK","MISSING "&amp;108-$D40&amp;" of 108")</f>
        <v>OK</v>
      </c>
    </row>
    <row r="41" spans="1:5" x14ac:dyDescent="0.3">
      <c r="A41" s="13" t="s">
        <v>5163</v>
      </c>
      <c r="B41" s="14" t="s">
        <v>11</v>
      </c>
      <c r="C41" s="14" t="s">
        <v>5144</v>
      </c>
      <c r="D41" s="19">
        <f>COUNTIFS(SSC_Ontology_Ver0.5!$A$2493:$A$4976,$C41,SSC_Ontology_Ver0.5!$C$2493:$C$4976,$B41)+COUNTIFS(SSC_Ontology_Ver0.5!$A$5014:$A$5120,$C41,SSC_Ontology_Ver0.5!$C$5014:$C$5120,$B41)</f>
        <v>108</v>
      </c>
      <c r="E41" s="25" t="str">
        <f>IF($D41=108,"OK","MISSING "&amp;108-$D41&amp;" of 108")</f>
        <v>OK</v>
      </c>
    </row>
    <row r="42" spans="1:5" x14ac:dyDescent="0.3">
      <c r="A42" s="13" t="s">
        <v>5164</v>
      </c>
      <c r="B42" s="14" t="s">
        <v>11</v>
      </c>
      <c r="C42" s="14" t="s">
        <v>5146</v>
      </c>
      <c r="D42" s="19">
        <f>COUNTIFS(SSC_Ontology_Ver0.5!$A$2493:$A$4976,$C42,SSC_Ontology_Ver0.5!$C$2493:$C$4976,$B42)+COUNTIFS(SSC_Ontology_Ver0.5!$A$5014:$A$5120,$C42,SSC_Ontology_Ver0.5!$C$5014:$C$5120,$B42)</f>
        <v>108</v>
      </c>
      <c r="E42" s="25" t="str">
        <f>IF($D42=108,"OK","MISSING "&amp;108-$D42&amp;" of 108")</f>
        <v>OK</v>
      </c>
    </row>
    <row r="43" spans="1:5" x14ac:dyDescent="0.3">
      <c r="A43" s="13" t="s">
        <v>5165</v>
      </c>
      <c r="B43" s="14" t="s">
        <v>11</v>
      </c>
      <c r="C43" s="14" t="s">
        <v>5148</v>
      </c>
      <c r="D43" s="19">
        <f>COUNTIFS(SSC_Ontology_Ver0.5!$A$2493:$A$4976,$C43,SSC_Ontology_Ver0.5!$C$2493:$C$4976,$B43)+COUNTIFS(SSC_Ontology_Ver0.5!$A$5014:$A$5120,$C43,SSC_Ontology_Ver0.5!$C$5014:$C$5120,$B43)</f>
        <v>108</v>
      </c>
      <c r="E43" s="25" t="str">
        <f>IF($D43=108,"OK","MISSING "&amp;108-$D43&amp;" of 108")</f>
        <v>OK</v>
      </c>
    </row>
    <row r="44" spans="1:5" x14ac:dyDescent="0.3">
      <c r="A44" s="13" t="s">
        <v>5166</v>
      </c>
      <c r="B44" s="14" t="s">
        <v>11</v>
      </c>
      <c r="C44" s="14" t="s">
        <v>5150</v>
      </c>
      <c r="D44" s="19">
        <f>COUNTIFS(SSC_Ontology_Ver0.5!$A$2493:$A$4976,$C44,SSC_Ontology_Ver0.5!$C$2493:$C$4976,$B44)+COUNTIFS(SSC_Ontology_Ver0.5!$A$5014:$A$5120,$C44,SSC_Ontology_Ver0.5!$C$5014:$C$5120,$B44)</f>
        <v>108</v>
      </c>
      <c r="E44" s="25" t="str">
        <f>IF($D44=108,"OK","MISSING "&amp;108-$D44&amp;" of 108")</f>
        <v>OK</v>
      </c>
    </row>
    <row r="45" spans="1:5" x14ac:dyDescent="0.3">
      <c r="A45" s="43" t="s">
        <v>5317</v>
      </c>
      <c r="B45" s="44" t="s">
        <v>11</v>
      </c>
      <c r="C45" s="44" t="s">
        <v>5318</v>
      </c>
      <c r="D45" s="45">
        <f>COUNTIFS(SSC_Ontology_Ver0.5!$C$2493:$C$4976,$B45,SSC_Ontology_Ver0.5!$D$2493:$D$4976,130)+COUNTIFS(SSC_Ontology_Ver0.5!$C$5014:$C$5120,$B45,SSC_Ontology_Ver0.5!$D$5014:$D$5120,130)</f>
        <v>18</v>
      </c>
      <c r="E45" s="46" t="str">
        <f>IF($D45=0,"OK","CORRUPT — "&amp;$D45&amp;" rows")</f>
        <v>CORRUPT — 18 rows</v>
      </c>
    </row>
    <row r="47" spans="1:5" x14ac:dyDescent="0.3">
      <c r="A47" s="24" t="s">
        <v>5320</v>
      </c>
    </row>
    <row r="48" spans="1:5" x14ac:dyDescent="0.3">
      <c r="A48" s="27" t="s">
        <v>5109</v>
      </c>
      <c r="B48" s="28" t="s">
        <v>0</v>
      </c>
      <c r="C48" s="28" t="s">
        <v>4742</v>
      </c>
      <c r="D48" s="28" t="s">
        <v>5168</v>
      </c>
      <c r="E48" s="29" t="s">
        <v>5169</v>
      </c>
    </row>
    <row r="49" spans="1:5" x14ac:dyDescent="0.3">
      <c r="A49" s="39">
        <v>3931</v>
      </c>
      <c r="B49" s="40" t="s">
        <v>3865</v>
      </c>
      <c r="C49" s="40" t="s">
        <v>16</v>
      </c>
      <c r="D49" s="41" t="str">
        <f>IFERROR(SSC_Ontology_Ver0.5!D3931,"#N/A in source")</f>
        <v>#N/A in source</v>
      </c>
      <c r="E49" s="42" t="s">
        <v>5287</v>
      </c>
    </row>
    <row r="50" spans="1:5" x14ac:dyDescent="0.3">
      <c r="A50" s="31">
        <v>4806</v>
      </c>
      <c r="B50" s="32" t="s">
        <v>4549</v>
      </c>
      <c r="C50" s="32" t="s">
        <v>11</v>
      </c>
      <c r="D50" s="33">
        <f>IFERROR(SSC_Ontology_Ver0.5!D4806,"#N/A in source")</f>
        <v>130</v>
      </c>
      <c r="E50" s="34" t="s">
        <v>5297</v>
      </c>
    </row>
    <row r="51" spans="1:5" x14ac:dyDescent="0.3">
      <c r="A51" s="31">
        <v>4807</v>
      </c>
      <c r="B51" s="32" t="s">
        <v>4552</v>
      </c>
      <c r="C51" s="32" t="s">
        <v>11</v>
      </c>
      <c r="D51" s="33">
        <f>IFERROR(SSC_Ontology_Ver0.5!D4807,"#N/A in source")</f>
        <v>130</v>
      </c>
      <c r="E51" s="34" t="s">
        <v>5298</v>
      </c>
    </row>
    <row r="52" spans="1:5" x14ac:dyDescent="0.3">
      <c r="A52" s="31">
        <v>4808</v>
      </c>
      <c r="B52" s="32" t="s">
        <v>4551</v>
      </c>
      <c r="C52" s="32" t="s">
        <v>11</v>
      </c>
      <c r="D52" s="33">
        <f>IFERROR(SSC_Ontology_Ver0.5!D4808,"#N/A in source")</f>
        <v>130</v>
      </c>
      <c r="E52" s="34" t="s">
        <v>5298</v>
      </c>
    </row>
    <row r="53" spans="1:5" x14ac:dyDescent="0.3">
      <c r="A53" s="31">
        <v>4809</v>
      </c>
      <c r="B53" s="32" t="s">
        <v>4550</v>
      </c>
      <c r="C53" s="32" t="s">
        <v>308</v>
      </c>
      <c r="D53" s="33">
        <f>IFERROR(SSC_Ontology_Ver0.5!D4809,"#N/A in source")</f>
        <v>130</v>
      </c>
      <c r="E53" s="34" t="s">
        <v>5299</v>
      </c>
    </row>
    <row r="54" spans="1:5" x14ac:dyDescent="0.3">
      <c r="A54" s="31">
        <v>4810</v>
      </c>
      <c r="B54" s="32" t="s">
        <v>4561</v>
      </c>
      <c r="C54" s="32" t="s">
        <v>11</v>
      </c>
      <c r="D54" s="33">
        <f>IFERROR(SSC_Ontology_Ver0.5!D4810,"#N/A in source")</f>
        <v>130</v>
      </c>
      <c r="E54" s="34" t="s">
        <v>5298</v>
      </c>
    </row>
    <row r="55" spans="1:5" x14ac:dyDescent="0.3">
      <c r="A55" s="31">
        <v>4811</v>
      </c>
      <c r="B55" s="32" t="s">
        <v>4554</v>
      </c>
      <c r="C55" s="32" t="s">
        <v>11</v>
      </c>
      <c r="D55" s="33">
        <f>IFERROR(SSC_Ontology_Ver0.5!D4811,"#N/A in source")</f>
        <v>130</v>
      </c>
      <c r="E55" s="34" t="s">
        <v>5298</v>
      </c>
    </row>
    <row r="56" spans="1:5" x14ac:dyDescent="0.3">
      <c r="A56" s="31">
        <v>4812</v>
      </c>
      <c r="B56" s="32" t="s">
        <v>4557</v>
      </c>
      <c r="C56" s="32" t="s">
        <v>11</v>
      </c>
      <c r="D56" s="33">
        <f>IFERROR(SSC_Ontology_Ver0.5!D4812,"#N/A in source")</f>
        <v>130</v>
      </c>
      <c r="E56" s="34" t="s">
        <v>5298</v>
      </c>
    </row>
    <row r="57" spans="1:5" x14ac:dyDescent="0.3">
      <c r="A57" s="31">
        <v>4813</v>
      </c>
      <c r="B57" s="32" t="s">
        <v>4555</v>
      </c>
      <c r="C57" s="32" t="s">
        <v>11</v>
      </c>
      <c r="D57" s="33">
        <f>IFERROR(SSC_Ontology_Ver0.5!D4813,"#N/A in source")</f>
        <v>130</v>
      </c>
      <c r="E57" s="34" t="s">
        <v>5298</v>
      </c>
    </row>
    <row r="58" spans="1:5" x14ac:dyDescent="0.3">
      <c r="A58" s="31">
        <v>4814</v>
      </c>
      <c r="B58" s="32" t="s">
        <v>4556</v>
      </c>
      <c r="C58" s="32" t="s">
        <v>11</v>
      </c>
      <c r="D58" s="33">
        <f>IFERROR(SSC_Ontology_Ver0.5!D4814,"#N/A in source")</f>
        <v>130</v>
      </c>
      <c r="E58" s="34" t="s">
        <v>5298</v>
      </c>
    </row>
    <row r="59" spans="1:5" x14ac:dyDescent="0.3">
      <c r="A59" s="31">
        <v>4815</v>
      </c>
      <c r="B59" s="32" t="s">
        <v>4553</v>
      </c>
      <c r="C59" s="32" t="s">
        <v>11</v>
      </c>
      <c r="D59" s="33">
        <f>IFERROR(SSC_Ontology_Ver0.5!D4815,"#N/A in source")</f>
        <v>130</v>
      </c>
      <c r="E59" s="34" t="s">
        <v>5298</v>
      </c>
    </row>
    <row r="60" spans="1:5" x14ac:dyDescent="0.3">
      <c r="A60" s="31">
        <v>4816</v>
      </c>
      <c r="B60" s="32" t="s">
        <v>4567</v>
      </c>
      <c r="C60" s="32" t="s">
        <v>280</v>
      </c>
      <c r="D60" s="33">
        <f>IFERROR(SSC_Ontology_Ver0.5!D4816,"#N/A in source")</f>
        <v>130</v>
      </c>
      <c r="E60" s="34" t="s">
        <v>5300</v>
      </c>
    </row>
    <row r="61" spans="1:5" x14ac:dyDescent="0.3">
      <c r="A61" s="31">
        <v>4817</v>
      </c>
      <c r="B61" s="32" t="s">
        <v>4567</v>
      </c>
      <c r="C61" s="32" t="s">
        <v>308</v>
      </c>
      <c r="D61" s="33">
        <f>IFERROR(SSC_Ontology_Ver0.5!D4817,"#N/A in source")</f>
        <v>130</v>
      </c>
      <c r="E61" s="34" t="s">
        <v>5301</v>
      </c>
    </row>
    <row r="62" spans="1:5" x14ac:dyDescent="0.3">
      <c r="A62" s="31">
        <v>4818</v>
      </c>
      <c r="B62" s="32" t="s">
        <v>4567</v>
      </c>
      <c r="C62" s="32" t="s">
        <v>308</v>
      </c>
      <c r="D62" s="33">
        <f>IFERROR(SSC_Ontology_Ver0.5!D4818,"#N/A in source")</f>
        <v>130</v>
      </c>
      <c r="E62" s="34" t="s">
        <v>5302</v>
      </c>
    </row>
    <row r="63" spans="1:5" x14ac:dyDescent="0.3">
      <c r="A63" s="31">
        <v>4819</v>
      </c>
      <c r="B63" s="32" t="s">
        <v>4567</v>
      </c>
      <c r="C63" s="32" t="s">
        <v>308</v>
      </c>
      <c r="D63" s="33">
        <f>IFERROR(SSC_Ontology_Ver0.5!D4819,"#N/A in source")</f>
        <v>130</v>
      </c>
      <c r="E63" s="34" t="s">
        <v>5303</v>
      </c>
    </row>
    <row r="64" spans="1:5" x14ac:dyDescent="0.3">
      <c r="A64" s="31">
        <v>4820</v>
      </c>
      <c r="B64" s="32" t="s">
        <v>4567</v>
      </c>
      <c r="C64" s="32" t="s">
        <v>308</v>
      </c>
      <c r="D64" s="33">
        <f>IFERROR(SSC_Ontology_Ver0.5!D4820,"#N/A in source")</f>
        <v>130</v>
      </c>
      <c r="E64" s="34" t="s">
        <v>5304</v>
      </c>
    </row>
    <row r="65" spans="1:5" x14ac:dyDescent="0.3">
      <c r="A65" s="31">
        <v>4821</v>
      </c>
      <c r="B65" s="32" t="s">
        <v>4567</v>
      </c>
      <c r="C65" s="32" t="s">
        <v>308</v>
      </c>
      <c r="D65" s="33">
        <f>IFERROR(SSC_Ontology_Ver0.5!D4821,"#N/A in source")</f>
        <v>130</v>
      </c>
      <c r="E65" s="34" t="s">
        <v>5305</v>
      </c>
    </row>
    <row r="66" spans="1:5" x14ac:dyDescent="0.3">
      <c r="A66" s="31">
        <v>4822</v>
      </c>
      <c r="B66" s="32" t="s">
        <v>4567</v>
      </c>
      <c r="C66" s="32" t="s">
        <v>308</v>
      </c>
      <c r="D66" s="33">
        <f>IFERROR(SSC_Ontology_Ver0.5!D4822,"#N/A in source")</f>
        <v>130</v>
      </c>
      <c r="E66" s="34" t="s">
        <v>5306</v>
      </c>
    </row>
    <row r="67" spans="1:5" x14ac:dyDescent="0.3">
      <c r="A67" s="31">
        <v>4823</v>
      </c>
      <c r="B67" s="32" t="s">
        <v>4567</v>
      </c>
      <c r="C67" s="32" t="s">
        <v>308</v>
      </c>
      <c r="D67" s="33">
        <f>IFERROR(SSC_Ontology_Ver0.5!D4823,"#N/A in source")</f>
        <v>130</v>
      </c>
      <c r="E67" s="34" t="s">
        <v>5307</v>
      </c>
    </row>
    <row r="68" spans="1:5" x14ac:dyDescent="0.3">
      <c r="A68" s="31">
        <v>4829</v>
      </c>
      <c r="B68" s="32" t="s">
        <v>4567</v>
      </c>
      <c r="C68" s="32" t="s">
        <v>11</v>
      </c>
      <c r="D68" s="33">
        <f>IFERROR(SSC_Ontology_Ver0.5!D4829,"#N/A in source")</f>
        <v>130</v>
      </c>
      <c r="E68" s="34" t="s">
        <v>5297</v>
      </c>
    </row>
    <row r="69" spans="1:5" x14ac:dyDescent="0.3">
      <c r="A69" s="31">
        <v>4830</v>
      </c>
      <c r="B69" s="32" t="s">
        <v>4570</v>
      </c>
      <c r="C69" s="32" t="s">
        <v>11</v>
      </c>
      <c r="D69" s="33">
        <f>IFERROR(SSC_Ontology_Ver0.5!D4830,"#N/A in source")</f>
        <v>130</v>
      </c>
      <c r="E69" s="34" t="s">
        <v>5298</v>
      </c>
    </row>
    <row r="70" spans="1:5" x14ac:dyDescent="0.3">
      <c r="A70" s="31">
        <v>4831</v>
      </c>
      <c r="B70" s="32" t="s">
        <v>4571</v>
      </c>
      <c r="C70" s="32" t="s">
        <v>11</v>
      </c>
      <c r="D70" s="33">
        <f>IFERROR(SSC_Ontology_Ver0.5!D4831,"#N/A in source")</f>
        <v>130</v>
      </c>
      <c r="E70" s="34" t="s">
        <v>5298</v>
      </c>
    </row>
    <row r="71" spans="1:5" x14ac:dyDescent="0.3">
      <c r="A71" s="31">
        <v>4832</v>
      </c>
      <c r="B71" s="32" t="s">
        <v>4573</v>
      </c>
      <c r="C71" s="32" t="s">
        <v>308</v>
      </c>
      <c r="D71" s="33">
        <f>IFERROR(SSC_Ontology_Ver0.5!D4832,"#N/A in source")</f>
        <v>130</v>
      </c>
      <c r="E71" s="34" t="s">
        <v>5308</v>
      </c>
    </row>
    <row r="72" spans="1:5" x14ac:dyDescent="0.3">
      <c r="A72" s="31">
        <v>4833</v>
      </c>
      <c r="B72" s="32" t="s">
        <v>4574</v>
      </c>
      <c r="C72" s="32" t="s">
        <v>11</v>
      </c>
      <c r="D72" s="33">
        <f>IFERROR(SSC_Ontology_Ver0.5!D4833,"#N/A in source")</f>
        <v>130</v>
      </c>
      <c r="E72" s="34" t="s">
        <v>5298</v>
      </c>
    </row>
    <row r="73" spans="1:5" x14ac:dyDescent="0.3">
      <c r="A73" s="31">
        <v>4834</v>
      </c>
      <c r="B73" s="32" t="s">
        <v>4576</v>
      </c>
      <c r="C73" s="32" t="s">
        <v>11</v>
      </c>
      <c r="D73" s="33">
        <f>IFERROR(SSC_Ontology_Ver0.5!D4834,"#N/A in source")</f>
        <v>130</v>
      </c>
      <c r="E73" s="34" t="s">
        <v>5298</v>
      </c>
    </row>
    <row r="74" spans="1:5" x14ac:dyDescent="0.3">
      <c r="A74" s="31">
        <v>4835</v>
      </c>
      <c r="B74" s="32" t="s">
        <v>4578</v>
      </c>
      <c r="C74" s="32" t="s">
        <v>11</v>
      </c>
      <c r="D74" s="33">
        <f>IFERROR(SSC_Ontology_Ver0.5!D4835,"#N/A in source")</f>
        <v>130</v>
      </c>
      <c r="E74" s="34" t="s">
        <v>5298</v>
      </c>
    </row>
    <row r="75" spans="1:5" x14ac:dyDescent="0.3">
      <c r="A75" s="31">
        <v>4836</v>
      </c>
      <c r="B75" s="32" t="s">
        <v>4580</v>
      </c>
      <c r="C75" s="32" t="s">
        <v>11</v>
      </c>
      <c r="D75" s="33">
        <f>IFERROR(SSC_Ontology_Ver0.5!D4836,"#N/A in source")</f>
        <v>130</v>
      </c>
      <c r="E75" s="34" t="s">
        <v>5298</v>
      </c>
    </row>
    <row r="76" spans="1:5" x14ac:dyDescent="0.3">
      <c r="A76" s="31">
        <v>4837</v>
      </c>
      <c r="B76" s="32" t="s">
        <v>4582</v>
      </c>
      <c r="C76" s="32" t="s">
        <v>11</v>
      </c>
      <c r="D76" s="33">
        <f>IFERROR(SSC_Ontology_Ver0.5!D4837,"#N/A in source")</f>
        <v>130</v>
      </c>
      <c r="E76" s="34" t="s">
        <v>5298</v>
      </c>
    </row>
    <row r="77" spans="1:5" x14ac:dyDescent="0.3">
      <c r="A77" s="31">
        <v>4838</v>
      </c>
      <c r="B77" s="32" t="s">
        <v>4584</v>
      </c>
      <c r="C77" s="32" t="s">
        <v>11</v>
      </c>
      <c r="D77" s="33">
        <f>IFERROR(SSC_Ontology_Ver0.5!D4838,"#N/A in source")</f>
        <v>130</v>
      </c>
      <c r="E77" s="34" t="s">
        <v>5298</v>
      </c>
    </row>
    <row r="78" spans="1:5" x14ac:dyDescent="0.3">
      <c r="A78" s="31">
        <v>4839</v>
      </c>
      <c r="B78" s="32" t="s">
        <v>4585</v>
      </c>
      <c r="C78" s="32" t="s">
        <v>280</v>
      </c>
      <c r="D78" s="33">
        <f>IFERROR(SSC_Ontology_Ver0.5!D4839,"#N/A in source")</f>
        <v>130</v>
      </c>
      <c r="E78" s="34" t="s">
        <v>5309</v>
      </c>
    </row>
    <row r="79" spans="1:5" x14ac:dyDescent="0.3">
      <c r="A79" s="31">
        <v>4840</v>
      </c>
      <c r="B79" s="32" t="s">
        <v>4585</v>
      </c>
      <c r="C79" s="32" t="s">
        <v>308</v>
      </c>
      <c r="D79" s="33">
        <f>IFERROR(SSC_Ontology_Ver0.5!D4840,"#N/A in source")</f>
        <v>130</v>
      </c>
      <c r="E79" s="34" t="s">
        <v>5310</v>
      </c>
    </row>
    <row r="80" spans="1:5" x14ac:dyDescent="0.3">
      <c r="A80" s="31">
        <v>4841</v>
      </c>
      <c r="B80" s="32" t="s">
        <v>4585</v>
      </c>
      <c r="C80" s="32" t="s">
        <v>308</v>
      </c>
      <c r="D80" s="33">
        <f>IFERROR(SSC_Ontology_Ver0.5!D4841,"#N/A in source")</f>
        <v>130</v>
      </c>
      <c r="E80" s="34" t="s">
        <v>5311</v>
      </c>
    </row>
    <row r="81" spans="1:5" x14ac:dyDescent="0.3">
      <c r="A81" s="31">
        <v>4842</v>
      </c>
      <c r="B81" s="32" t="s">
        <v>4585</v>
      </c>
      <c r="C81" s="32" t="s">
        <v>308</v>
      </c>
      <c r="D81" s="33">
        <f>IFERROR(SSC_Ontology_Ver0.5!D4842,"#N/A in source")</f>
        <v>130</v>
      </c>
      <c r="E81" s="34" t="s">
        <v>5312</v>
      </c>
    </row>
    <row r="82" spans="1:5" x14ac:dyDescent="0.3">
      <c r="A82" s="31">
        <v>4843</v>
      </c>
      <c r="B82" s="32" t="s">
        <v>4585</v>
      </c>
      <c r="C82" s="32" t="s">
        <v>308</v>
      </c>
      <c r="D82" s="33">
        <f>IFERROR(SSC_Ontology_Ver0.5!D4843,"#N/A in source")</f>
        <v>130</v>
      </c>
      <c r="E82" s="34" t="s">
        <v>5313</v>
      </c>
    </row>
    <row r="83" spans="1:5" x14ac:dyDescent="0.3">
      <c r="A83" s="31">
        <v>4844</v>
      </c>
      <c r="B83" s="32" t="s">
        <v>4585</v>
      </c>
      <c r="C83" s="32" t="s">
        <v>308</v>
      </c>
      <c r="D83" s="33">
        <f>IFERROR(SSC_Ontology_Ver0.5!D4844,"#N/A in source")</f>
        <v>130</v>
      </c>
      <c r="E83" s="34" t="s">
        <v>5314</v>
      </c>
    </row>
    <row r="84" spans="1:5" x14ac:dyDescent="0.3">
      <c r="A84" s="31">
        <v>4845</v>
      </c>
      <c r="B84" s="32" t="s">
        <v>4585</v>
      </c>
      <c r="C84" s="32" t="s">
        <v>308</v>
      </c>
      <c r="D84" s="33">
        <f>IFERROR(SSC_Ontology_Ver0.5!D4845,"#N/A in source")</f>
        <v>130</v>
      </c>
      <c r="E84" s="34" t="s">
        <v>5315</v>
      </c>
    </row>
    <row r="85" spans="1:5" x14ac:dyDescent="0.3">
      <c r="A85" s="35">
        <v>4846</v>
      </c>
      <c r="B85" s="36" t="s">
        <v>4585</v>
      </c>
      <c r="C85" s="36" t="s">
        <v>308</v>
      </c>
      <c r="D85" s="37">
        <f>IFERROR(SSC_Ontology_Ver0.5!D4846,"#N/A in source")</f>
        <v>130</v>
      </c>
      <c r="E85" s="38" t="s">
        <v>5316</v>
      </c>
    </row>
    <row r="88" spans="1:5" x14ac:dyDescent="0.3">
      <c r="A88" s="6" t="s">
        <v>5170</v>
      </c>
    </row>
    <row r="89" spans="1:5" x14ac:dyDescent="0.3">
      <c r="A89" s="10" t="s">
        <v>4878</v>
      </c>
      <c r="B89" s="11" t="s">
        <v>5171</v>
      </c>
      <c r="C89" s="12" t="s">
        <v>4760</v>
      </c>
    </row>
    <row r="90" spans="1:5" x14ac:dyDescent="0.3">
      <c r="A90" s="13" t="s">
        <v>5172</v>
      </c>
      <c r="B90" s="19">
        <f>COUNTIF(SSC_Ontology_Ver0.5!$A$2493:$A$4976,"entity:SSC_"&amp;$A90&amp;"*")+COUNTIF(SSC_Ontology_Ver0.5!$A$5014:$A$5120,"entity:SSC_"&amp;$A90&amp;"*")</f>
        <v>24</v>
      </c>
      <c r="C90" s="25" t="str">
        <f>IF($A90="VAV0063","Excluded — reviewed, accepted",IF($B90=24,"OK","Expected 24, has "&amp;$B90))</f>
        <v>OK</v>
      </c>
    </row>
    <row r="91" spans="1:5" x14ac:dyDescent="0.3">
      <c r="A91" s="13" t="s">
        <v>5173</v>
      </c>
      <c r="B91" s="19">
        <f>COUNTIF(SSC_Ontology_Ver0.5!$A$2493:$A$4976,"entity:SSC_"&amp;$A91&amp;"*")+COUNTIF(SSC_Ontology_Ver0.5!$A$5014:$A$5120,"entity:SSC_"&amp;$A91&amp;"*")</f>
        <v>24</v>
      </c>
      <c r="C91" s="25" t="str">
        <f>IF($A91="VAV0063","Excluded — reviewed, accepted",IF($B91=24,"OK","Expected 24, has "&amp;$B91))</f>
        <v>OK</v>
      </c>
    </row>
    <row r="92" spans="1:5" x14ac:dyDescent="0.3">
      <c r="A92" s="13" t="s">
        <v>5174</v>
      </c>
      <c r="B92" s="19">
        <f>COUNTIF(SSC_Ontology_Ver0.5!$A$2493:$A$4976,"entity:SSC_"&amp;$A92&amp;"*")+COUNTIF(SSC_Ontology_Ver0.5!$A$5014:$A$5120,"entity:SSC_"&amp;$A92&amp;"*")</f>
        <v>24</v>
      </c>
      <c r="C92" s="25" t="str">
        <f>IF($A92="VAV0063","Excluded — reviewed, accepted",IF($B92=24,"OK","Expected 24, has "&amp;$B92))</f>
        <v>OK</v>
      </c>
    </row>
    <row r="93" spans="1:5" x14ac:dyDescent="0.3">
      <c r="A93" s="13" t="s">
        <v>5175</v>
      </c>
      <c r="B93" s="19">
        <f>COUNTIF(SSC_Ontology_Ver0.5!$A$2493:$A$4976,"entity:SSC_"&amp;$A93&amp;"*")+COUNTIF(SSC_Ontology_Ver0.5!$A$5014:$A$5120,"entity:SSC_"&amp;$A93&amp;"*")</f>
        <v>24</v>
      </c>
      <c r="C93" s="25" t="str">
        <f>IF($A93="VAV0063","Excluded — reviewed, accepted",IF($B93=24,"OK","Expected 24, has "&amp;$B93))</f>
        <v>OK</v>
      </c>
    </row>
    <row r="94" spans="1:5" x14ac:dyDescent="0.3">
      <c r="A94" s="13" t="s">
        <v>5176</v>
      </c>
      <c r="B94" s="19">
        <f>COUNTIF(SSC_Ontology_Ver0.5!$A$2493:$A$4976,"entity:SSC_"&amp;$A94&amp;"*")+COUNTIF(SSC_Ontology_Ver0.5!$A$5014:$A$5120,"entity:SSC_"&amp;$A94&amp;"*")</f>
        <v>24</v>
      </c>
      <c r="C94" s="25" t="str">
        <f>IF($A94="VAV0063","Excluded — reviewed, accepted",IF($B94=24,"OK","Expected 24, has "&amp;$B94))</f>
        <v>OK</v>
      </c>
    </row>
    <row r="95" spans="1:5" x14ac:dyDescent="0.3">
      <c r="A95" s="13" t="s">
        <v>5177</v>
      </c>
      <c r="B95" s="19">
        <f>COUNTIF(SSC_Ontology_Ver0.5!$A$2493:$A$4976,"entity:SSC_"&amp;$A95&amp;"*")+COUNTIF(SSC_Ontology_Ver0.5!$A$5014:$A$5120,"entity:SSC_"&amp;$A95&amp;"*")</f>
        <v>24</v>
      </c>
      <c r="C95" s="25" t="str">
        <f>IF($A95="VAV0063","Excluded — reviewed, accepted",IF($B95=24,"OK","Expected 24, has "&amp;$B95))</f>
        <v>OK</v>
      </c>
    </row>
    <row r="96" spans="1:5" x14ac:dyDescent="0.3">
      <c r="A96" s="13" t="s">
        <v>5178</v>
      </c>
      <c r="B96" s="19">
        <f>COUNTIF(SSC_Ontology_Ver0.5!$A$2493:$A$4976,"entity:SSC_"&amp;$A96&amp;"*")+COUNTIF(SSC_Ontology_Ver0.5!$A$5014:$A$5120,"entity:SSC_"&amp;$A96&amp;"*")</f>
        <v>24</v>
      </c>
      <c r="C96" s="25" t="str">
        <f>IF($A96="VAV0063","Excluded — reviewed, accepted",IF($B96=24,"OK","Expected 24, has "&amp;$B96))</f>
        <v>OK</v>
      </c>
    </row>
    <row r="97" spans="1:3" x14ac:dyDescent="0.3">
      <c r="A97" s="13" t="s">
        <v>5179</v>
      </c>
      <c r="B97" s="19">
        <f>COUNTIF(SSC_Ontology_Ver0.5!$A$2493:$A$4976,"entity:SSC_"&amp;$A97&amp;"*")+COUNTIF(SSC_Ontology_Ver0.5!$A$5014:$A$5120,"entity:SSC_"&amp;$A97&amp;"*")</f>
        <v>24</v>
      </c>
      <c r="C97" s="25" t="str">
        <f>IF($A97="VAV0063","Excluded — reviewed, accepted",IF($B97=24,"OK","Expected 24, has "&amp;$B97))</f>
        <v>OK</v>
      </c>
    </row>
    <row r="98" spans="1:3" x14ac:dyDescent="0.3">
      <c r="A98" s="13" t="s">
        <v>5180</v>
      </c>
      <c r="B98" s="19">
        <f>COUNTIF(SSC_Ontology_Ver0.5!$A$2493:$A$4976,"entity:SSC_"&amp;$A98&amp;"*")+COUNTIF(SSC_Ontology_Ver0.5!$A$5014:$A$5120,"entity:SSC_"&amp;$A98&amp;"*")</f>
        <v>24</v>
      </c>
      <c r="C98" s="25" t="str">
        <f>IF($A98="VAV0063","Excluded — reviewed, accepted",IF($B98=24,"OK","Expected 24, has "&amp;$B98))</f>
        <v>OK</v>
      </c>
    </row>
    <row r="99" spans="1:3" x14ac:dyDescent="0.3">
      <c r="A99" s="13" t="s">
        <v>5181</v>
      </c>
      <c r="B99" s="19">
        <f>COUNTIF(SSC_Ontology_Ver0.5!$A$2493:$A$4976,"entity:SSC_"&amp;$A99&amp;"*")+COUNTIF(SSC_Ontology_Ver0.5!$A$5014:$A$5120,"entity:SSC_"&amp;$A99&amp;"*")</f>
        <v>24</v>
      </c>
      <c r="C99" s="25" t="str">
        <f>IF($A99="VAV0063","Excluded — reviewed, accepted",IF($B99=24,"OK","Expected 24, has "&amp;$B99))</f>
        <v>OK</v>
      </c>
    </row>
    <row r="100" spans="1:3" x14ac:dyDescent="0.3">
      <c r="A100" s="13" t="s">
        <v>5182</v>
      </c>
      <c r="B100" s="19">
        <f>COUNTIF(SSC_Ontology_Ver0.5!$A$2493:$A$4976,"entity:SSC_"&amp;$A100&amp;"*")+COUNTIF(SSC_Ontology_Ver0.5!$A$5014:$A$5120,"entity:SSC_"&amp;$A100&amp;"*")</f>
        <v>24</v>
      </c>
      <c r="C100" s="25" t="str">
        <f>IF($A100="VAV0063","Excluded — reviewed, accepted",IF($B100=24,"OK","Expected 24, has "&amp;$B100))</f>
        <v>OK</v>
      </c>
    </row>
    <row r="101" spans="1:3" x14ac:dyDescent="0.3">
      <c r="A101" s="13" t="s">
        <v>5183</v>
      </c>
      <c r="B101" s="19">
        <f>COUNTIF(SSC_Ontology_Ver0.5!$A$2493:$A$4976,"entity:SSC_"&amp;$A101&amp;"*")+COUNTIF(SSC_Ontology_Ver0.5!$A$5014:$A$5120,"entity:SSC_"&amp;$A101&amp;"*")</f>
        <v>24</v>
      </c>
      <c r="C101" s="25" t="str">
        <f>IF($A101="VAV0063","Excluded — reviewed, accepted",IF($B101=24,"OK","Expected 24, has "&amp;$B101))</f>
        <v>OK</v>
      </c>
    </row>
    <row r="102" spans="1:3" x14ac:dyDescent="0.3">
      <c r="A102" s="13" t="s">
        <v>5184</v>
      </c>
      <c r="B102" s="19">
        <f>COUNTIF(SSC_Ontology_Ver0.5!$A$2493:$A$4976,"entity:SSC_"&amp;$A102&amp;"*")+COUNTIF(SSC_Ontology_Ver0.5!$A$5014:$A$5120,"entity:SSC_"&amp;$A102&amp;"*")</f>
        <v>24</v>
      </c>
      <c r="C102" s="25" t="str">
        <f>IF($A102="VAV0063","Excluded — reviewed, accepted",IF($B102=24,"OK","Expected 24, has "&amp;$B102))</f>
        <v>OK</v>
      </c>
    </row>
    <row r="103" spans="1:3" x14ac:dyDescent="0.3">
      <c r="A103" s="13" t="s">
        <v>5185</v>
      </c>
      <c r="B103" s="19">
        <f>COUNTIF(SSC_Ontology_Ver0.5!$A$2493:$A$4976,"entity:SSC_"&amp;$A103&amp;"*")+COUNTIF(SSC_Ontology_Ver0.5!$A$5014:$A$5120,"entity:SSC_"&amp;$A103&amp;"*")</f>
        <v>24</v>
      </c>
      <c r="C103" s="25" t="str">
        <f>IF($A103="VAV0063","Excluded — reviewed, accepted",IF($B103=24,"OK","Expected 24, has "&amp;$B103))</f>
        <v>OK</v>
      </c>
    </row>
    <row r="104" spans="1:3" x14ac:dyDescent="0.3">
      <c r="A104" s="13" t="s">
        <v>5186</v>
      </c>
      <c r="B104" s="19">
        <f>COUNTIF(SSC_Ontology_Ver0.5!$A$2493:$A$4976,"entity:SSC_"&amp;$A104&amp;"*")+COUNTIF(SSC_Ontology_Ver0.5!$A$5014:$A$5120,"entity:SSC_"&amp;$A104&amp;"*")</f>
        <v>24</v>
      </c>
      <c r="C104" s="25" t="str">
        <f>IF($A104="VAV0063","Excluded — reviewed, accepted",IF($B104=24,"OK","Expected 24, has "&amp;$B104))</f>
        <v>OK</v>
      </c>
    </row>
    <row r="105" spans="1:3" x14ac:dyDescent="0.3">
      <c r="A105" s="13" t="s">
        <v>5187</v>
      </c>
      <c r="B105" s="19">
        <f>COUNTIF(SSC_Ontology_Ver0.5!$A$2493:$A$4976,"entity:SSC_"&amp;$A105&amp;"*")+COUNTIF(SSC_Ontology_Ver0.5!$A$5014:$A$5120,"entity:SSC_"&amp;$A105&amp;"*")</f>
        <v>24</v>
      </c>
      <c r="C105" s="25" t="str">
        <f>IF($A105="VAV0063","Excluded — reviewed, accepted",IF($B105=24,"OK","Expected 24, has "&amp;$B105))</f>
        <v>OK</v>
      </c>
    </row>
    <row r="106" spans="1:3" x14ac:dyDescent="0.3">
      <c r="A106" s="13" t="s">
        <v>5188</v>
      </c>
      <c r="B106" s="19">
        <f>COUNTIF(SSC_Ontology_Ver0.5!$A$2493:$A$4976,"entity:SSC_"&amp;$A106&amp;"*")+COUNTIF(SSC_Ontology_Ver0.5!$A$5014:$A$5120,"entity:SSC_"&amp;$A106&amp;"*")</f>
        <v>24</v>
      </c>
      <c r="C106" s="25" t="str">
        <f>IF($A106="VAV0063","Excluded — reviewed, accepted",IF($B106=24,"OK","Expected 24, has "&amp;$B106))</f>
        <v>OK</v>
      </c>
    </row>
    <row r="107" spans="1:3" x14ac:dyDescent="0.3">
      <c r="A107" s="13" t="s">
        <v>5189</v>
      </c>
      <c r="B107" s="19">
        <f>COUNTIF(SSC_Ontology_Ver0.5!$A$2493:$A$4976,"entity:SSC_"&amp;$A107&amp;"*")+COUNTIF(SSC_Ontology_Ver0.5!$A$5014:$A$5120,"entity:SSC_"&amp;$A107&amp;"*")</f>
        <v>24</v>
      </c>
      <c r="C107" s="25" t="str">
        <f>IF($A107="VAV0063","Excluded — reviewed, accepted",IF($B107=24,"OK","Expected 24, has "&amp;$B107))</f>
        <v>OK</v>
      </c>
    </row>
    <row r="108" spans="1:3" x14ac:dyDescent="0.3">
      <c r="A108" s="13" t="s">
        <v>5190</v>
      </c>
      <c r="B108" s="19">
        <f>COUNTIF(SSC_Ontology_Ver0.5!$A$2493:$A$4976,"entity:SSC_"&amp;$A108&amp;"*")+COUNTIF(SSC_Ontology_Ver0.5!$A$5014:$A$5120,"entity:SSC_"&amp;$A108&amp;"*")</f>
        <v>24</v>
      </c>
      <c r="C108" s="25" t="str">
        <f>IF($A108="VAV0063","Excluded — reviewed, accepted",IF($B108=24,"OK","Expected 24, has "&amp;$B108))</f>
        <v>OK</v>
      </c>
    </row>
    <row r="109" spans="1:3" x14ac:dyDescent="0.3">
      <c r="A109" s="13" t="s">
        <v>5191</v>
      </c>
      <c r="B109" s="19">
        <f>COUNTIF(SSC_Ontology_Ver0.5!$A$2493:$A$4976,"entity:SSC_"&amp;$A109&amp;"*")+COUNTIF(SSC_Ontology_Ver0.5!$A$5014:$A$5120,"entity:SSC_"&amp;$A109&amp;"*")</f>
        <v>24</v>
      </c>
      <c r="C109" s="25" t="str">
        <f>IF($A109="VAV0063","Excluded — reviewed, accepted",IF($B109=24,"OK","Expected 24, has "&amp;$B109))</f>
        <v>OK</v>
      </c>
    </row>
    <row r="110" spans="1:3" x14ac:dyDescent="0.3">
      <c r="A110" s="13" t="s">
        <v>5192</v>
      </c>
      <c r="B110" s="19">
        <f>COUNTIF(SSC_Ontology_Ver0.5!$A$2493:$A$4976,"entity:SSC_"&amp;$A110&amp;"*")+COUNTIF(SSC_Ontology_Ver0.5!$A$5014:$A$5120,"entity:SSC_"&amp;$A110&amp;"*")</f>
        <v>24</v>
      </c>
      <c r="C110" s="25" t="str">
        <f>IF($A110="VAV0063","Excluded — reviewed, accepted",IF($B110=24,"OK","Expected 24, has "&amp;$B110))</f>
        <v>OK</v>
      </c>
    </row>
    <row r="111" spans="1:3" x14ac:dyDescent="0.3">
      <c r="A111" s="13" t="s">
        <v>5193</v>
      </c>
      <c r="B111" s="19">
        <f>COUNTIF(SSC_Ontology_Ver0.5!$A$2493:$A$4976,"entity:SSC_"&amp;$A111&amp;"*")+COUNTIF(SSC_Ontology_Ver0.5!$A$5014:$A$5120,"entity:SSC_"&amp;$A111&amp;"*")</f>
        <v>24</v>
      </c>
      <c r="C111" s="25" t="str">
        <f>IF($A111="VAV0063","Excluded — reviewed, accepted",IF($B111=24,"OK","Expected 24, has "&amp;$B111))</f>
        <v>OK</v>
      </c>
    </row>
    <row r="112" spans="1:3" x14ac:dyDescent="0.3">
      <c r="A112" s="13" t="s">
        <v>5194</v>
      </c>
      <c r="B112" s="19">
        <f>COUNTIF(SSC_Ontology_Ver0.5!$A$2493:$A$4976,"entity:SSC_"&amp;$A112&amp;"*")+COUNTIF(SSC_Ontology_Ver0.5!$A$5014:$A$5120,"entity:SSC_"&amp;$A112&amp;"*")</f>
        <v>24</v>
      </c>
      <c r="C112" s="25" t="str">
        <f>IF($A112="VAV0063","Excluded — reviewed, accepted",IF($B112=24,"OK","Expected 24, has "&amp;$B112))</f>
        <v>OK</v>
      </c>
    </row>
    <row r="113" spans="1:3" x14ac:dyDescent="0.3">
      <c r="A113" s="13" t="s">
        <v>5195</v>
      </c>
      <c r="B113" s="19">
        <f>COUNTIF(SSC_Ontology_Ver0.5!$A$2493:$A$4976,"entity:SSC_"&amp;$A113&amp;"*")+COUNTIF(SSC_Ontology_Ver0.5!$A$5014:$A$5120,"entity:SSC_"&amp;$A113&amp;"*")</f>
        <v>24</v>
      </c>
      <c r="C113" s="25" t="str">
        <f>IF($A113="VAV0063","Excluded — reviewed, accepted",IF($B113=24,"OK","Expected 24, has "&amp;$B113))</f>
        <v>OK</v>
      </c>
    </row>
    <row r="114" spans="1:3" x14ac:dyDescent="0.3">
      <c r="A114" s="13" t="s">
        <v>5196</v>
      </c>
      <c r="B114" s="19">
        <f>COUNTIF(SSC_Ontology_Ver0.5!$A$2493:$A$4976,"entity:SSC_"&amp;$A114&amp;"*")+COUNTIF(SSC_Ontology_Ver0.5!$A$5014:$A$5120,"entity:SSC_"&amp;$A114&amp;"*")</f>
        <v>24</v>
      </c>
      <c r="C114" s="25" t="str">
        <f>IF($A114="VAV0063","Excluded — reviewed, accepted",IF($B114=24,"OK","Expected 24, has "&amp;$B114))</f>
        <v>OK</v>
      </c>
    </row>
    <row r="115" spans="1:3" x14ac:dyDescent="0.3">
      <c r="A115" s="13" t="s">
        <v>5197</v>
      </c>
      <c r="B115" s="19">
        <f>COUNTIF(SSC_Ontology_Ver0.5!$A$2493:$A$4976,"entity:SSC_"&amp;$A115&amp;"*")+COUNTIF(SSC_Ontology_Ver0.5!$A$5014:$A$5120,"entity:SSC_"&amp;$A115&amp;"*")</f>
        <v>24</v>
      </c>
      <c r="C115" s="25" t="str">
        <f>IF($A115="VAV0063","Excluded — reviewed, accepted",IF($B115=24,"OK","Expected 24, has "&amp;$B115))</f>
        <v>OK</v>
      </c>
    </row>
    <row r="116" spans="1:3" x14ac:dyDescent="0.3">
      <c r="A116" s="13" t="s">
        <v>5198</v>
      </c>
      <c r="B116" s="19">
        <f>COUNTIF(SSC_Ontology_Ver0.5!$A$2493:$A$4976,"entity:SSC_"&amp;$A116&amp;"*")+COUNTIF(SSC_Ontology_Ver0.5!$A$5014:$A$5120,"entity:SSC_"&amp;$A116&amp;"*")</f>
        <v>24</v>
      </c>
      <c r="C116" s="25" t="str">
        <f>IF($A116="VAV0063","Excluded — reviewed, accepted",IF($B116=24,"OK","Expected 24, has "&amp;$B116))</f>
        <v>OK</v>
      </c>
    </row>
    <row r="117" spans="1:3" x14ac:dyDescent="0.3">
      <c r="A117" s="13" t="s">
        <v>5199</v>
      </c>
      <c r="B117" s="19">
        <f>COUNTIF(SSC_Ontology_Ver0.5!$A$2493:$A$4976,"entity:SSC_"&amp;$A117&amp;"*")+COUNTIF(SSC_Ontology_Ver0.5!$A$5014:$A$5120,"entity:SSC_"&amp;$A117&amp;"*")</f>
        <v>24</v>
      </c>
      <c r="C117" s="25" t="str">
        <f>IF($A117="VAV0063","Excluded — reviewed, accepted",IF($B117=24,"OK","Expected 24, has "&amp;$B117))</f>
        <v>OK</v>
      </c>
    </row>
    <row r="118" spans="1:3" x14ac:dyDescent="0.3">
      <c r="A118" s="13" t="s">
        <v>5200</v>
      </c>
      <c r="B118" s="19">
        <f>COUNTIF(SSC_Ontology_Ver0.5!$A$2493:$A$4976,"entity:SSC_"&amp;$A118&amp;"*")+COUNTIF(SSC_Ontology_Ver0.5!$A$5014:$A$5120,"entity:SSC_"&amp;$A118&amp;"*")</f>
        <v>24</v>
      </c>
      <c r="C118" s="25" t="str">
        <f>IF($A118="VAV0063","Excluded — reviewed, accepted",IF($B118=24,"OK","Expected 24, has "&amp;$B118))</f>
        <v>OK</v>
      </c>
    </row>
    <row r="119" spans="1:3" x14ac:dyDescent="0.3">
      <c r="A119" s="13" t="s">
        <v>5201</v>
      </c>
      <c r="B119" s="19">
        <f>COUNTIF(SSC_Ontology_Ver0.5!$A$2493:$A$4976,"entity:SSC_"&amp;$A119&amp;"*")+COUNTIF(SSC_Ontology_Ver0.5!$A$5014:$A$5120,"entity:SSC_"&amp;$A119&amp;"*")</f>
        <v>24</v>
      </c>
      <c r="C119" s="25" t="str">
        <f>IF($A119="VAV0063","Excluded — reviewed, accepted",IF($B119=24,"OK","Expected 24, has "&amp;$B119))</f>
        <v>OK</v>
      </c>
    </row>
    <row r="120" spans="1:3" x14ac:dyDescent="0.3">
      <c r="A120" s="13" t="s">
        <v>5202</v>
      </c>
      <c r="B120" s="19">
        <f>COUNTIF(SSC_Ontology_Ver0.5!$A$2493:$A$4976,"entity:SSC_"&amp;$A120&amp;"*")+COUNTIF(SSC_Ontology_Ver0.5!$A$5014:$A$5120,"entity:SSC_"&amp;$A120&amp;"*")</f>
        <v>24</v>
      </c>
      <c r="C120" s="25" t="str">
        <f>IF($A120="VAV0063","Excluded — reviewed, accepted",IF($B120=24,"OK","Expected 24, has "&amp;$B120))</f>
        <v>OK</v>
      </c>
    </row>
    <row r="121" spans="1:3" x14ac:dyDescent="0.3">
      <c r="A121" s="13" t="s">
        <v>5203</v>
      </c>
      <c r="B121" s="19">
        <f>COUNTIF(SSC_Ontology_Ver0.5!$A$2493:$A$4976,"entity:SSC_"&amp;$A121&amp;"*")+COUNTIF(SSC_Ontology_Ver0.5!$A$5014:$A$5120,"entity:SSC_"&amp;$A121&amp;"*")</f>
        <v>24</v>
      </c>
      <c r="C121" s="25" t="str">
        <f>IF($A121="VAV0063","Excluded — reviewed, accepted",IF($B121=24,"OK","Expected 24, has "&amp;$B121))</f>
        <v>OK</v>
      </c>
    </row>
    <row r="122" spans="1:3" x14ac:dyDescent="0.3">
      <c r="A122" s="13" t="s">
        <v>5204</v>
      </c>
      <c r="B122" s="19">
        <f>COUNTIF(SSC_Ontology_Ver0.5!$A$2493:$A$4976,"entity:SSC_"&amp;$A122&amp;"*")+COUNTIF(SSC_Ontology_Ver0.5!$A$5014:$A$5120,"entity:SSC_"&amp;$A122&amp;"*")</f>
        <v>24</v>
      </c>
      <c r="C122" s="25" t="str">
        <f>IF($A122="VAV0063","Excluded — reviewed, accepted",IF($B122=24,"OK","Expected 24, has "&amp;$B122))</f>
        <v>OK</v>
      </c>
    </row>
    <row r="123" spans="1:3" x14ac:dyDescent="0.3">
      <c r="A123" s="13" t="s">
        <v>5205</v>
      </c>
      <c r="B123" s="19">
        <f>COUNTIF(SSC_Ontology_Ver0.5!$A$2493:$A$4976,"entity:SSC_"&amp;$A123&amp;"*")+COUNTIF(SSC_Ontology_Ver0.5!$A$5014:$A$5120,"entity:SSC_"&amp;$A123&amp;"*")</f>
        <v>24</v>
      </c>
      <c r="C123" s="25" t="str">
        <f>IF($A123="VAV0063","Excluded — reviewed, accepted",IF($B123=24,"OK","Expected 24, has "&amp;$B123))</f>
        <v>OK</v>
      </c>
    </row>
    <row r="124" spans="1:3" x14ac:dyDescent="0.3">
      <c r="A124" s="13" t="s">
        <v>5206</v>
      </c>
      <c r="B124" s="19">
        <f>COUNTIF(SSC_Ontology_Ver0.5!$A$2493:$A$4976,"entity:SSC_"&amp;$A124&amp;"*")+COUNTIF(SSC_Ontology_Ver0.5!$A$5014:$A$5120,"entity:SSC_"&amp;$A124&amp;"*")</f>
        <v>24</v>
      </c>
      <c r="C124" s="25" t="str">
        <f>IF($A124="VAV0063","Excluded — reviewed, accepted",IF($B124=24,"OK","Expected 24, has "&amp;$B124))</f>
        <v>OK</v>
      </c>
    </row>
    <row r="125" spans="1:3" x14ac:dyDescent="0.3">
      <c r="A125" s="13" t="s">
        <v>5207</v>
      </c>
      <c r="B125" s="19">
        <f>COUNTIF(SSC_Ontology_Ver0.5!$A$2493:$A$4976,"entity:SSC_"&amp;$A125&amp;"*")+COUNTIF(SSC_Ontology_Ver0.5!$A$5014:$A$5120,"entity:SSC_"&amp;$A125&amp;"*")</f>
        <v>24</v>
      </c>
      <c r="C125" s="25" t="str">
        <f>IF($A125="VAV0063","Excluded — reviewed, accepted",IF($B125=24,"OK","Expected 24, has "&amp;$B125))</f>
        <v>OK</v>
      </c>
    </row>
    <row r="126" spans="1:3" x14ac:dyDescent="0.3">
      <c r="A126" s="13" t="s">
        <v>5208</v>
      </c>
      <c r="B126" s="19">
        <f>COUNTIF(SSC_Ontology_Ver0.5!$A$2493:$A$4976,"entity:SSC_"&amp;$A126&amp;"*")+COUNTIF(SSC_Ontology_Ver0.5!$A$5014:$A$5120,"entity:SSC_"&amp;$A126&amp;"*")</f>
        <v>24</v>
      </c>
      <c r="C126" s="25" t="str">
        <f>IF($A126="VAV0063","Excluded — reviewed, accepted",IF($B126=24,"OK","Expected 24, has "&amp;$B126))</f>
        <v>OK</v>
      </c>
    </row>
    <row r="127" spans="1:3" x14ac:dyDescent="0.3">
      <c r="A127" s="13" t="s">
        <v>5209</v>
      </c>
      <c r="B127" s="19">
        <f>COUNTIF(SSC_Ontology_Ver0.5!$A$2493:$A$4976,"entity:SSC_"&amp;$A127&amp;"*")+COUNTIF(SSC_Ontology_Ver0.5!$A$5014:$A$5120,"entity:SSC_"&amp;$A127&amp;"*")</f>
        <v>24</v>
      </c>
      <c r="C127" s="25" t="str">
        <f>IF($A127="VAV0063","Excluded — reviewed, accepted",IF($B127=24,"OK","Expected 24, has "&amp;$B127))</f>
        <v>OK</v>
      </c>
    </row>
    <row r="128" spans="1:3" x14ac:dyDescent="0.3">
      <c r="A128" s="13" t="s">
        <v>5210</v>
      </c>
      <c r="B128" s="19">
        <f>COUNTIF(SSC_Ontology_Ver0.5!$A$2493:$A$4976,"entity:SSC_"&amp;$A128&amp;"*")+COUNTIF(SSC_Ontology_Ver0.5!$A$5014:$A$5120,"entity:SSC_"&amp;$A128&amp;"*")</f>
        <v>24</v>
      </c>
      <c r="C128" s="25" t="str">
        <f>IF($A128="VAV0063","Excluded — reviewed, accepted",IF($B128=24,"OK","Expected 24, has "&amp;$B128))</f>
        <v>OK</v>
      </c>
    </row>
    <row r="129" spans="1:3" x14ac:dyDescent="0.3">
      <c r="A129" s="13" t="s">
        <v>5211</v>
      </c>
      <c r="B129" s="19">
        <f>COUNTIF(SSC_Ontology_Ver0.5!$A$2493:$A$4976,"entity:SSC_"&amp;$A129&amp;"*")+COUNTIF(SSC_Ontology_Ver0.5!$A$5014:$A$5120,"entity:SSC_"&amp;$A129&amp;"*")</f>
        <v>24</v>
      </c>
      <c r="C129" s="25" t="str">
        <f>IF($A129="VAV0063","Excluded — reviewed, accepted",IF($B129=24,"OK","Expected 24, has "&amp;$B129))</f>
        <v>OK</v>
      </c>
    </row>
    <row r="130" spans="1:3" x14ac:dyDescent="0.3">
      <c r="A130" s="13" t="s">
        <v>5212</v>
      </c>
      <c r="B130" s="19">
        <f>COUNTIF(SSC_Ontology_Ver0.5!$A$2493:$A$4976,"entity:SSC_"&amp;$A130&amp;"*")+COUNTIF(SSC_Ontology_Ver0.5!$A$5014:$A$5120,"entity:SSC_"&amp;$A130&amp;"*")</f>
        <v>24</v>
      </c>
      <c r="C130" s="25" t="str">
        <f>IF($A130="VAV0063","Excluded — reviewed, accepted",IF($B130=24,"OK","Expected 24, has "&amp;$B130))</f>
        <v>OK</v>
      </c>
    </row>
    <row r="131" spans="1:3" x14ac:dyDescent="0.3">
      <c r="A131" s="13" t="s">
        <v>5213</v>
      </c>
      <c r="B131" s="19">
        <f>COUNTIF(SSC_Ontology_Ver0.5!$A$2493:$A$4976,"entity:SSC_"&amp;$A131&amp;"*")+COUNTIF(SSC_Ontology_Ver0.5!$A$5014:$A$5120,"entity:SSC_"&amp;$A131&amp;"*")</f>
        <v>24</v>
      </c>
      <c r="C131" s="25" t="str">
        <f>IF($A131="VAV0063","Excluded — reviewed, accepted",IF($B131=24,"OK","Expected 24, has "&amp;$B131))</f>
        <v>OK</v>
      </c>
    </row>
    <row r="132" spans="1:3" x14ac:dyDescent="0.3">
      <c r="A132" s="13" t="s">
        <v>5214</v>
      </c>
      <c r="B132" s="19">
        <f>COUNTIF(SSC_Ontology_Ver0.5!$A$2493:$A$4976,"entity:SSC_"&amp;$A132&amp;"*")+COUNTIF(SSC_Ontology_Ver0.5!$A$5014:$A$5120,"entity:SSC_"&amp;$A132&amp;"*")</f>
        <v>24</v>
      </c>
      <c r="C132" s="25" t="str">
        <f>IF($A132="VAV0063","Excluded — reviewed, accepted",IF($B132=24,"OK","Expected 24, has "&amp;$B132))</f>
        <v>OK</v>
      </c>
    </row>
    <row r="133" spans="1:3" x14ac:dyDescent="0.3">
      <c r="A133" s="13" t="s">
        <v>5215</v>
      </c>
      <c r="B133" s="19">
        <f>COUNTIF(SSC_Ontology_Ver0.5!$A$2493:$A$4976,"entity:SSC_"&amp;$A133&amp;"*")+COUNTIF(SSC_Ontology_Ver0.5!$A$5014:$A$5120,"entity:SSC_"&amp;$A133&amp;"*")</f>
        <v>24</v>
      </c>
      <c r="C133" s="25" t="str">
        <f>IF($A133="VAV0063","Excluded — reviewed, accepted",IF($B133=24,"OK","Expected 24, has "&amp;$B133))</f>
        <v>OK</v>
      </c>
    </row>
    <row r="134" spans="1:3" x14ac:dyDescent="0.3">
      <c r="A134" s="13" t="s">
        <v>5216</v>
      </c>
      <c r="B134" s="19">
        <f>COUNTIF(SSC_Ontology_Ver0.5!$A$2493:$A$4976,"entity:SSC_"&amp;$A134&amp;"*")+COUNTIF(SSC_Ontology_Ver0.5!$A$5014:$A$5120,"entity:SSC_"&amp;$A134&amp;"*")</f>
        <v>24</v>
      </c>
      <c r="C134" s="25" t="str">
        <f>IF($A134="VAV0063","Excluded — reviewed, accepted",IF($B134=24,"OK","Expected 24, has "&amp;$B134))</f>
        <v>OK</v>
      </c>
    </row>
    <row r="135" spans="1:3" x14ac:dyDescent="0.3">
      <c r="A135" s="13" t="s">
        <v>5217</v>
      </c>
      <c r="B135" s="19">
        <f>COUNTIF(SSC_Ontology_Ver0.5!$A$2493:$A$4976,"entity:SSC_"&amp;$A135&amp;"*")+COUNTIF(SSC_Ontology_Ver0.5!$A$5014:$A$5120,"entity:SSC_"&amp;$A135&amp;"*")</f>
        <v>24</v>
      </c>
      <c r="C135" s="25" t="str">
        <f>IF($A135="VAV0063","Excluded — reviewed, accepted",IF($B135=24,"OK","Expected 24, has "&amp;$B135))</f>
        <v>OK</v>
      </c>
    </row>
    <row r="136" spans="1:3" x14ac:dyDescent="0.3">
      <c r="A136" s="13" t="s">
        <v>5218</v>
      </c>
      <c r="B136" s="19">
        <f>COUNTIF(SSC_Ontology_Ver0.5!$A$2493:$A$4976,"entity:SSC_"&amp;$A136&amp;"*")+COUNTIF(SSC_Ontology_Ver0.5!$A$5014:$A$5120,"entity:SSC_"&amp;$A136&amp;"*")</f>
        <v>24</v>
      </c>
      <c r="C136" s="25" t="str">
        <f>IF($A136="VAV0063","Excluded — reviewed, accepted",IF($B136=24,"OK","Expected 24, has "&amp;$B136))</f>
        <v>OK</v>
      </c>
    </row>
    <row r="137" spans="1:3" x14ac:dyDescent="0.3">
      <c r="A137" s="13" t="s">
        <v>5219</v>
      </c>
      <c r="B137" s="19">
        <f>COUNTIF(SSC_Ontology_Ver0.5!$A$2493:$A$4976,"entity:SSC_"&amp;$A137&amp;"*")+COUNTIF(SSC_Ontology_Ver0.5!$A$5014:$A$5120,"entity:SSC_"&amp;$A137&amp;"*")</f>
        <v>24</v>
      </c>
      <c r="C137" s="25" t="str">
        <f>IF($A137="VAV0063","Excluded — reviewed, accepted",IF($B137=24,"OK","Expected 24, has "&amp;$B137))</f>
        <v>OK</v>
      </c>
    </row>
    <row r="138" spans="1:3" x14ac:dyDescent="0.3">
      <c r="A138" s="13" t="s">
        <v>5220</v>
      </c>
      <c r="B138" s="19">
        <f>COUNTIF(SSC_Ontology_Ver0.5!$A$2493:$A$4976,"entity:SSC_"&amp;$A138&amp;"*")+COUNTIF(SSC_Ontology_Ver0.5!$A$5014:$A$5120,"entity:SSC_"&amp;$A138&amp;"*")</f>
        <v>24</v>
      </c>
      <c r="C138" s="25" t="str">
        <f>IF($A138="VAV0063","Excluded — reviewed, accepted",IF($B138=24,"OK","Expected 24, has "&amp;$B138))</f>
        <v>OK</v>
      </c>
    </row>
    <row r="139" spans="1:3" x14ac:dyDescent="0.3">
      <c r="A139" s="13" t="s">
        <v>5221</v>
      </c>
      <c r="B139" s="19">
        <f>COUNTIF(SSC_Ontology_Ver0.5!$A$2493:$A$4976,"entity:SSC_"&amp;$A139&amp;"*")+COUNTIF(SSC_Ontology_Ver0.5!$A$5014:$A$5120,"entity:SSC_"&amp;$A139&amp;"*")</f>
        <v>24</v>
      </c>
      <c r="C139" s="25" t="str">
        <f>IF($A139="VAV0063","Excluded — reviewed, accepted",IF($B139=24,"OK","Expected 24, has "&amp;$B139))</f>
        <v>OK</v>
      </c>
    </row>
    <row r="140" spans="1:3" x14ac:dyDescent="0.3">
      <c r="A140" s="13" t="s">
        <v>5222</v>
      </c>
      <c r="B140" s="19">
        <f>COUNTIF(SSC_Ontology_Ver0.5!$A$2493:$A$4976,"entity:SSC_"&amp;$A140&amp;"*")+COUNTIF(SSC_Ontology_Ver0.5!$A$5014:$A$5120,"entity:SSC_"&amp;$A140&amp;"*")</f>
        <v>24</v>
      </c>
      <c r="C140" s="25" t="str">
        <f>IF($A140="VAV0063","Excluded — reviewed, accepted",IF($B140=24,"OK","Expected 24, has "&amp;$B140))</f>
        <v>OK</v>
      </c>
    </row>
    <row r="141" spans="1:3" x14ac:dyDescent="0.3">
      <c r="A141" s="13" t="s">
        <v>5223</v>
      </c>
      <c r="B141" s="19">
        <f>COUNTIF(SSC_Ontology_Ver0.5!$A$2493:$A$4976,"entity:SSC_"&amp;$A141&amp;"*")+COUNTIF(SSC_Ontology_Ver0.5!$A$5014:$A$5120,"entity:SSC_"&amp;$A141&amp;"*")</f>
        <v>24</v>
      </c>
      <c r="C141" s="25" t="str">
        <f>IF($A141="VAV0063","Excluded — reviewed, accepted",IF($B141=24,"OK","Expected 24, has "&amp;$B141))</f>
        <v>OK</v>
      </c>
    </row>
    <row r="142" spans="1:3" x14ac:dyDescent="0.3">
      <c r="A142" s="13" t="s">
        <v>5224</v>
      </c>
      <c r="B142" s="19">
        <f>COUNTIF(SSC_Ontology_Ver0.5!$A$2493:$A$4976,"entity:SSC_"&amp;$A142&amp;"*")+COUNTIF(SSC_Ontology_Ver0.5!$A$5014:$A$5120,"entity:SSC_"&amp;$A142&amp;"*")</f>
        <v>24</v>
      </c>
      <c r="C142" s="25" t="str">
        <f>IF($A142="VAV0063","Excluded — reviewed, accepted",IF($B142=24,"OK","Expected 24, has "&amp;$B142))</f>
        <v>OK</v>
      </c>
    </row>
    <row r="143" spans="1:3" x14ac:dyDescent="0.3">
      <c r="A143" s="13" t="s">
        <v>5225</v>
      </c>
      <c r="B143" s="19">
        <f>COUNTIF(SSC_Ontology_Ver0.5!$A$2493:$A$4976,"entity:SSC_"&amp;$A143&amp;"*")+COUNTIF(SSC_Ontology_Ver0.5!$A$5014:$A$5120,"entity:SSC_"&amp;$A143&amp;"*")</f>
        <v>24</v>
      </c>
      <c r="C143" s="25" t="str">
        <f>IF($A143="VAV0063","Excluded — reviewed, accepted",IF($B143=24,"OK","Expected 24, has "&amp;$B143))</f>
        <v>OK</v>
      </c>
    </row>
    <row r="144" spans="1:3" x14ac:dyDescent="0.3">
      <c r="A144" s="13" t="s">
        <v>5226</v>
      </c>
      <c r="B144" s="19">
        <f>COUNTIF(SSC_Ontology_Ver0.5!$A$2493:$A$4976,"entity:SSC_"&amp;$A144&amp;"*")+COUNTIF(SSC_Ontology_Ver0.5!$A$5014:$A$5120,"entity:SSC_"&amp;$A144&amp;"*")</f>
        <v>24</v>
      </c>
      <c r="C144" s="25" t="str">
        <f>IF($A144="VAV0063","Excluded — reviewed, accepted",IF($B144=24,"OK","Expected 24, has "&amp;$B144))</f>
        <v>OK</v>
      </c>
    </row>
    <row r="145" spans="1:3" x14ac:dyDescent="0.3">
      <c r="A145" s="13" t="s">
        <v>5227</v>
      </c>
      <c r="B145" s="19">
        <f>COUNTIF(SSC_Ontology_Ver0.5!$A$2493:$A$4976,"entity:SSC_"&amp;$A145&amp;"*")+COUNTIF(SSC_Ontology_Ver0.5!$A$5014:$A$5120,"entity:SSC_"&amp;$A145&amp;"*")</f>
        <v>24</v>
      </c>
      <c r="C145" s="25" t="str">
        <f>IF($A145="VAV0063","Excluded — reviewed, accepted",IF($B145=24,"OK","Expected 24, has "&amp;$B145))</f>
        <v>OK</v>
      </c>
    </row>
    <row r="146" spans="1:3" x14ac:dyDescent="0.3">
      <c r="A146" s="13" t="s">
        <v>5228</v>
      </c>
      <c r="B146" s="19">
        <f>COUNTIF(SSC_Ontology_Ver0.5!$A$2493:$A$4976,"entity:SSC_"&amp;$A146&amp;"*")+COUNTIF(SSC_Ontology_Ver0.5!$A$5014:$A$5120,"entity:SSC_"&amp;$A146&amp;"*")</f>
        <v>24</v>
      </c>
      <c r="C146" s="25" t="str">
        <f>IF($A146="VAV0063","Excluded — reviewed, accepted",IF($B146=24,"OK","Expected 24, has "&amp;$B146))</f>
        <v>OK</v>
      </c>
    </row>
    <row r="147" spans="1:3" x14ac:dyDescent="0.3">
      <c r="A147" s="13" t="s">
        <v>5229</v>
      </c>
      <c r="B147" s="19">
        <f>COUNTIF(SSC_Ontology_Ver0.5!$A$2493:$A$4976,"entity:SSC_"&amp;$A147&amp;"*")+COUNTIF(SSC_Ontology_Ver0.5!$A$5014:$A$5120,"entity:SSC_"&amp;$A147&amp;"*")</f>
        <v>24</v>
      </c>
      <c r="C147" s="25" t="str">
        <f>IF($A147="VAV0063","Excluded — reviewed, accepted",IF($B147=24,"OK","Expected 24, has "&amp;$B147))</f>
        <v>OK</v>
      </c>
    </row>
    <row r="148" spans="1:3" x14ac:dyDescent="0.3">
      <c r="A148" s="13" t="s">
        <v>5230</v>
      </c>
      <c r="B148" s="19">
        <f>COUNTIF(SSC_Ontology_Ver0.5!$A$2493:$A$4976,"entity:SSC_"&amp;$A148&amp;"*")+COUNTIF(SSC_Ontology_Ver0.5!$A$5014:$A$5120,"entity:SSC_"&amp;$A148&amp;"*")</f>
        <v>24</v>
      </c>
      <c r="C148" s="25" t="str">
        <f>IF($A148="VAV0063","Excluded — reviewed, accepted",IF($B148=24,"OK","Expected 24, has "&amp;$B148))</f>
        <v>OK</v>
      </c>
    </row>
    <row r="149" spans="1:3" x14ac:dyDescent="0.3">
      <c r="A149" s="13" t="s">
        <v>5231</v>
      </c>
      <c r="B149" s="19">
        <f>COUNTIF(SSC_Ontology_Ver0.5!$A$2493:$A$4976,"entity:SSC_"&amp;$A149&amp;"*")+COUNTIF(SSC_Ontology_Ver0.5!$A$5014:$A$5120,"entity:SSC_"&amp;$A149&amp;"*")</f>
        <v>24</v>
      </c>
      <c r="C149" s="25" t="str">
        <f>IF($A149="VAV0063","Excluded — reviewed, accepted",IF($B149=24,"OK","Expected 24, has "&amp;$B149))</f>
        <v>OK</v>
      </c>
    </row>
    <row r="150" spans="1:3" x14ac:dyDescent="0.3">
      <c r="A150" s="13" t="s">
        <v>5232</v>
      </c>
      <c r="B150" s="19">
        <f>COUNTIF(SSC_Ontology_Ver0.5!$A$2493:$A$4976,"entity:SSC_"&amp;$A150&amp;"*")+COUNTIF(SSC_Ontology_Ver0.5!$A$5014:$A$5120,"entity:SSC_"&amp;$A150&amp;"*")</f>
        <v>24</v>
      </c>
      <c r="C150" s="25" t="str">
        <f>IF($A150="VAV0063","Excluded — reviewed, accepted",IF($B150=24,"OK","Expected 24, has "&amp;$B150))</f>
        <v>OK</v>
      </c>
    </row>
    <row r="151" spans="1:3" x14ac:dyDescent="0.3">
      <c r="A151" s="13" t="s">
        <v>5233</v>
      </c>
      <c r="B151" s="19">
        <f>COUNTIF(SSC_Ontology_Ver0.5!$A$2493:$A$4976,"entity:SSC_"&amp;$A151&amp;"*")+COUNTIF(SSC_Ontology_Ver0.5!$A$5014:$A$5120,"entity:SSC_"&amp;$A151&amp;"*")</f>
        <v>24</v>
      </c>
      <c r="C151" s="25" t="str">
        <f>IF($A151="VAV0063","Excluded — reviewed, accepted",IF($B151=24,"OK","Expected 24, has "&amp;$B151))</f>
        <v>OK</v>
      </c>
    </row>
    <row r="152" spans="1:3" x14ac:dyDescent="0.3">
      <c r="A152" s="13" t="s">
        <v>5234</v>
      </c>
      <c r="B152" s="19">
        <f>COUNTIF(SSC_Ontology_Ver0.5!$A$2493:$A$4976,"entity:SSC_"&amp;$A152&amp;"*")+COUNTIF(SSC_Ontology_Ver0.5!$A$5014:$A$5120,"entity:SSC_"&amp;$A152&amp;"*")</f>
        <v>23</v>
      </c>
      <c r="C152" s="25" t="str">
        <f>IF($A152="VAV0063","Excluded — reviewed, accepted",IF($B152=24,"OK","Expected 24, has "&amp;$B152))</f>
        <v>Excluded — reviewed, accepted</v>
      </c>
    </row>
    <row r="153" spans="1:3" x14ac:dyDescent="0.3">
      <c r="A153" s="13" t="s">
        <v>5235</v>
      </c>
      <c r="B153" s="19">
        <f>COUNTIF(SSC_Ontology_Ver0.5!$A$2493:$A$4976,"entity:SSC_"&amp;$A153&amp;"*")+COUNTIF(SSC_Ontology_Ver0.5!$A$5014:$A$5120,"entity:SSC_"&amp;$A153&amp;"*")</f>
        <v>24</v>
      </c>
      <c r="C153" s="25" t="str">
        <f>IF($A153="VAV0063","Excluded — reviewed, accepted",IF($B153=24,"OK","Expected 24, has "&amp;$B153))</f>
        <v>OK</v>
      </c>
    </row>
    <row r="154" spans="1:3" x14ac:dyDescent="0.3">
      <c r="A154" s="13" t="s">
        <v>5236</v>
      </c>
      <c r="B154" s="19">
        <f>COUNTIF(SSC_Ontology_Ver0.5!$A$2493:$A$4976,"entity:SSC_"&amp;$A154&amp;"*")+COUNTIF(SSC_Ontology_Ver0.5!$A$5014:$A$5120,"entity:SSC_"&amp;$A154&amp;"*")</f>
        <v>24</v>
      </c>
      <c r="C154" s="25" t="str">
        <f>IF($A154="VAV0063","Excluded — reviewed, accepted",IF($B154=24,"OK","Expected 24, has "&amp;$B154))</f>
        <v>OK</v>
      </c>
    </row>
    <row r="155" spans="1:3" x14ac:dyDescent="0.3">
      <c r="A155" s="13" t="s">
        <v>5237</v>
      </c>
      <c r="B155" s="19">
        <f>COUNTIF(SSC_Ontology_Ver0.5!$A$2493:$A$4976,"entity:SSC_"&amp;$A155&amp;"*")+COUNTIF(SSC_Ontology_Ver0.5!$A$5014:$A$5120,"entity:SSC_"&amp;$A155&amp;"*")</f>
        <v>24</v>
      </c>
      <c r="C155" s="25" t="str">
        <f>IF($A155="VAV0063","Excluded — reviewed, accepted",IF($B155=24,"OK","Expected 24, has "&amp;$B155))</f>
        <v>OK</v>
      </c>
    </row>
    <row r="156" spans="1:3" x14ac:dyDescent="0.3">
      <c r="A156" s="13" t="s">
        <v>5238</v>
      </c>
      <c r="B156" s="19">
        <f>COUNTIF(SSC_Ontology_Ver0.5!$A$2493:$A$4976,"entity:SSC_"&amp;$A156&amp;"*")+COUNTIF(SSC_Ontology_Ver0.5!$A$5014:$A$5120,"entity:SSC_"&amp;$A156&amp;"*")</f>
        <v>24</v>
      </c>
      <c r="C156" s="25" t="str">
        <f>IF($A156="VAV0063","Excluded — reviewed, accepted",IF($B156=24,"OK","Expected 24, has "&amp;$B156))</f>
        <v>OK</v>
      </c>
    </row>
    <row r="157" spans="1:3" x14ac:dyDescent="0.3">
      <c r="A157" s="13" t="s">
        <v>5239</v>
      </c>
      <c r="B157" s="19">
        <f>COUNTIF(SSC_Ontology_Ver0.5!$A$2493:$A$4976,"entity:SSC_"&amp;$A157&amp;"*")+COUNTIF(SSC_Ontology_Ver0.5!$A$5014:$A$5120,"entity:SSC_"&amp;$A157&amp;"*")</f>
        <v>24</v>
      </c>
      <c r="C157" s="25" t="str">
        <f>IF($A157="VAV0063","Excluded — reviewed, accepted",IF($B157=24,"OK","Expected 24, has "&amp;$B157))</f>
        <v>OK</v>
      </c>
    </row>
    <row r="158" spans="1:3" x14ac:dyDescent="0.3">
      <c r="A158" s="13" t="s">
        <v>5240</v>
      </c>
      <c r="B158" s="19">
        <f>COUNTIF(SSC_Ontology_Ver0.5!$A$2493:$A$4976,"entity:SSC_"&amp;$A158&amp;"*")+COUNTIF(SSC_Ontology_Ver0.5!$A$5014:$A$5120,"entity:SSC_"&amp;$A158&amp;"*")</f>
        <v>24</v>
      </c>
      <c r="C158" s="25" t="str">
        <f>IF($A158="VAV0063","Excluded — reviewed, accepted",IF($B158=24,"OK","Expected 24, has "&amp;$B158))</f>
        <v>OK</v>
      </c>
    </row>
    <row r="159" spans="1:3" x14ac:dyDescent="0.3">
      <c r="A159" s="13" t="s">
        <v>5241</v>
      </c>
      <c r="B159" s="19">
        <f>COUNTIF(SSC_Ontology_Ver0.5!$A$2493:$A$4976,"entity:SSC_"&amp;$A159&amp;"*")+COUNTIF(SSC_Ontology_Ver0.5!$A$5014:$A$5120,"entity:SSC_"&amp;$A159&amp;"*")</f>
        <v>24</v>
      </c>
      <c r="C159" s="25" t="str">
        <f>IF($A159="VAV0063","Excluded — reviewed, accepted",IF($B159=24,"OK","Expected 24, has "&amp;$B159))</f>
        <v>OK</v>
      </c>
    </row>
    <row r="160" spans="1:3" x14ac:dyDescent="0.3">
      <c r="A160" s="13" t="s">
        <v>5242</v>
      </c>
      <c r="B160" s="19">
        <f>COUNTIF(SSC_Ontology_Ver0.5!$A$2493:$A$4976,"entity:SSC_"&amp;$A160&amp;"*")+COUNTIF(SSC_Ontology_Ver0.5!$A$5014:$A$5120,"entity:SSC_"&amp;$A160&amp;"*")</f>
        <v>24</v>
      </c>
      <c r="C160" s="25" t="str">
        <f>IF($A160="VAV0063","Excluded — reviewed, accepted",IF($B160=24,"OK","Expected 24, has "&amp;$B160))</f>
        <v>OK</v>
      </c>
    </row>
    <row r="161" spans="1:3" x14ac:dyDescent="0.3">
      <c r="A161" s="13" t="s">
        <v>5243</v>
      </c>
      <c r="B161" s="19">
        <f>COUNTIF(SSC_Ontology_Ver0.5!$A$2493:$A$4976,"entity:SSC_"&amp;$A161&amp;"*")+COUNTIF(SSC_Ontology_Ver0.5!$A$5014:$A$5120,"entity:SSC_"&amp;$A161&amp;"*")</f>
        <v>24</v>
      </c>
      <c r="C161" s="25" t="str">
        <f>IF($A161="VAV0063","Excluded — reviewed, accepted",IF($B161=24,"OK","Expected 24, has "&amp;$B161))</f>
        <v>OK</v>
      </c>
    </row>
    <row r="162" spans="1:3" x14ac:dyDescent="0.3">
      <c r="A162" s="13" t="s">
        <v>5244</v>
      </c>
      <c r="B162" s="19">
        <f>COUNTIF(SSC_Ontology_Ver0.5!$A$2493:$A$4976,"entity:SSC_"&amp;$A162&amp;"*")+COUNTIF(SSC_Ontology_Ver0.5!$A$5014:$A$5120,"entity:SSC_"&amp;$A162&amp;"*")</f>
        <v>24</v>
      </c>
      <c r="C162" s="25" t="str">
        <f>IF($A162="VAV0063","Excluded — reviewed, accepted",IF($B162=24,"OK","Expected 24, has "&amp;$B162))</f>
        <v>OK</v>
      </c>
    </row>
    <row r="163" spans="1:3" x14ac:dyDescent="0.3">
      <c r="A163" s="13" t="s">
        <v>5245</v>
      </c>
      <c r="B163" s="19">
        <f>COUNTIF(SSC_Ontology_Ver0.5!$A$2493:$A$4976,"entity:SSC_"&amp;$A163&amp;"*")+COUNTIF(SSC_Ontology_Ver0.5!$A$5014:$A$5120,"entity:SSC_"&amp;$A163&amp;"*")</f>
        <v>24</v>
      </c>
      <c r="C163" s="25" t="str">
        <f>IF($A163="VAV0063","Excluded — reviewed, accepted",IF($B163=24,"OK","Expected 24, has "&amp;$B163))</f>
        <v>OK</v>
      </c>
    </row>
    <row r="164" spans="1:3" x14ac:dyDescent="0.3">
      <c r="A164" s="13" t="s">
        <v>5246</v>
      </c>
      <c r="B164" s="19">
        <f>COUNTIF(SSC_Ontology_Ver0.5!$A$2493:$A$4976,"entity:SSC_"&amp;$A164&amp;"*")+COUNTIF(SSC_Ontology_Ver0.5!$A$5014:$A$5120,"entity:SSC_"&amp;$A164&amp;"*")</f>
        <v>24</v>
      </c>
      <c r="C164" s="25" t="str">
        <f>IF($A164="VAV0063","Excluded — reviewed, accepted",IF($B164=24,"OK","Expected 24, has "&amp;$B164))</f>
        <v>OK</v>
      </c>
    </row>
    <row r="165" spans="1:3" x14ac:dyDescent="0.3">
      <c r="A165" s="13" t="s">
        <v>5247</v>
      </c>
      <c r="B165" s="19">
        <f>COUNTIF(SSC_Ontology_Ver0.5!$A$2493:$A$4976,"entity:SSC_"&amp;$A165&amp;"*")+COUNTIF(SSC_Ontology_Ver0.5!$A$5014:$A$5120,"entity:SSC_"&amp;$A165&amp;"*")</f>
        <v>24</v>
      </c>
      <c r="C165" s="25" t="str">
        <f>IF($A165="VAV0063","Excluded — reviewed, accepted",IF($B165=24,"OK","Expected 24, has "&amp;$B165))</f>
        <v>OK</v>
      </c>
    </row>
    <row r="166" spans="1:3" x14ac:dyDescent="0.3">
      <c r="A166" s="13" t="s">
        <v>5248</v>
      </c>
      <c r="B166" s="19">
        <f>COUNTIF(SSC_Ontology_Ver0.5!$A$2493:$A$4976,"entity:SSC_"&amp;$A166&amp;"*")+COUNTIF(SSC_Ontology_Ver0.5!$A$5014:$A$5120,"entity:SSC_"&amp;$A166&amp;"*")</f>
        <v>24</v>
      </c>
      <c r="C166" s="25" t="str">
        <f>IF($A166="VAV0063","Excluded — reviewed, accepted",IF($B166=24,"OK","Expected 24, has "&amp;$B166))</f>
        <v>OK</v>
      </c>
    </row>
    <row r="167" spans="1:3" x14ac:dyDescent="0.3">
      <c r="A167" s="13" t="s">
        <v>5249</v>
      </c>
      <c r="B167" s="19">
        <f>COUNTIF(SSC_Ontology_Ver0.5!$A$2493:$A$4976,"entity:SSC_"&amp;$A167&amp;"*")+COUNTIF(SSC_Ontology_Ver0.5!$A$5014:$A$5120,"entity:SSC_"&amp;$A167&amp;"*")</f>
        <v>24</v>
      </c>
      <c r="C167" s="25" t="str">
        <f>IF($A167="VAV0063","Excluded — reviewed, accepted",IF($B167=24,"OK","Expected 24, has "&amp;$B167))</f>
        <v>OK</v>
      </c>
    </row>
    <row r="168" spans="1:3" x14ac:dyDescent="0.3">
      <c r="A168" s="13" t="s">
        <v>5250</v>
      </c>
      <c r="B168" s="19">
        <f>COUNTIF(SSC_Ontology_Ver0.5!$A$2493:$A$4976,"entity:SSC_"&amp;$A168&amp;"*")+COUNTIF(SSC_Ontology_Ver0.5!$A$5014:$A$5120,"entity:SSC_"&amp;$A168&amp;"*")</f>
        <v>24</v>
      </c>
      <c r="C168" s="25" t="str">
        <f>IF($A168="VAV0063","Excluded — reviewed, accepted",IF($B168=24,"OK","Expected 24, has "&amp;$B168))</f>
        <v>OK</v>
      </c>
    </row>
    <row r="169" spans="1:3" x14ac:dyDescent="0.3">
      <c r="A169" s="13" t="s">
        <v>5251</v>
      </c>
      <c r="B169" s="19">
        <f>COUNTIF(SSC_Ontology_Ver0.5!$A$2493:$A$4976,"entity:SSC_"&amp;$A169&amp;"*")+COUNTIF(SSC_Ontology_Ver0.5!$A$5014:$A$5120,"entity:SSC_"&amp;$A169&amp;"*")</f>
        <v>24</v>
      </c>
      <c r="C169" s="25" t="str">
        <f>IF($A169="VAV0063","Excluded — reviewed, accepted",IF($B169=24,"OK","Expected 24, has "&amp;$B169))</f>
        <v>OK</v>
      </c>
    </row>
    <row r="170" spans="1:3" x14ac:dyDescent="0.3">
      <c r="A170" s="13" t="s">
        <v>5252</v>
      </c>
      <c r="B170" s="19">
        <f>COUNTIF(SSC_Ontology_Ver0.5!$A$2493:$A$4976,"entity:SSC_"&amp;$A170&amp;"*")+COUNTIF(SSC_Ontology_Ver0.5!$A$5014:$A$5120,"entity:SSC_"&amp;$A170&amp;"*")</f>
        <v>24</v>
      </c>
      <c r="C170" s="25" t="str">
        <f>IF($A170="VAV0063","Excluded — reviewed, accepted",IF($B170=24,"OK","Expected 24, has "&amp;$B170))</f>
        <v>OK</v>
      </c>
    </row>
    <row r="171" spans="1:3" x14ac:dyDescent="0.3">
      <c r="A171" s="13" t="s">
        <v>5253</v>
      </c>
      <c r="B171" s="19">
        <f>COUNTIF(SSC_Ontology_Ver0.5!$A$2493:$A$4976,"entity:SSC_"&amp;$A171&amp;"*")+COUNTIF(SSC_Ontology_Ver0.5!$A$5014:$A$5120,"entity:SSC_"&amp;$A171&amp;"*")</f>
        <v>24</v>
      </c>
      <c r="C171" s="25" t="str">
        <f>IF($A171="VAV0063","Excluded — reviewed, accepted",IF($B171=24,"OK","Expected 24, has "&amp;$B171))</f>
        <v>OK</v>
      </c>
    </row>
    <row r="172" spans="1:3" x14ac:dyDescent="0.3">
      <c r="A172" s="13" t="s">
        <v>5254</v>
      </c>
      <c r="B172" s="19">
        <f>COUNTIF(SSC_Ontology_Ver0.5!$A$2493:$A$4976,"entity:SSC_"&amp;$A172&amp;"*")+COUNTIF(SSC_Ontology_Ver0.5!$A$5014:$A$5120,"entity:SSC_"&amp;$A172&amp;"*")</f>
        <v>24</v>
      </c>
      <c r="C172" s="25" t="str">
        <f>IF($A172="VAV0063","Excluded — reviewed, accepted",IF($B172=24,"OK","Expected 24, has "&amp;$B172))</f>
        <v>OK</v>
      </c>
    </row>
    <row r="173" spans="1:3" x14ac:dyDescent="0.3">
      <c r="A173" s="13" t="s">
        <v>5255</v>
      </c>
      <c r="B173" s="19">
        <f>COUNTIF(SSC_Ontology_Ver0.5!$A$2493:$A$4976,"entity:SSC_"&amp;$A173&amp;"*")+COUNTIF(SSC_Ontology_Ver0.5!$A$5014:$A$5120,"entity:SSC_"&amp;$A173&amp;"*")</f>
        <v>24</v>
      </c>
      <c r="C173" s="25" t="str">
        <f>IF($A173="VAV0063","Excluded — reviewed, accepted",IF($B173=24,"OK","Expected 24, has "&amp;$B173))</f>
        <v>OK</v>
      </c>
    </row>
    <row r="174" spans="1:3" x14ac:dyDescent="0.3">
      <c r="A174" s="13" t="s">
        <v>5256</v>
      </c>
      <c r="B174" s="19">
        <f>COUNTIF(SSC_Ontology_Ver0.5!$A$2493:$A$4976,"entity:SSC_"&amp;$A174&amp;"*")+COUNTIF(SSC_Ontology_Ver0.5!$A$5014:$A$5120,"entity:SSC_"&amp;$A174&amp;"*")</f>
        <v>24</v>
      </c>
      <c r="C174" s="25" t="str">
        <f>IF($A174="VAV0063","Excluded — reviewed, accepted",IF($B174=24,"OK","Expected 24, has "&amp;$B174))</f>
        <v>OK</v>
      </c>
    </row>
    <row r="175" spans="1:3" x14ac:dyDescent="0.3">
      <c r="A175" s="13" t="s">
        <v>5257</v>
      </c>
      <c r="B175" s="19">
        <f>COUNTIF(SSC_Ontology_Ver0.5!$A$2493:$A$4976,"entity:SSC_"&amp;$A175&amp;"*")+COUNTIF(SSC_Ontology_Ver0.5!$A$5014:$A$5120,"entity:SSC_"&amp;$A175&amp;"*")</f>
        <v>24</v>
      </c>
      <c r="C175" s="25" t="str">
        <f>IF($A175="VAV0063","Excluded — reviewed, accepted",IF($B175=24,"OK","Expected 24, has "&amp;$B175))</f>
        <v>OK</v>
      </c>
    </row>
    <row r="176" spans="1:3" x14ac:dyDescent="0.3">
      <c r="A176" s="13" t="s">
        <v>5258</v>
      </c>
      <c r="B176" s="19">
        <f>COUNTIF(SSC_Ontology_Ver0.5!$A$2493:$A$4976,"entity:SSC_"&amp;$A176&amp;"*")+COUNTIF(SSC_Ontology_Ver0.5!$A$5014:$A$5120,"entity:SSC_"&amp;$A176&amp;"*")</f>
        <v>24</v>
      </c>
      <c r="C176" s="25" t="str">
        <f>IF($A176="VAV0063","Excluded — reviewed, accepted",IF($B176=24,"OK","Expected 24, has "&amp;$B176))</f>
        <v>OK</v>
      </c>
    </row>
    <row r="177" spans="1:3" x14ac:dyDescent="0.3">
      <c r="A177" s="13" t="s">
        <v>5259</v>
      </c>
      <c r="B177" s="19">
        <f>COUNTIF(SSC_Ontology_Ver0.5!$A$2493:$A$4976,"entity:SSC_"&amp;$A177&amp;"*")+COUNTIF(SSC_Ontology_Ver0.5!$A$5014:$A$5120,"entity:SSC_"&amp;$A177&amp;"*")</f>
        <v>24</v>
      </c>
      <c r="C177" s="25" t="str">
        <f>IF($A177="VAV0063","Excluded — reviewed, accepted",IF($B177=24,"OK","Expected 24, has "&amp;$B177))</f>
        <v>OK</v>
      </c>
    </row>
    <row r="178" spans="1:3" x14ac:dyDescent="0.3">
      <c r="A178" s="13" t="s">
        <v>5260</v>
      </c>
      <c r="B178" s="19">
        <f>COUNTIF(SSC_Ontology_Ver0.5!$A$2493:$A$4976,"entity:SSC_"&amp;$A178&amp;"*")+COUNTIF(SSC_Ontology_Ver0.5!$A$5014:$A$5120,"entity:SSC_"&amp;$A178&amp;"*")</f>
        <v>24</v>
      </c>
      <c r="C178" s="25" t="str">
        <f>IF($A178="VAV0063","Excluded — reviewed, accepted",IF($B178=24,"OK","Expected 24, has "&amp;$B178))</f>
        <v>OK</v>
      </c>
    </row>
    <row r="179" spans="1:3" x14ac:dyDescent="0.3">
      <c r="A179" s="13" t="s">
        <v>5261</v>
      </c>
      <c r="B179" s="19">
        <f>COUNTIF(SSC_Ontology_Ver0.5!$A$2493:$A$4976,"entity:SSC_"&amp;$A179&amp;"*")+COUNTIF(SSC_Ontology_Ver0.5!$A$5014:$A$5120,"entity:SSC_"&amp;$A179&amp;"*")</f>
        <v>24</v>
      </c>
      <c r="C179" s="25" t="str">
        <f>IF($A179="VAV0063","Excluded — reviewed, accepted",IF($B179=24,"OK","Expected 24, has "&amp;$B179))</f>
        <v>OK</v>
      </c>
    </row>
    <row r="180" spans="1:3" x14ac:dyDescent="0.3">
      <c r="A180" s="13" t="s">
        <v>5262</v>
      </c>
      <c r="B180" s="19">
        <f>COUNTIF(SSC_Ontology_Ver0.5!$A$2493:$A$4976,"entity:SSC_"&amp;$A180&amp;"*")+COUNTIF(SSC_Ontology_Ver0.5!$A$5014:$A$5120,"entity:SSC_"&amp;$A180&amp;"*")</f>
        <v>24</v>
      </c>
      <c r="C180" s="25" t="str">
        <f>IF($A180="VAV0063","Excluded — reviewed, accepted",IF($B180=24,"OK","Expected 24, has "&amp;$B180))</f>
        <v>OK</v>
      </c>
    </row>
    <row r="181" spans="1:3" x14ac:dyDescent="0.3">
      <c r="A181" s="13" t="s">
        <v>5263</v>
      </c>
      <c r="B181" s="19">
        <f>COUNTIF(SSC_Ontology_Ver0.5!$A$2493:$A$4976,"entity:SSC_"&amp;$A181&amp;"*")+COUNTIF(SSC_Ontology_Ver0.5!$A$5014:$A$5120,"entity:SSC_"&amp;$A181&amp;"*")</f>
        <v>24</v>
      </c>
      <c r="C181" s="25" t="str">
        <f>IF($A181="VAV0063","Excluded — reviewed, accepted",IF($B181=24,"OK","Expected 24, has "&amp;$B181))</f>
        <v>OK</v>
      </c>
    </row>
    <row r="182" spans="1:3" x14ac:dyDescent="0.3">
      <c r="A182" s="13" t="s">
        <v>5264</v>
      </c>
      <c r="B182" s="19">
        <f>COUNTIF(SSC_Ontology_Ver0.5!$A$2493:$A$4976,"entity:SSC_"&amp;$A182&amp;"*")+COUNTIF(SSC_Ontology_Ver0.5!$A$5014:$A$5120,"entity:SSC_"&amp;$A182&amp;"*")</f>
        <v>24</v>
      </c>
      <c r="C182" s="25" t="str">
        <f>IF($A182="VAV0063","Excluded — reviewed, accepted",IF($B182=24,"OK","Expected 24, has "&amp;$B182))</f>
        <v>OK</v>
      </c>
    </row>
    <row r="183" spans="1:3" x14ac:dyDescent="0.3">
      <c r="A183" s="13" t="s">
        <v>5265</v>
      </c>
      <c r="B183" s="19">
        <f>COUNTIF(SSC_Ontology_Ver0.5!$A$2493:$A$4976,"entity:SSC_"&amp;$A183&amp;"*")+COUNTIF(SSC_Ontology_Ver0.5!$A$5014:$A$5120,"entity:SSC_"&amp;$A183&amp;"*")</f>
        <v>24</v>
      </c>
      <c r="C183" s="25" t="str">
        <f>IF($A183="VAV0063","Excluded — reviewed, accepted",IF($B183=24,"OK","Expected 24, has "&amp;$B183))</f>
        <v>OK</v>
      </c>
    </row>
    <row r="184" spans="1:3" x14ac:dyDescent="0.3">
      <c r="A184" s="13" t="s">
        <v>5266</v>
      </c>
      <c r="B184" s="19">
        <f>COUNTIF(SSC_Ontology_Ver0.5!$A$2493:$A$4976,"entity:SSC_"&amp;$A184&amp;"*")+COUNTIF(SSC_Ontology_Ver0.5!$A$5014:$A$5120,"entity:SSC_"&amp;$A184&amp;"*")</f>
        <v>24</v>
      </c>
      <c r="C184" s="25" t="str">
        <f>IF($A184="VAV0063","Excluded — reviewed, accepted",IF($B184=24,"OK","Expected 24, has "&amp;$B184))</f>
        <v>OK</v>
      </c>
    </row>
    <row r="185" spans="1:3" x14ac:dyDescent="0.3">
      <c r="A185" s="13" t="s">
        <v>5267</v>
      </c>
      <c r="B185" s="19">
        <f>COUNTIF(SSC_Ontology_Ver0.5!$A$2493:$A$4976,"entity:SSC_"&amp;$A185&amp;"*")+COUNTIF(SSC_Ontology_Ver0.5!$A$5014:$A$5120,"entity:SSC_"&amp;$A185&amp;"*")</f>
        <v>24</v>
      </c>
      <c r="C185" s="25" t="str">
        <f>IF($A185="VAV0063","Excluded — reviewed, accepted",IF($B185=24,"OK","Expected 24, has "&amp;$B185))</f>
        <v>OK</v>
      </c>
    </row>
    <row r="186" spans="1:3" x14ac:dyDescent="0.3">
      <c r="A186" s="13" t="s">
        <v>5268</v>
      </c>
      <c r="B186" s="19">
        <f>COUNTIF(SSC_Ontology_Ver0.5!$A$2493:$A$4976,"entity:SSC_"&amp;$A186&amp;"*")+COUNTIF(SSC_Ontology_Ver0.5!$A$5014:$A$5120,"entity:SSC_"&amp;$A186&amp;"*")</f>
        <v>24</v>
      </c>
      <c r="C186" s="25" t="str">
        <f>IF($A186="VAV0063","Excluded — reviewed, accepted",IF($B186=24,"OK","Expected 24, has "&amp;$B186))</f>
        <v>OK</v>
      </c>
    </row>
    <row r="187" spans="1:3" x14ac:dyDescent="0.3">
      <c r="A187" s="13" t="s">
        <v>5269</v>
      </c>
      <c r="B187" s="19">
        <f>COUNTIF(SSC_Ontology_Ver0.5!$A$2493:$A$4976,"entity:SSC_"&amp;$A187&amp;"*")+COUNTIF(SSC_Ontology_Ver0.5!$A$5014:$A$5120,"entity:SSC_"&amp;$A187&amp;"*")</f>
        <v>24</v>
      </c>
      <c r="C187" s="25" t="str">
        <f>IF($A187="VAV0063","Excluded — reviewed, accepted",IF($B187=24,"OK","Expected 24, has "&amp;$B187))</f>
        <v>OK</v>
      </c>
    </row>
    <row r="188" spans="1:3" x14ac:dyDescent="0.3">
      <c r="A188" s="13" t="s">
        <v>5270</v>
      </c>
      <c r="B188" s="19">
        <f>COUNTIF(SSC_Ontology_Ver0.5!$A$2493:$A$4976,"entity:SSC_"&amp;$A188&amp;"*")+COUNTIF(SSC_Ontology_Ver0.5!$A$5014:$A$5120,"entity:SSC_"&amp;$A188&amp;"*")</f>
        <v>24</v>
      </c>
      <c r="C188" s="25" t="str">
        <f>IF($A188="VAV0063","Excluded — reviewed, accepted",IF($B188=24,"OK","Expected 24, has "&amp;$B188))</f>
        <v>OK</v>
      </c>
    </row>
    <row r="189" spans="1:3" x14ac:dyDescent="0.3">
      <c r="A189" s="13" t="s">
        <v>5271</v>
      </c>
      <c r="B189" s="19">
        <f>COUNTIF(SSC_Ontology_Ver0.5!$A$2493:$A$4976,"entity:SSC_"&amp;$A189&amp;"*")+COUNTIF(SSC_Ontology_Ver0.5!$A$5014:$A$5120,"entity:SSC_"&amp;$A189&amp;"*")</f>
        <v>24</v>
      </c>
      <c r="C189" s="25" t="str">
        <f>IF($A189="VAV0063","Excluded — reviewed, accepted",IF($B189=24,"OK","Expected 24, has "&amp;$B189))</f>
        <v>OK</v>
      </c>
    </row>
    <row r="190" spans="1:3" x14ac:dyDescent="0.3">
      <c r="A190" s="13" t="s">
        <v>5272</v>
      </c>
      <c r="B190" s="19">
        <f>COUNTIF(SSC_Ontology_Ver0.5!$A$2493:$A$4976,"entity:SSC_"&amp;$A190&amp;"*")+COUNTIF(SSC_Ontology_Ver0.5!$A$5014:$A$5120,"entity:SSC_"&amp;$A190&amp;"*")</f>
        <v>24</v>
      </c>
      <c r="C190" s="25" t="str">
        <f>IF($A190="VAV0063","Excluded — reviewed, accepted",IF($B190=24,"OK","Expected 24, has "&amp;$B190))</f>
        <v>OK</v>
      </c>
    </row>
    <row r="191" spans="1:3" x14ac:dyDescent="0.3">
      <c r="A191" s="13" t="s">
        <v>5273</v>
      </c>
      <c r="B191" s="19">
        <f>COUNTIF(SSC_Ontology_Ver0.5!$A$2493:$A$4976,"entity:SSC_"&amp;$A191&amp;"*")+COUNTIF(SSC_Ontology_Ver0.5!$A$5014:$A$5120,"entity:SSC_"&amp;$A191&amp;"*")</f>
        <v>24</v>
      </c>
      <c r="C191" s="25" t="str">
        <f>IF($A191="VAV0063","Excluded — reviewed, accepted",IF($B191=24,"OK","Expected 24, has "&amp;$B191))</f>
        <v>OK</v>
      </c>
    </row>
    <row r="192" spans="1:3" x14ac:dyDescent="0.3">
      <c r="A192" s="13" t="s">
        <v>5274</v>
      </c>
      <c r="B192" s="19">
        <f>COUNTIF(SSC_Ontology_Ver0.5!$A$2493:$A$4976,"entity:SSC_"&amp;$A192&amp;"*")+COUNTIF(SSC_Ontology_Ver0.5!$A$5014:$A$5120,"entity:SSC_"&amp;$A192&amp;"*")</f>
        <v>24</v>
      </c>
      <c r="C192" s="25" t="str">
        <f>IF($A192="VAV0063","Excluded — reviewed, accepted",IF($B192=24,"OK","Expected 24, has "&amp;$B192))</f>
        <v>OK</v>
      </c>
    </row>
    <row r="193" spans="1:3" x14ac:dyDescent="0.3">
      <c r="A193" s="13" t="s">
        <v>5275</v>
      </c>
      <c r="B193" s="19">
        <f>COUNTIF(SSC_Ontology_Ver0.5!$A$2493:$A$4976,"entity:SSC_"&amp;$A193&amp;"*")+COUNTIF(SSC_Ontology_Ver0.5!$A$5014:$A$5120,"entity:SSC_"&amp;$A193&amp;"*")</f>
        <v>24</v>
      </c>
      <c r="C193" s="25" t="str">
        <f>IF($A193="VAV0063","Excluded — reviewed, accepted",IF($B193=24,"OK","Expected 24, has "&amp;$B193))</f>
        <v>OK</v>
      </c>
    </row>
    <row r="194" spans="1:3" x14ac:dyDescent="0.3">
      <c r="A194" s="13" t="s">
        <v>5276</v>
      </c>
      <c r="B194" s="19">
        <f>COUNTIF(SSC_Ontology_Ver0.5!$A$2493:$A$4976,"entity:SSC_"&amp;$A194&amp;"*")+COUNTIF(SSC_Ontology_Ver0.5!$A$5014:$A$5120,"entity:SSC_"&amp;$A194&amp;"*")</f>
        <v>24</v>
      </c>
      <c r="C194" s="25" t="str">
        <f>IF($A194="VAV0063","Excluded — reviewed, accepted",IF($B194=24,"OK","Expected 24, has "&amp;$B194))</f>
        <v>OK</v>
      </c>
    </row>
    <row r="195" spans="1:3" x14ac:dyDescent="0.3">
      <c r="A195" s="13" t="s">
        <v>5277</v>
      </c>
      <c r="B195" s="19">
        <f>COUNTIF(SSC_Ontology_Ver0.5!$A$2493:$A$4976,"entity:SSC_"&amp;$A195&amp;"*")+COUNTIF(SSC_Ontology_Ver0.5!$A$5014:$A$5120,"entity:SSC_"&amp;$A195&amp;"*")</f>
        <v>24</v>
      </c>
      <c r="C195" s="25" t="str">
        <f>IF($A195="VAV0063","Excluded — reviewed, accepted",IF($B195=24,"OK","Expected 24, has "&amp;$B195))</f>
        <v>OK</v>
      </c>
    </row>
    <row r="196" spans="1:3" x14ac:dyDescent="0.3">
      <c r="A196" s="13" t="s">
        <v>5278</v>
      </c>
      <c r="B196" s="19">
        <f>COUNTIF(SSC_Ontology_Ver0.5!$A$2493:$A$4976,"entity:SSC_"&amp;$A196&amp;"*")+COUNTIF(SSC_Ontology_Ver0.5!$A$5014:$A$5120,"entity:SSC_"&amp;$A196&amp;"*")</f>
        <v>24</v>
      </c>
      <c r="C196" s="25" t="str">
        <f>IF($A196="VAV0063","Excluded — reviewed, accepted",IF($B196=24,"OK","Expected 24, has "&amp;$B196))</f>
        <v>OK</v>
      </c>
    </row>
    <row r="197" spans="1:3" x14ac:dyDescent="0.3">
      <c r="A197" s="16" t="s">
        <v>5279</v>
      </c>
      <c r="B197" s="20">
        <f>COUNTIF(SSC_Ontology_Ver0.5!$A$2493:$A$4976,"entity:SSC_"&amp;$A197&amp;"*")+COUNTIF(SSC_Ontology_Ver0.5!$A$5014:$A$5120,"entity:SSC_"&amp;$A197&amp;"*")</f>
        <v>24</v>
      </c>
      <c r="C197" s="26" t="str">
        <f>IF($A197="VAV0063","Excluded — reviewed, accepted",IF($B197=24,"OK","Expected 24, has "&amp;$B197))</f>
        <v>OK</v>
      </c>
    </row>
  </sheetData>
  <conditionalFormatting sqref="A21:E44 A47 E45">
    <cfRule type="expression" dxfId="2" priority="1">
      <formula>$E21&lt;&gt;"OK"</formula>
    </cfRule>
  </conditionalFormatting>
  <conditionalFormatting sqref="A90:C197">
    <cfRule type="expression" dxfId="0" priority="2">
      <formula>AND($C90&lt;&gt;"OK",LEFT($C90,8)&lt;&gt;"Excluded")</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cb4b79b-439c-444a-b500-5bf636d498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AB3269EF62CF4DB6D42F7A0EAAB317" ma:contentTypeVersion="10" ma:contentTypeDescription="Create a new document." ma:contentTypeScope="" ma:versionID="912ac548666438bc31c35ae40a00d90f">
  <xsd:schema xmlns:xsd="http://www.w3.org/2001/XMLSchema" xmlns:xs="http://www.w3.org/2001/XMLSchema" xmlns:p="http://schemas.microsoft.com/office/2006/metadata/properties" xmlns:ns3="dcb4b79b-439c-444a-b500-5bf636d4983e" targetNamespace="http://schemas.microsoft.com/office/2006/metadata/properties" ma:root="true" ma:fieldsID="6aa1b91f403256062fdd153d399d59cb" ns3:_="">
    <xsd:import namespace="dcb4b79b-439c-444a-b500-5bf636d4983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b4b79b-439c-444a-b500-5bf636d4983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Location" ma:index="17"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4789ED-5D02-4CFC-B9AF-86115CA0E819}">
  <ds:schemaRefs>
    <ds:schemaRef ds:uri="http://schemas.microsoft.com/office/infopath/2007/PartnerControls"/>
    <ds:schemaRef ds:uri="http://purl.org/dc/terms/"/>
    <ds:schemaRef ds:uri="http://purl.org/dc/elements/1.1/"/>
    <ds:schemaRef ds:uri="http://www.w3.org/XML/1998/namespace"/>
    <ds:schemaRef ds:uri="http://schemas.openxmlformats.org/package/2006/metadata/core-properties"/>
    <ds:schemaRef ds:uri="http://schemas.microsoft.com/office/2006/documentManagement/types"/>
    <ds:schemaRef ds:uri="dcb4b79b-439c-444a-b500-5bf636d4983e"/>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077761E0-5E4E-4148-9A35-46F9D860DD9E}">
  <ds:schemaRefs>
    <ds:schemaRef ds:uri="http://schemas.microsoft.com/sharepoint/v3/contenttype/forms"/>
  </ds:schemaRefs>
</ds:datastoreItem>
</file>

<file path=customXml/itemProps3.xml><?xml version="1.0" encoding="utf-8"?>
<ds:datastoreItem xmlns:ds="http://schemas.openxmlformats.org/officeDocument/2006/customXml" ds:itemID="{165E1C49-66A6-4E3C-A5E3-5D2EE73C24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b4b79b-439c-444a-b500-5bf636d498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Claude Log</vt:lpstr>
      <vt:lpstr>SSC_Ontology_Ver0.5</vt:lpstr>
      <vt:lpstr>CCU_Comparison</vt:lpstr>
      <vt:lpstr>AHU_Comparison</vt:lpstr>
      <vt:lpstr>CHWP_Comparison</vt:lpstr>
      <vt:lpstr>HE_Comparison</vt:lpstr>
      <vt:lpstr>DX_Comparison</vt:lpstr>
      <vt:lpstr>FCU_Comparison</vt:lpstr>
      <vt:lpstr>EF_Comparison</vt:lpstr>
      <vt:lpstr>GEN_Check</vt:lpstr>
      <vt:lpstr>VAV_Comparison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Naresh Vedachalam</dc:creator>
  <cp:keywords/>
  <dc:description/>
  <cp:lastModifiedBy>Ahmad Sharaf Al Masri</cp:lastModifiedBy>
  <cp:revision/>
  <dcterms:created xsi:type="dcterms:W3CDTF">2026-08-17T14:06:47Z</dcterms:created>
  <dcterms:modified xsi:type="dcterms:W3CDTF">2026-08-20T06:13:35Z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0x01010061AB3269EF62CF4DB6D42F7A0EAAB317</vt:lpwstr>
  </property>
  <property fmtid="{D5CDD505-2E9C-101B-9397-08002B2CF9AE}" pid="3" name="MediaServiceImageTags">
    <vt:lpwstr/>
  </property>
</Properties>
</file>