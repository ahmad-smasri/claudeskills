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2916" windowWidth="30936" windowHeight="16776" tabRatio="600" firstSheet="2" activeTab="2" autoFilterDateGrouping="1"/>
  </bookViews>
  <sheets>
    <sheet xmlns:r="http://schemas.openxmlformats.org/officeDocument/2006/relationships" name="Claude Log" sheetId="1" state="hidden" r:id="rId1"/>
    <sheet xmlns:r="http://schemas.openxmlformats.org/officeDocument/2006/relationships" name="AHU-VAV Check" sheetId="2" state="hidden" r:id="rId2"/>
    <sheet xmlns:r="http://schemas.openxmlformats.org/officeDocument/2006/relationships" name="AHUB" sheetId="3" state="visible" r:id="rId3"/>
    <sheet xmlns:r="http://schemas.openxmlformats.org/officeDocument/2006/relationships" name="VAV" sheetId="4" state="visible" r:id="rId4"/>
    <sheet xmlns:r="http://schemas.openxmlformats.org/officeDocument/2006/relationships" name="CAV" sheetId="5" state="visible" r:id="rId5"/>
    <sheet xmlns:r="http://schemas.openxmlformats.org/officeDocument/2006/relationships" name="FCU" sheetId="6" state="visible" r:id="rId6"/>
    <sheet xmlns:r="http://schemas.openxmlformats.org/officeDocument/2006/relationships" name="DX" sheetId="7" state="visible" r:id="rId7"/>
    <sheet xmlns:r="http://schemas.openxmlformats.org/officeDocument/2006/relationships" name="EF" sheetId="8" state="visible" r:id="rId8"/>
    <sheet xmlns:r="http://schemas.openxmlformats.org/officeDocument/2006/relationships" name="SEF" sheetId="9" state="visible" r:id="rId9"/>
    <sheet xmlns:r="http://schemas.openxmlformats.org/officeDocument/2006/relationships" name="CCU" sheetId="10" state="visible" r:id="rId10"/>
    <sheet xmlns:r="http://schemas.openxmlformats.org/officeDocument/2006/relationships" name="TEF" sheetId="11" state="visible" r:id="rId11"/>
    <sheet xmlns:r="http://schemas.openxmlformats.org/officeDocument/2006/relationships" name="HEX" sheetId="12" state="visible" r:id="rId12"/>
    <sheet xmlns:r="http://schemas.openxmlformats.org/officeDocument/2006/relationships" name="KEF" sheetId="13" state="visible" r:id="rId13"/>
    <sheet xmlns:r="http://schemas.openxmlformats.org/officeDocument/2006/relationships" name="CHW" sheetId="14" state="visible" r:id="rId14"/>
    <sheet xmlns:r="http://schemas.openxmlformats.org/officeDocument/2006/relationships" name="ELEC" sheetId="15" state="visible" r:id="rId15"/>
    <sheet xmlns:r="http://schemas.openxmlformats.org/officeDocument/2006/relationships" name="CHWPU" sheetId="16" state="visible" r:id="rId1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  <bgColor indexed="64"/>
      </patternFill>
    </fill>
    <fill>
      <patternFill patternType="solid">
        <fgColor rgb="0030549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pivotButton="0" quotePrefix="0" xfId="0"/>
    <xf numFmtId="0" fontId="3" fillId="0" borderId="0" pivotButton="0" quotePrefix="0" xfId="0"/>
    <xf numFmtId="0" fontId="3" fillId="3" borderId="0" pivotButton="0" quotePrefix="0" xfId="0"/>
    <xf numFmtId="14" fontId="0" fillId="0" borderId="0" pivotButton="0" quotePrefix="0" xfId="0"/>
    <xf numFmtId="0" fontId="4" fillId="4" borderId="2" applyAlignment="1" pivotButton="0" quotePrefix="0" xfId="0">
      <alignment vertical="center"/>
    </xf>
    <xf numFmtId="0" fontId="5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4.45"/>
  <cols>
    <col width="6.28515625" bestFit="1" customWidth="1" min="1" max="1"/>
    <col width="9.5703125" bestFit="1" customWidth="1" min="2" max="2"/>
    <col width="129.5703125" bestFit="1" customWidth="1" min="3" max="3"/>
    <col width="54.85546875" bestFit="1" customWidth="1" min="4" max="4"/>
    <col width="185.28515625" bestFit="1" customWidth="1" min="5" max="5"/>
    <col width="131.5703125" bestFit="1" customWidth="1" min="6" max="6"/>
  </cols>
  <sheetData>
    <row r="1">
      <c r="A1" s="3" t="inlineStr">
        <is>
          <t>Turn #</t>
        </is>
      </c>
      <c r="B1" s="3" t="inlineStr">
        <is>
          <t>Date</t>
        </is>
      </c>
      <c r="C1" s="3" t="inlineStr">
        <is>
          <t>User Request</t>
        </is>
      </c>
      <c r="D1" s="3" t="inlineStr">
        <is>
          <t>Action Taken</t>
        </is>
      </c>
      <c r="E1" s="3" t="inlineStr">
        <is>
          <t>Details</t>
        </is>
      </c>
      <c r="F1" s="3" t="inlineStr">
        <is>
          <t>Outcome</t>
        </is>
      </c>
    </row>
    <row r="2">
      <c r="A2" t="n">
        <v>1</v>
      </c>
      <c r="B2" s="5" t="n">
        <v>46253</v>
      </c>
      <c r="C2" t="inlineStr">
        <is>
          <t>Determine whether each AHU supplies VAVs, whether it supplies multiple VAVs, and whether those VAVs span multiple rooms. Collect info only, no labeling.</t>
        </is>
      </c>
      <c r="D2" t="inlineStr">
        <is>
          <t>Created 'AHU-VAV Check' summary sheet with per-AHU formulas</t>
        </is>
      </c>
      <c r="E2" t="inlineStr">
        <is>
          <t>COUNTIF on VAV!C (Fed By) for VAV count; COUNTA(UNIQUE(FILTER(...))) for distinct rooms; TEXTJOIN(UNIQUE(FILTER(...))) for room list; added CAV/FCU counts for context. All 246 VAV rows map to an AHU (no orphans).</t>
        </is>
      </c>
      <c r="F2" t="inlineStr">
        <is>
          <t>6 of 15 AHUs feed VAVs (AHUB010/011/012/013/014/015); all 6 feed multiple VAVs across multiple rooms. Remaining 9 feed no VAVs. FCUs are not AHU-fed.</t>
        </is>
      </c>
    </row>
    <row r="3">
      <c r="A3" t="n">
        <v>2</v>
      </c>
      <c r="B3" s="5" t="n">
        <v>46253</v>
      </c>
      <c r="C3" t="inlineStr">
        <is>
          <t>Recreate the AHU-VAV Check sheet, deleted by mistake.</t>
        </is>
      </c>
      <c r="D3" t="inlineStr">
        <is>
          <t>Rebuilt 'AHU-VAV Check' sheet identically</t>
        </is>
      </c>
      <c r="E3" t="inlineStr">
        <is>
          <t>Same formulas as Turn 1 (COUNTIF / COUNTA+UNIQUE+FILTER / TEXTJOIN, plus CAV and FCU context counts), header fill #D9E1F2, row 1 frozen, column H width 300, positioned second.</t>
        </is>
      </c>
      <c r="F3" t="inlineStr">
        <is>
          <t>Restored; results match Turn 1 exactly (6 AHUs feed VAVs, all multi-VAV multi-room).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5"/>
  <cols>
    <col width="8.7109375" bestFit="1" customWidth="1" min="1" max="1"/>
    <col width="26.85546875" bestFit="1" customWidth="1" min="2" max="2"/>
    <col width="13.85546875" bestFit="1" customWidth="1" min="3" max="3"/>
    <col width="10.28515625" bestFit="1" customWidth="1" min="4" max="4"/>
    <col width="13.85546875" bestFit="1" customWidth="1" min="5" max="5"/>
    <col width="19.85546875" bestFit="1" customWidth="1" min="6" max="6"/>
    <col width="34" bestFit="1" customWidth="1" min="7" max="7"/>
    <col width="55.5703125" customWidth="1" min="8" max="8"/>
    <col width="17" bestFit="1" customWidth="1" min="9" max="9"/>
    <col width="16.7109375" bestFit="1" customWidth="1" min="10" max="10"/>
  </cols>
  <sheetData>
    <row r="1">
      <c r="A1" s="4" t="inlineStr">
        <is>
          <t>AHU</t>
        </is>
      </c>
      <c r="B1" s="4" t="inlineStr">
        <is>
          <t>AHU Plant Room</t>
        </is>
      </c>
      <c r="C1" s="4" t="inlineStr">
        <is>
          <t>Supplies VAVs?</t>
        </is>
      </c>
      <c r="D1" s="4" t="inlineStr">
        <is>
          <t>VAV Count</t>
        </is>
      </c>
      <c r="E1" s="4" t="inlineStr">
        <is>
          <t>Multiple VAVs?</t>
        </is>
      </c>
      <c r="F1" s="4" t="inlineStr">
        <is>
          <t>Distinct Rooms Served</t>
        </is>
      </c>
      <c r="G1" s="4" t="inlineStr">
        <is>
          <t>Multiple VAVs Across Multiple Rooms?</t>
        </is>
      </c>
      <c r="H1" s="4" t="inlineStr">
        <is>
          <t>Room List</t>
        </is>
      </c>
      <c r="I1" s="4" t="inlineStr">
        <is>
          <t>CAVs Fed (context)</t>
        </is>
      </c>
      <c r="J1" s="4" t="inlineStr">
        <is>
          <t>FCUs Fed (context)</t>
        </is>
      </c>
    </row>
    <row r="2">
      <c r="A2">
        <f>AHUB!A2</f>
        <v/>
      </c>
      <c r="B2">
        <f>SUBSTITUTE(AHUB!B2,"entity:","")</f>
        <v/>
      </c>
      <c r="C2">
        <f>IF(D2&gt;0,"Yes","No")</f>
        <v/>
      </c>
      <c r="D2">
        <f>COUNTIF(VAV!$C$2:$C$247,$A2)</f>
        <v/>
      </c>
      <c r="E2">
        <f>IF(D2&gt;1,"Yes","No")</f>
        <v/>
      </c>
      <c r="F2">
        <f t="array" ref="F2">IF(D2=0,0,COUNTA(_xlfn.UNIQUE(_xlfn._xlws.FILTER(VAV!$B$2:$B$247,VAV!$C$2:$C$247=$A2))))</f>
        <v/>
      </c>
      <c r="G2">
        <f>IF(AND(D2&gt;1,F2&gt;1),"Yes","No")</f>
        <v/>
      </c>
      <c r="H2">
        <f t="array" ref="H2">IF(D2=0,"-",_xlfn.TEXTJOIN(", ",TRUE,_xlfn.UNIQUE(SUBSTITUTE(_xlfn._xlws.FILTER(VAV!$B$2:$B$247,VAV!$C$2:$C$247=$A2),"entity:",""))))</f>
        <v/>
      </c>
      <c r="I2">
        <f>COUNTIF(CAV!$C$2:$C$52,$A2)</f>
        <v/>
      </c>
      <c r="J2">
        <f>COUNTIF(FCU!$C$2:$C$138,$A2)</f>
        <v/>
      </c>
    </row>
    <row r="3">
      <c r="A3">
        <f>AHUB!A3</f>
        <v/>
      </c>
      <c r="B3">
        <f>SUBSTITUTE(AHUB!B3,"entity:","")</f>
        <v/>
      </c>
      <c r="C3">
        <f>IF(D3&gt;0,"Yes","No")</f>
        <v/>
      </c>
      <c r="D3">
        <f>COUNTIF(VAV!$C$2:$C$247,$A3)</f>
        <v/>
      </c>
      <c r="E3">
        <f>IF(D3&gt;1,"Yes","No")</f>
        <v/>
      </c>
      <c r="F3">
        <f t="array" ref="F3">IF(D3=0,0,COUNTA(_xlfn.UNIQUE(_xlfn._xlws.FILTER(VAV!$B$2:$B$247,VAV!$C$2:$C$247=$A3))))</f>
        <v/>
      </c>
      <c r="G3">
        <f>IF(AND(D3&gt;1,F3&gt;1),"Yes","No")</f>
        <v/>
      </c>
      <c r="H3">
        <f t="array" ref="H3">IF(D3=0,"-",_xlfn.TEXTJOIN(", ",TRUE,_xlfn.UNIQUE(SUBSTITUTE(_xlfn._xlws.FILTER(VAV!$B$2:$B$247,VAV!$C$2:$C$247=$A3),"entity:",""))))</f>
        <v/>
      </c>
      <c r="I3">
        <f>COUNTIF(CAV!$C$2:$C$52,$A3)</f>
        <v/>
      </c>
      <c r="J3">
        <f>COUNTIF(FCU!$C$2:$C$138,$A3)</f>
        <v/>
      </c>
    </row>
    <row r="4">
      <c r="A4">
        <f>AHUB!A4</f>
        <v/>
      </c>
      <c r="B4">
        <f>SUBSTITUTE(AHUB!B4,"entity:","")</f>
        <v/>
      </c>
      <c r="C4">
        <f>IF(D4&gt;0,"Yes","No")</f>
        <v/>
      </c>
      <c r="D4">
        <f>COUNTIF(VAV!$C$2:$C$247,$A4)</f>
        <v/>
      </c>
      <c r="E4">
        <f>IF(D4&gt;1,"Yes","No")</f>
        <v/>
      </c>
      <c r="F4">
        <f t="array" ref="F4">IF(D4=0,0,COUNTA(_xlfn.UNIQUE(_xlfn._xlws.FILTER(VAV!$B$2:$B$247,VAV!$C$2:$C$247=$A4))))</f>
        <v/>
      </c>
      <c r="G4">
        <f>IF(AND(D4&gt;1,F4&gt;1),"Yes","No")</f>
        <v/>
      </c>
      <c r="H4">
        <f t="array" ref="H4">IF(D4=0,"-",_xlfn.TEXTJOIN(", ",TRUE,_xlfn.UNIQUE(SUBSTITUTE(_xlfn._xlws.FILTER(VAV!$B$2:$B$247,VAV!$C$2:$C$247=$A4),"entity:",""))))</f>
        <v/>
      </c>
      <c r="I4">
        <f>COUNTIF(CAV!$C$2:$C$52,$A4)</f>
        <v/>
      </c>
      <c r="J4">
        <f>COUNTIF(FCU!$C$2:$C$138,$A4)</f>
        <v/>
      </c>
    </row>
    <row r="5">
      <c r="A5">
        <f>AHUB!A5</f>
        <v/>
      </c>
      <c r="B5">
        <f>SUBSTITUTE(AHUB!B5,"entity:","")</f>
        <v/>
      </c>
      <c r="C5">
        <f>IF(D5&gt;0,"Yes","No")</f>
        <v/>
      </c>
      <c r="D5">
        <f>COUNTIF(VAV!$C$2:$C$247,$A5)</f>
        <v/>
      </c>
      <c r="E5">
        <f>IF(D5&gt;1,"Yes","No")</f>
        <v/>
      </c>
      <c r="F5">
        <f t="array" ref="F5">IF(D5=0,0,COUNTA(_xlfn.UNIQUE(_xlfn._xlws.FILTER(VAV!$B$2:$B$247,VAV!$C$2:$C$247=$A5))))</f>
        <v/>
      </c>
      <c r="G5">
        <f>IF(AND(D5&gt;1,F5&gt;1),"Yes","No")</f>
        <v/>
      </c>
      <c r="H5">
        <f t="array" ref="H5">IF(D5=0,"-",_xlfn.TEXTJOIN(", ",TRUE,_xlfn.UNIQUE(SUBSTITUTE(_xlfn._xlws.FILTER(VAV!$B$2:$B$247,VAV!$C$2:$C$247=$A5),"entity:",""))))</f>
        <v/>
      </c>
      <c r="I5">
        <f>COUNTIF(CAV!$C$2:$C$52,$A5)</f>
        <v/>
      </c>
      <c r="J5">
        <f>COUNTIF(FCU!$C$2:$C$138,$A5)</f>
        <v/>
      </c>
    </row>
    <row r="6">
      <c r="A6">
        <f>AHUB!A6</f>
        <v/>
      </c>
      <c r="B6">
        <f>SUBSTITUTE(AHUB!B6,"entity:","")</f>
        <v/>
      </c>
      <c r="C6">
        <f>IF(D6&gt;0,"Yes","No")</f>
        <v/>
      </c>
      <c r="D6">
        <f>COUNTIF(VAV!$C$2:$C$247,$A6)</f>
        <v/>
      </c>
      <c r="E6">
        <f>IF(D6&gt;1,"Yes","No")</f>
        <v/>
      </c>
      <c r="F6">
        <f t="array" ref="F6">IF(D6=0,0,COUNTA(_xlfn.UNIQUE(_xlfn._xlws.FILTER(VAV!$B$2:$B$247,VAV!$C$2:$C$247=$A6))))</f>
        <v/>
      </c>
      <c r="G6">
        <f>IF(AND(D6&gt;1,F6&gt;1),"Yes","No")</f>
        <v/>
      </c>
      <c r="H6">
        <f t="array" ref="H6">IF(D6=0,"-",_xlfn.TEXTJOIN(", ",TRUE,_xlfn.UNIQUE(SUBSTITUTE(_xlfn._xlws.FILTER(VAV!$B$2:$B$247,VAV!$C$2:$C$247=$A6),"entity:",""))))</f>
        <v/>
      </c>
      <c r="I6">
        <f>COUNTIF(CAV!$C$2:$C$52,$A6)</f>
        <v/>
      </c>
      <c r="J6">
        <f>COUNTIF(FCU!$C$2:$C$138,$A6)</f>
        <v/>
      </c>
    </row>
    <row r="7">
      <c r="A7">
        <f>AHUB!A7</f>
        <v/>
      </c>
      <c r="B7">
        <f>SUBSTITUTE(AHUB!B7,"entity:","")</f>
        <v/>
      </c>
      <c r="C7">
        <f>IF(D7&gt;0,"Yes","No")</f>
        <v/>
      </c>
      <c r="D7">
        <f>COUNTIF(VAV!$C$2:$C$247,$A7)</f>
        <v/>
      </c>
      <c r="E7">
        <f>IF(D7&gt;1,"Yes","No")</f>
        <v/>
      </c>
      <c r="F7">
        <f t="array" ref="F7">IF(D7=0,0,COUNTA(_xlfn.UNIQUE(_xlfn._xlws.FILTER(VAV!$B$2:$B$247,VAV!$C$2:$C$247=$A7))))</f>
        <v/>
      </c>
      <c r="G7">
        <f>IF(AND(D7&gt;1,F7&gt;1),"Yes","No")</f>
        <v/>
      </c>
      <c r="H7">
        <f t="array" ref="H7">IF(D7=0,"-",_xlfn.TEXTJOIN(", ",TRUE,_xlfn.UNIQUE(SUBSTITUTE(_xlfn._xlws.FILTER(VAV!$B$2:$B$247,VAV!$C$2:$C$247=$A7),"entity:",""))))</f>
        <v/>
      </c>
      <c r="I7">
        <f>COUNTIF(CAV!$C$2:$C$52,$A7)</f>
        <v/>
      </c>
      <c r="J7">
        <f>COUNTIF(FCU!$C$2:$C$138,$A7)</f>
        <v/>
      </c>
    </row>
    <row r="8">
      <c r="A8">
        <f>AHUB!A8</f>
        <v/>
      </c>
      <c r="B8">
        <f>SUBSTITUTE(AHUB!B8,"entity:","")</f>
        <v/>
      </c>
      <c r="C8">
        <f>IF(D8&gt;0,"Yes","No")</f>
        <v/>
      </c>
      <c r="D8">
        <f>COUNTIF(VAV!$C$2:$C$247,$A8)</f>
        <v/>
      </c>
      <c r="E8">
        <f>IF(D8&gt;1,"Yes","No")</f>
        <v/>
      </c>
      <c r="F8">
        <f t="array" ref="F8">IF(D8=0,0,COUNTA(_xlfn.UNIQUE(_xlfn._xlws.FILTER(VAV!$B$2:$B$247,VAV!$C$2:$C$247=$A8))))</f>
        <v/>
      </c>
      <c r="G8">
        <f>IF(AND(D8&gt;1,F8&gt;1),"Yes","No")</f>
        <v/>
      </c>
      <c r="H8">
        <f t="array" ref="H8">IF(D8=0,"-",_xlfn.TEXTJOIN(", ",TRUE,_xlfn.UNIQUE(SUBSTITUTE(_xlfn._xlws.FILTER(VAV!$B$2:$B$247,VAV!$C$2:$C$247=$A8),"entity:",""))))</f>
        <v/>
      </c>
      <c r="I8">
        <f>COUNTIF(CAV!$C$2:$C$52,$A8)</f>
        <v/>
      </c>
      <c r="J8">
        <f>COUNTIF(FCU!$C$2:$C$138,$A8)</f>
        <v/>
      </c>
    </row>
    <row r="9">
      <c r="A9">
        <f>AHUB!A9</f>
        <v/>
      </c>
      <c r="B9">
        <f>SUBSTITUTE(AHUB!B9,"entity:","")</f>
        <v/>
      </c>
      <c r="C9">
        <f>IF(D9&gt;0,"Yes","No")</f>
        <v/>
      </c>
      <c r="D9">
        <f>COUNTIF(VAV!$C$2:$C$247,$A9)</f>
        <v/>
      </c>
      <c r="E9">
        <f>IF(D9&gt;1,"Yes","No")</f>
        <v/>
      </c>
      <c r="F9">
        <f t="array" ref="F9">IF(D9=0,0,COUNTA(_xlfn.UNIQUE(_xlfn._xlws.FILTER(VAV!$B$2:$B$247,VAV!$C$2:$C$247=$A9))))</f>
        <v/>
      </c>
      <c r="G9">
        <f>IF(AND(D9&gt;1,F9&gt;1),"Yes","No")</f>
        <v/>
      </c>
      <c r="H9">
        <f t="array" ref="H9">IF(D9=0,"-",_xlfn.TEXTJOIN(", ",TRUE,_xlfn.UNIQUE(SUBSTITUTE(_xlfn._xlws.FILTER(VAV!$B$2:$B$247,VAV!$C$2:$C$247=$A9),"entity:",""))))</f>
        <v/>
      </c>
      <c r="I9">
        <f>COUNTIF(CAV!$C$2:$C$52,$A9)</f>
        <v/>
      </c>
      <c r="J9">
        <f>COUNTIF(FCU!$C$2:$C$138,$A9)</f>
        <v/>
      </c>
    </row>
    <row r="10">
      <c r="A10">
        <f>AHUB!A10</f>
        <v/>
      </c>
      <c r="B10">
        <f>SUBSTITUTE(AHUB!B10,"entity:","")</f>
        <v/>
      </c>
      <c r="C10">
        <f>IF(D10&gt;0,"Yes","No")</f>
        <v/>
      </c>
      <c r="D10">
        <f>COUNTIF(VAV!$C$2:$C$247,$A10)</f>
        <v/>
      </c>
      <c r="E10">
        <f>IF(D10&gt;1,"Yes","No")</f>
        <v/>
      </c>
      <c r="F10">
        <f t="array" ref="F10">IF(D10=0,0,COUNTA(_xlfn.UNIQUE(_xlfn._xlws.FILTER(VAV!$B$2:$B$247,VAV!$C$2:$C$247=$A10))))</f>
        <v/>
      </c>
      <c r="G10">
        <f>IF(AND(D10&gt;1,F10&gt;1),"Yes","No")</f>
        <v/>
      </c>
      <c r="H10">
        <f t="array" ref="H10">IF(D10=0,"-",_xlfn.TEXTJOIN(", ",TRUE,_xlfn.UNIQUE(SUBSTITUTE(_xlfn._xlws.FILTER(VAV!$B$2:$B$247,VAV!$C$2:$C$247=$A10),"entity:",""))))</f>
        <v/>
      </c>
      <c r="I10">
        <f>COUNTIF(CAV!$C$2:$C$52,$A10)</f>
        <v/>
      </c>
      <c r="J10">
        <f>COUNTIF(FCU!$C$2:$C$138,$A10)</f>
        <v/>
      </c>
    </row>
    <row r="11">
      <c r="A11">
        <f>AHUB!A11</f>
        <v/>
      </c>
      <c r="B11">
        <f>SUBSTITUTE(AHUB!B11,"entity:","")</f>
        <v/>
      </c>
      <c r="C11">
        <f>IF(D11&gt;0,"Yes","No")</f>
        <v/>
      </c>
      <c r="D11">
        <f>COUNTIF(VAV!$C$2:$C$247,$A11)</f>
        <v/>
      </c>
      <c r="E11">
        <f>IF(D11&gt;1,"Yes","No")</f>
        <v/>
      </c>
      <c r="F11">
        <f t="array" ref="F11">IF(D11=0,0,COUNTA(_xlfn.UNIQUE(_xlfn._xlws.FILTER(VAV!$B$2:$B$247,VAV!$C$2:$C$247=$A11))))</f>
        <v/>
      </c>
      <c r="G11">
        <f>IF(AND(D11&gt;1,F11&gt;1),"Yes","No")</f>
        <v/>
      </c>
      <c r="H11">
        <f t="array" ref="H11">IF(D11=0,"-",_xlfn.TEXTJOIN(", ",TRUE,_xlfn.UNIQUE(SUBSTITUTE(_xlfn._xlws.FILTER(VAV!$B$2:$B$247,VAV!$C$2:$C$247=$A11),"entity:",""))))</f>
        <v/>
      </c>
      <c r="I11">
        <f>COUNTIF(CAV!$C$2:$C$52,$A11)</f>
        <v/>
      </c>
      <c r="J11">
        <f>COUNTIF(FCU!$C$2:$C$138,$A11)</f>
        <v/>
      </c>
    </row>
    <row r="12">
      <c r="A12">
        <f>AHUB!A12</f>
        <v/>
      </c>
      <c r="B12">
        <f>SUBSTITUTE(AHUB!B12,"entity:","")</f>
        <v/>
      </c>
      <c r="C12">
        <f>IF(D12&gt;0,"Yes","No")</f>
        <v/>
      </c>
      <c r="D12">
        <f>COUNTIF(VAV!$C$2:$C$247,$A12)</f>
        <v/>
      </c>
      <c r="E12">
        <f>IF(D12&gt;1,"Yes","No")</f>
        <v/>
      </c>
      <c r="F12">
        <f t="array" ref="F12">IF(D12=0,0,COUNTA(_xlfn.UNIQUE(_xlfn._xlws.FILTER(VAV!$B$2:$B$247,VAV!$C$2:$C$247=$A12))))</f>
        <v/>
      </c>
      <c r="G12">
        <f>IF(AND(D12&gt;1,F12&gt;1),"Yes","No")</f>
        <v/>
      </c>
      <c r="H12">
        <f t="array" ref="H12">IF(D12=0,"-",_xlfn.TEXTJOIN(", ",TRUE,_xlfn.UNIQUE(SUBSTITUTE(_xlfn._xlws.FILTER(VAV!$B$2:$B$247,VAV!$C$2:$C$247=$A12),"entity:",""))))</f>
        <v/>
      </c>
      <c r="I12">
        <f>COUNTIF(CAV!$C$2:$C$52,$A12)</f>
        <v/>
      </c>
      <c r="J12">
        <f>COUNTIF(FCU!$C$2:$C$138,$A12)</f>
        <v/>
      </c>
    </row>
    <row r="13">
      <c r="A13">
        <f>AHUB!A13</f>
        <v/>
      </c>
      <c r="B13">
        <f>SUBSTITUTE(AHUB!B13,"entity:","")</f>
        <v/>
      </c>
      <c r="C13">
        <f>IF(D13&gt;0,"Yes","No")</f>
        <v/>
      </c>
      <c r="D13">
        <f>COUNTIF(VAV!$C$2:$C$247,$A13)</f>
        <v/>
      </c>
      <c r="E13">
        <f>IF(D13&gt;1,"Yes","No")</f>
        <v/>
      </c>
      <c r="F13">
        <f t="array" ref="F13">IF(D13=0,0,COUNTA(_xlfn.UNIQUE(_xlfn._xlws.FILTER(VAV!$B$2:$B$247,VAV!$C$2:$C$247=$A13))))</f>
        <v/>
      </c>
      <c r="G13">
        <f>IF(AND(D13&gt;1,F13&gt;1),"Yes","No")</f>
        <v/>
      </c>
      <c r="H13">
        <f t="array" ref="H13">IF(D13=0,"-",_xlfn.TEXTJOIN(", ",TRUE,_xlfn.UNIQUE(SUBSTITUTE(_xlfn._xlws.FILTER(VAV!$B$2:$B$247,VAV!$C$2:$C$247=$A13),"entity:",""))))</f>
        <v/>
      </c>
      <c r="I13">
        <f>COUNTIF(CAV!$C$2:$C$52,$A13)</f>
        <v/>
      </c>
      <c r="J13">
        <f>COUNTIF(FCU!$C$2:$C$138,$A13)</f>
        <v/>
      </c>
    </row>
    <row r="14">
      <c r="A14">
        <f>AHUB!A14</f>
        <v/>
      </c>
      <c r="B14">
        <f>SUBSTITUTE(AHUB!B14,"entity:","")</f>
        <v/>
      </c>
      <c r="C14">
        <f>IF(D14&gt;0,"Yes","No")</f>
        <v/>
      </c>
      <c r="D14">
        <f>COUNTIF(VAV!$C$2:$C$247,$A14)</f>
        <v/>
      </c>
      <c r="E14">
        <f>IF(D14&gt;1,"Yes","No")</f>
        <v/>
      </c>
      <c r="F14">
        <f t="array" ref="F14">IF(D14=0,0,COUNTA(_xlfn.UNIQUE(_xlfn._xlws.FILTER(VAV!$B$2:$B$247,VAV!$C$2:$C$247=$A14))))</f>
        <v/>
      </c>
      <c r="G14">
        <f>IF(AND(D14&gt;1,F14&gt;1),"Yes","No")</f>
        <v/>
      </c>
      <c r="H14">
        <f t="array" ref="H14">IF(D14=0,"-",_xlfn.TEXTJOIN(", ",TRUE,_xlfn.UNIQUE(SUBSTITUTE(_xlfn._xlws.FILTER(VAV!$B$2:$B$247,VAV!$C$2:$C$247=$A14),"entity:",""))))</f>
        <v/>
      </c>
      <c r="I14">
        <f>COUNTIF(CAV!$C$2:$C$52,$A14)</f>
        <v/>
      </c>
      <c r="J14">
        <f>COUNTIF(FCU!$C$2:$C$138,$A14)</f>
        <v/>
      </c>
    </row>
    <row r="15">
      <c r="A15">
        <f>AHUB!A15</f>
        <v/>
      </c>
      <c r="B15">
        <f>SUBSTITUTE(AHUB!B15,"entity:","")</f>
        <v/>
      </c>
      <c r="C15">
        <f>IF(D15&gt;0,"Yes","No")</f>
        <v/>
      </c>
      <c r="D15">
        <f>COUNTIF(VAV!$C$2:$C$247,$A15)</f>
        <v/>
      </c>
      <c r="E15">
        <f>IF(D15&gt;1,"Yes","No")</f>
        <v/>
      </c>
      <c r="F15">
        <f t="array" ref="F15">IF(D15=0,0,COUNTA(_xlfn.UNIQUE(_xlfn._xlws.FILTER(VAV!$B$2:$B$247,VAV!$C$2:$C$247=$A15))))</f>
        <v/>
      </c>
      <c r="G15">
        <f>IF(AND(D15&gt;1,F15&gt;1),"Yes","No")</f>
        <v/>
      </c>
      <c r="H15">
        <f t="array" ref="H15">IF(D15=0,"-",_xlfn.TEXTJOIN(", ",TRUE,_xlfn.UNIQUE(SUBSTITUTE(_xlfn._xlws.FILTER(VAV!$B$2:$B$247,VAV!$C$2:$C$247=$A15),"entity:",""))))</f>
        <v/>
      </c>
      <c r="I15">
        <f>COUNTIF(CAV!$C$2:$C$52,$A15)</f>
        <v/>
      </c>
      <c r="J15">
        <f>COUNTIF(FCU!$C$2:$C$138,$A15)</f>
        <v/>
      </c>
    </row>
    <row r="16">
      <c r="A16">
        <f>AHUB!A16</f>
        <v/>
      </c>
      <c r="B16">
        <f>SUBSTITUTE(AHUB!B16,"entity:","")</f>
        <v/>
      </c>
      <c r="C16">
        <f>IF(D16&gt;0,"Yes","No")</f>
        <v/>
      </c>
      <c r="D16">
        <f>COUNTIF(VAV!$C$2:$C$247,$A16)</f>
        <v/>
      </c>
      <c r="E16">
        <f>IF(D16&gt;1,"Yes","No")</f>
        <v/>
      </c>
      <c r="F16">
        <f t="array" ref="F16">IF(D16=0,0,COUNTA(_xlfn.UNIQUE(_xlfn._xlws.FILTER(VAV!$B$2:$B$247,VAV!$C$2:$C$247=$A16))))</f>
        <v/>
      </c>
      <c r="G16">
        <f>IF(AND(D16&gt;1,F16&gt;1),"Yes","No")</f>
        <v/>
      </c>
      <c r="H16">
        <f t="array" ref="H16">IF(D16=0,"-",_xlfn.TEXTJOIN(", ",TRUE,_xlfn.UNIQUE(SUBSTITUTE(_xlfn._xlws.FILTER(VAV!$B$2:$B$247,VAV!$C$2:$C$247=$A16),"entity:",""))))</f>
        <v/>
      </c>
      <c r="I16">
        <f>COUNTIF(CAV!$C$2:$C$52,$A16)</f>
        <v/>
      </c>
      <c r="J16">
        <f>COUNTIF(FCU!$C$2:$C$138,$A16)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pane ySplit="1" topLeftCell="A2" activePane="bottomLeft" state="frozen"/>
      <selection pane="bottomLeft" activeCell="B33" sqref="B33"/>
    </sheetView>
  </sheetViews>
  <sheetFormatPr baseColWidth="8" defaultRowHeight="14.45"/>
  <cols>
    <col width="20" customWidth="1" min="1" max="1"/>
    <col width="52" customWidth="1" min="2" max="2"/>
    <col width="23.5703125" bestFit="1" customWidth="1" min="3" max="3"/>
  </cols>
  <sheetData>
    <row r="1">
      <c r="A1" s="1" t="inlineStr">
        <is>
          <t>Equipment</t>
        </is>
      </c>
      <c r="B1" s="1" t="inlineStr">
        <is>
          <t>Room Tag</t>
        </is>
      </c>
      <c r="C1" s="1" t="inlineStr">
        <is>
          <t>Fed By</t>
        </is>
      </c>
    </row>
    <row r="2">
      <c r="A2" s="2" t="inlineStr">
        <is>
          <t>AHUB002</t>
        </is>
      </c>
      <c r="B2" s="2" t="inlineStr">
        <is>
          <t>entity:QNL_B_063_PLANT_ROOM_01</t>
        </is>
      </c>
      <c r="C2" s="2" t="inlineStr">
        <is>
          <t>CHILLED WATER LOOP</t>
        </is>
      </c>
    </row>
    <row r="3">
      <c r="A3" s="2" t="inlineStr">
        <is>
          <t>AHUB011</t>
        </is>
      </c>
      <c r="B3" s="2" t="inlineStr">
        <is>
          <t>entity:QNL_B_063_PLANT_ROOM_01</t>
        </is>
      </c>
      <c r="C3" s="2" t="inlineStr">
        <is>
          <t>CHILLED WATER LOOP</t>
        </is>
      </c>
    </row>
    <row r="4">
      <c r="A4" s="2" t="inlineStr">
        <is>
          <t>AHUB012</t>
        </is>
      </c>
      <c r="B4" s="2" t="inlineStr">
        <is>
          <t>entity:QNL_B_063_PLANT_ROOM_01</t>
        </is>
      </c>
      <c r="C4" s="2" t="inlineStr">
        <is>
          <t>CHILLED WATER LOOP</t>
        </is>
      </c>
    </row>
    <row r="5">
      <c r="A5" s="2" t="inlineStr">
        <is>
          <t>AHUB003</t>
        </is>
      </c>
      <c r="B5" s="2" t="inlineStr">
        <is>
          <t>entity:QNL_B_070_PLANT_ROOM_02</t>
        </is>
      </c>
      <c r="C5" s="2" t="inlineStr">
        <is>
          <t>CHILLED WATER LOOP</t>
        </is>
      </c>
    </row>
    <row r="6">
      <c r="A6" s="2" t="inlineStr">
        <is>
          <t>AHUB010</t>
        </is>
      </c>
      <c r="B6" s="2" t="inlineStr">
        <is>
          <t>entity:QNL_B_070_PLANT_ROOM_02</t>
        </is>
      </c>
      <c r="C6" s="2" t="inlineStr">
        <is>
          <t>CHILLED WATER LOOP</t>
        </is>
      </c>
    </row>
    <row r="7">
      <c r="A7" s="2" t="inlineStr">
        <is>
          <t>AHUB013</t>
        </is>
      </c>
      <c r="B7" s="2" t="inlineStr">
        <is>
          <t>entity:QNL_B_070_PLANT_ROOM_02</t>
        </is>
      </c>
      <c r="C7" s="2" t="inlineStr">
        <is>
          <t>CHILLED WATER LOOP</t>
        </is>
      </c>
    </row>
    <row r="8">
      <c r="A8" s="2" t="inlineStr">
        <is>
          <t>AHUB004</t>
        </is>
      </c>
      <c r="B8" s="2" t="inlineStr">
        <is>
          <t>entity:QNL_B_110_PLANT_ROOM_03</t>
        </is>
      </c>
      <c r="C8" s="2" t="inlineStr">
        <is>
          <t>CHILLED WATER LOOP</t>
        </is>
      </c>
    </row>
    <row r="9">
      <c r="A9" s="2" t="inlineStr">
        <is>
          <t>AHUB009</t>
        </is>
      </c>
      <c r="B9" s="2" t="inlineStr">
        <is>
          <t>entity:QNL_B_110_PLANT_ROOM_03</t>
        </is>
      </c>
      <c r="C9" s="2" t="inlineStr">
        <is>
          <t>CHILLED WATER LOOP</t>
        </is>
      </c>
    </row>
    <row r="10">
      <c r="A10" s="2" t="inlineStr">
        <is>
          <t>AHUB014</t>
        </is>
      </c>
      <c r="B10" s="2" t="inlineStr">
        <is>
          <t>entity:QNL_B_110_PLANT_ROOM_03</t>
        </is>
      </c>
      <c r="C10" s="2" t="inlineStr">
        <is>
          <t>CHILLED WATER LOOP</t>
        </is>
      </c>
    </row>
    <row r="11">
      <c r="A11" s="2" t="inlineStr">
        <is>
          <t>AHUB015</t>
        </is>
      </c>
      <c r="B11" s="2" t="inlineStr">
        <is>
          <t>entity:QNL_B_110_PLANT_ROOM_03</t>
        </is>
      </c>
      <c r="C11" s="2" t="inlineStr">
        <is>
          <t>CHILLED WATER LOOP</t>
        </is>
      </c>
    </row>
    <row r="12">
      <c r="A12" s="2" t="inlineStr">
        <is>
          <t>AHUB001</t>
        </is>
      </c>
      <c r="B12" s="2" t="inlineStr">
        <is>
          <t>entity:QNL_B_220_PLANT_ROOM_04</t>
        </is>
      </c>
      <c r="C12" s="2" t="inlineStr">
        <is>
          <t>CHILLED WATER LOOP</t>
        </is>
      </c>
    </row>
    <row r="13">
      <c r="A13" s="2" t="inlineStr">
        <is>
          <t>AHUB005</t>
        </is>
      </c>
      <c r="B13" s="2" t="inlineStr">
        <is>
          <t>entity:QNL_B_220_PLANT_ROOM_04</t>
        </is>
      </c>
      <c r="C13" s="2" t="inlineStr">
        <is>
          <t>CHILLED WATER LOOP</t>
        </is>
      </c>
    </row>
    <row r="14">
      <c r="A14" s="2" t="inlineStr">
        <is>
          <t>AHUB006</t>
        </is>
      </c>
      <c r="B14" s="2" t="inlineStr">
        <is>
          <t>entity:QNL_B_220_PLANT_ROOM_04</t>
        </is>
      </c>
      <c r="C14" s="2" t="inlineStr">
        <is>
          <t>CHILLED WATER LOOP</t>
        </is>
      </c>
    </row>
    <row r="15">
      <c r="A15" s="2" t="inlineStr">
        <is>
          <t>AHUB007</t>
        </is>
      </c>
      <c r="B15" s="2" t="inlineStr">
        <is>
          <t>entity:QNL_B_220_PLANT_ROOM_04</t>
        </is>
      </c>
      <c r="C15" s="2" t="inlineStr">
        <is>
          <t>CHILLED WATER LOOP</t>
        </is>
      </c>
    </row>
    <row r="16">
      <c r="A16" s="2" t="inlineStr">
        <is>
          <t>AHUB008</t>
        </is>
      </c>
      <c r="B16" s="2" t="inlineStr">
        <is>
          <t>entity:QNL_B_220_PLANT_ROOM_04</t>
        </is>
      </c>
      <c r="C16" s="2" t="inlineStr">
        <is>
          <t>CHILLED WATER LOOP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pane ySplit="1" topLeftCell="A161" activePane="bottomLeft" state="frozen"/>
      <selection pane="bottomLeft" activeCell="B2" sqref="B2"/>
    </sheetView>
  </sheetViews>
  <sheetFormatPr baseColWidth="8" defaultRowHeight="14.45"/>
  <cols>
    <col width="20" customWidth="1" min="1" max="1"/>
    <col width="79.28515625" bestFit="1" customWidth="1" min="2" max="2"/>
    <col width="9.7109375" bestFit="1" customWidth="1" min="3" max="3"/>
  </cols>
  <sheetData>
    <row r="1">
      <c r="A1" s="1" t="inlineStr">
        <is>
          <t>Equipment</t>
        </is>
      </c>
      <c r="B1" s="1" t="inlineStr">
        <is>
          <t>Room Tag</t>
        </is>
      </c>
      <c r="C1" s="1" t="inlineStr">
        <is>
          <t>Fed By</t>
        </is>
      </c>
    </row>
    <row r="2">
      <c r="A2" s="2" t="inlineStr">
        <is>
          <t>VAV_B_S11_024</t>
        </is>
      </c>
      <c r="B2" s="2" t="inlineStr">
        <is>
          <t>entity:QNL_B_002_KITCHEN</t>
        </is>
      </c>
      <c r="C2" s="2">
        <f>IFERROR(INDEX(AHUB!$A$2:$A$16,MATCH("AHUB"&amp;TEXT(VALUE(MID(A2,FIND("_",A2,FIND("_",A2)+1)+2,FIND("_",A2,FIND("_",A2,FIND("_",A2)+1)+1)-FIND("_",A2,FIND("_",A2)+1)-2)),"000"),AHUB!$A$2:$A$16,0)),"No match")</f>
        <v/>
      </c>
    </row>
    <row r="3">
      <c r="A3" s="2" t="inlineStr">
        <is>
          <t>VAV_B_S11_026</t>
        </is>
      </c>
      <c r="B3" s="2" t="inlineStr">
        <is>
          <t>entity:QNL_B_003_FINANCE_COORDINATOR_&amp;_BUSINESS_SUPPORT_OFCR</t>
        </is>
      </c>
      <c r="C3" s="2">
        <f>IFERROR(INDEX(AHUB!$A$2:$A$16,MATCH("AHUB"&amp;TEXT(VALUE(MID(A3,FIND("_",A3,FIND("_",A3)+1)+2,FIND("_",A3,FIND("_",A3,FIND("_",A3)+1)+1)-FIND("_",A3,FIND("_",A3)+1)-2)),"000"),AHUB!$A$2:$A$16,0)),"No match")</f>
        <v/>
      </c>
    </row>
    <row r="4">
      <c r="A4" s="2" t="inlineStr">
        <is>
          <t>VAV_B_S11_027</t>
        </is>
      </c>
      <c r="B4" s="2" t="inlineStr">
        <is>
          <t>entity:QNL_B_003_FINANCE_COORDINATOR_&amp;_BUSINESS_SUPPORT_OFCR</t>
        </is>
      </c>
      <c r="C4" s="2">
        <f>IFERROR(INDEX(AHUB!$A$2:$A$16,MATCH("AHUB"&amp;TEXT(VALUE(MID(A4,FIND("_",A4,FIND("_",A4)+1)+2,FIND("_",A4,FIND("_",A4,FIND("_",A4)+1)+1)-FIND("_",A4,FIND("_",A4)+1)-2)),"000"),AHUB!$A$2:$A$16,0)),"No match")</f>
        <v/>
      </c>
    </row>
    <row r="5">
      <c r="A5" s="2" t="inlineStr">
        <is>
          <t>VAV_B_S11_028</t>
        </is>
      </c>
      <c r="B5" s="2" t="inlineStr">
        <is>
          <t>entity:QNL_B_004_ANALOG_RESOURCES</t>
        </is>
      </c>
      <c r="C5" s="2">
        <f>IFERROR(INDEX(AHUB!$A$2:$A$16,MATCH("AHUB"&amp;TEXT(VALUE(MID(A5,FIND("_",A5,FIND("_",A5)+1)+2,FIND("_",A5,FIND("_",A5,FIND("_",A5)+1)+1)-FIND("_",A5,FIND("_",A5)+1)-2)),"000"),AHUB!$A$2:$A$16,0)),"No match")</f>
        <v/>
      </c>
    </row>
    <row r="6">
      <c r="A6" s="2" t="inlineStr">
        <is>
          <t>VAV_B_S11_029</t>
        </is>
      </c>
      <c r="B6" s="2" t="inlineStr">
        <is>
          <t>entity:QNL_B_005_DIGITAL_RESOURCES</t>
        </is>
      </c>
      <c r="C6" s="2">
        <f>IFERROR(INDEX(AHUB!$A$2:$A$16,MATCH("AHUB"&amp;TEXT(VALUE(MID(A6,FIND("_",A6,FIND("_",A6)+1)+2,FIND("_",A6,FIND("_",A6,FIND("_",A6)+1)+1)-FIND("_",A6,FIND("_",A6)+1)-2)),"000"),AHUB!$A$2:$A$16,0)),"No match")</f>
        <v/>
      </c>
    </row>
    <row r="7">
      <c r="A7" s="2" t="inlineStr">
        <is>
          <t>VAV_B_S11_030</t>
        </is>
      </c>
      <c r="B7" s="2" t="inlineStr">
        <is>
          <t>entity:QNL_B_006_BUDGET_&amp;_PAYMENT_1</t>
        </is>
      </c>
      <c r="C7" s="2">
        <f>IFERROR(INDEX(AHUB!$A$2:$A$16,MATCH("AHUB"&amp;TEXT(VALUE(MID(A7,FIND("_",A7,FIND("_",A7)+1)+2,FIND("_",A7,FIND("_",A7,FIND("_",A7)+1)+1)-FIND("_",A7,FIND("_",A7)+1)-2)),"000"),AHUB!$A$2:$A$16,0)),"No match")</f>
        <v/>
      </c>
    </row>
    <row r="8">
      <c r="A8" s="2" t="inlineStr">
        <is>
          <t>VAV_B_S11_031</t>
        </is>
      </c>
      <c r="B8" s="2" t="inlineStr">
        <is>
          <t>entity:QNL_B_007_BUDGET_&amp;_PAYMENT_2</t>
        </is>
      </c>
      <c r="C8" s="2">
        <f>IFERROR(INDEX(AHUB!$A$2:$A$16,MATCH("AHUB"&amp;TEXT(VALUE(MID(A8,FIND("_",A8,FIND("_",A8)+1)+2,FIND("_",A8,FIND("_",A8,FIND("_",A8)+1)+1)-FIND("_",A8,FIND("_",A8)+1)-2)),"000"),AHUB!$A$2:$A$16,0)),"No match")</f>
        <v/>
      </c>
    </row>
    <row r="9">
      <c r="A9" s="2" t="inlineStr">
        <is>
          <t>VAV_B_S11_043</t>
        </is>
      </c>
      <c r="B9" s="2" t="inlineStr">
        <is>
          <t>entity:QNL_B_008_RECEIVING_AREA</t>
        </is>
      </c>
      <c r="C9" s="2">
        <f>IFERROR(INDEX(AHUB!$A$2:$A$16,MATCH("AHUB"&amp;TEXT(VALUE(MID(A9,FIND("_",A9,FIND("_",A9)+1)+2,FIND("_",A9,FIND("_",A9,FIND("_",A9)+1)+1)-FIND("_",A9,FIND("_",A9)+1)-2)),"000"),AHUB!$A$2:$A$16,0)),"No match")</f>
        <v/>
      </c>
    </row>
    <row r="10">
      <c r="A10" s="2" t="inlineStr">
        <is>
          <t>VAV_B_S11_044</t>
        </is>
      </c>
      <c r="B10" s="2" t="inlineStr">
        <is>
          <t>entity:QNL_B_008_RECEIVING_AREA</t>
        </is>
      </c>
      <c r="C10" s="2">
        <f>IFERROR(INDEX(AHUB!$A$2:$A$16,MATCH("AHUB"&amp;TEXT(VALUE(MID(A10,FIND("_",A10,FIND("_",A10)+1)+2,FIND("_",A10,FIND("_",A10,FIND("_",A10)+1)+1)-FIND("_",A10,FIND("_",A10)+1)-2)),"000"),AHUB!$A$2:$A$16,0)),"No match")</f>
        <v/>
      </c>
    </row>
    <row r="11">
      <c r="A11" s="2" t="inlineStr">
        <is>
          <t>VAV_B_S11_045</t>
        </is>
      </c>
      <c r="B11" s="2" t="inlineStr">
        <is>
          <t>entity:QNL_B_008_RECEIVING_AREA</t>
        </is>
      </c>
      <c r="C11" s="2">
        <f>IFERROR(INDEX(AHUB!$A$2:$A$16,MATCH("AHUB"&amp;TEXT(VALUE(MID(A11,FIND("_",A11,FIND("_",A11)+1)+2,FIND("_",A11,FIND("_",A11,FIND("_",A11)+1)+1)-FIND("_",A11,FIND("_",A11)+1)-2)),"000"),AHUB!$A$2:$A$16,0)),"No match")</f>
        <v/>
      </c>
    </row>
    <row r="12">
      <c r="A12" s="2" t="inlineStr">
        <is>
          <t>VAV_B_S11_046</t>
        </is>
      </c>
      <c r="B12" s="2" t="inlineStr">
        <is>
          <t>entity:QNL_B_008_RECEIVING_AREA</t>
        </is>
      </c>
      <c r="C12" s="2">
        <f>IFERROR(INDEX(AHUB!$A$2:$A$16,MATCH("AHUB"&amp;TEXT(VALUE(MID(A12,FIND("_",A12,FIND("_",A12)+1)+2,FIND("_",A12,FIND("_",A12,FIND("_",A12)+1)+1)-FIND("_",A12,FIND("_",A12)+1)-2)),"000"),AHUB!$A$2:$A$16,0)),"No match")</f>
        <v/>
      </c>
    </row>
    <row r="13">
      <c r="A13" s="2" t="inlineStr">
        <is>
          <t>VAV_B_S11_021</t>
        </is>
      </c>
      <c r="B13" s="2" t="inlineStr">
        <is>
          <t>entity:QNL_B_009_RECEPTION_&amp;_LOUNGE</t>
        </is>
      </c>
      <c r="C13" s="2">
        <f>IFERROR(INDEX(AHUB!$A$2:$A$16,MATCH("AHUB"&amp;TEXT(VALUE(MID(A13,FIND("_",A13,FIND("_",A13)+1)+2,FIND("_",A13,FIND("_",A13,FIND("_",A13)+1)+1)-FIND("_",A13,FIND("_",A13)+1)-2)),"000"),AHUB!$A$2:$A$16,0)),"No match")</f>
        <v/>
      </c>
    </row>
    <row r="14">
      <c r="A14" s="2" t="inlineStr">
        <is>
          <t>VAV_B_S11_022</t>
        </is>
      </c>
      <c r="B14" s="2" t="inlineStr">
        <is>
          <t>entity:QNL_B_009_RECEPTION_&amp;_LOUNGE</t>
        </is>
      </c>
      <c r="C14" s="2">
        <f>IFERROR(INDEX(AHUB!$A$2:$A$16,MATCH("AHUB"&amp;TEXT(VALUE(MID(A14,FIND("_",A14,FIND("_",A14)+1)+2,FIND("_",A14,FIND("_",A14,FIND("_",A14)+1)+1)-FIND("_",A14,FIND("_",A14)+1)-2)),"000"),AHUB!$A$2:$A$16,0)),"No match")</f>
        <v/>
      </c>
    </row>
    <row r="15">
      <c r="A15" s="2" t="inlineStr">
        <is>
          <t>VAV_B_S11_023</t>
        </is>
      </c>
      <c r="B15" s="2" t="inlineStr">
        <is>
          <t>entity:QNL_B_009_RECEPTION_&amp;_LOUNGE</t>
        </is>
      </c>
      <c r="C15" s="2">
        <f>IFERROR(INDEX(AHUB!$A$2:$A$16,MATCH("AHUB"&amp;TEXT(VALUE(MID(A15,FIND("_",A15,FIND("_",A15)+1)+2,FIND("_",A15,FIND("_",A15,FIND("_",A15)+1)+1)-FIND("_",A15,FIND("_",A15)+1)-2)),"000"),AHUB!$A$2:$A$16,0)),"No match")</f>
        <v/>
      </c>
    </row>
    <row r="16">
      <c r="A16" s="2" t="inlineStr">
        <is>
          <t>VAV_B_S11_034</t>
        </is>
      </c>
      <c r="B16" s="2" t="inlineStr">
        <is>
          <t>entity:QNL_B_020_ENGINEERING</t>
        </is>
      </c>
      <c r="C16" s="2">
        <f>IFERROR(INDEX(AHUB!$A$2:$A$16,MATCH("AHUB"&amp;TEXT(VALUE(MID(A16,FIND("_",A16,FIND("_",A16)+1)+2,FIND("_",A16,FIND("_",A16,FIND("_",A16)+1)+1)-FIND("_",A16,FIND("_",A16)+1)-2)),"000"),AHUB!$A$2:$A$16,0)),"No match")</f>
        <v/>
      </c>
    </row>
    <row r="17">
      <c r="A17" s="2" t="inlineStr">
        <is>
          <t>VAV_B_S11_035</t>
        </is>
      </c>
      <c r="B17" s="2" t="inlineStr">
        <is>
          <t>entity:QNL_B_021_ARABIC_STUDIES</t>
        </is>
      </c>
      <c r="C17" s="2">
        <f>IFERROR(INDEX(AHUB!$A$2:$A$16,MATCH("AHUB"&amp;TEXT(VALUE(MID(A17,FIND("_",A17,FIND("_",A17)+1)+2,FIND("_",A17,FIND("_",A17,FIND("_",A17)+1)+1)-FIND("_",A17,FIND("_",A17)+1)-2)),"000"),AHUB!$A$2:$A$16,0)),"No match")</f>
        <v/>
      </c>
    </row>
    <row r="18">
      <c r="A18" s="2" t="inlineStr">
        <is>
          <t>VAV_B_S11_036</t>
        </is>
      </c>
      <c r="B18" s="2" t="inlineStr">
        <is>
          <t>entity:QNL_B_022_LICENSING_EXPERT</t>
        </is>
      </c>
      <c r="C18" s="2">
        <f>IFERROR(INDEX(AHUB!$A$2:$A$16,MATCH("AHUB"&amp;TEXT(VALUE(MID(A18,FIND("_",A18,FIND("_",A18)+1)+2,FIND("_",A18,FIND("_",A18,FIND("_",A18)+1)+1)-FIND("_",A18,FIND("_",A18)+1)-2)),"000"),AHUB!$A$2:$A$16,0)),"No match")</f>
        <v/>
      </c>
    </row>
    <row r="19">
      <c r="A19" s="2" t="inlineStr">
        <is>
          <t>VAV_B_S11_037</t>
        </is>
      </c>
      <c r="B19" s="2" t="inlineStr">
        <is>
          <t>entity:QNL_B_023_ARTS_&amp;_HUMANITIES</t>
        </is>
      </c>
      <c r="C19" s="2">
        <f>IFERROR(INDEX(AHUB!$A$2:$A$16,MATCH("AHUB"&amp;TEXT(VALUE(MID(A19,FIND("_",A19,FIND("_",A19)+1)+2,FIND("_",A19,FIND("_",A19,FIND("_",A19)+1)+1)-FIND("_",A19,FIND("_",A19)+1)-2)),"000"),AHUB!$A$2:$A$16,0)),"No match")</f>
        <v/>
      </c>
    </row>
    <row r="20">
      <c r="A20" s="2" t="inlineStr">
        <is>
          <t>VAV_B_S11_032</t>
        </is>
      </c>
      <c r="B20" s="2" t="inlineStr">
        <is>
          <t>entity:QNL_B_024_AD_COLLECTIONS</t>
        </is>
      </c>
      <c r="C20" s="2">
        <f>IFERROR(INDEX(AHUB!$A$2:$A$16,MATCH("AHUB"&amp;TEXT(VALUE(MID(A20,FIND("_",A20,FIND("_",A20)+1)+2,FIND("_",A20,FIND("_",A20,FIND("_",A20)+1)+1)-FIND("_",A20,FIND("_",A20)+1)-2)),"000"),AHUB!$A$2:$A$16,0)),"No match")</f>
        <v/>
      </c>
    </row>
    <row r="21">
      <c r="A21" s="2" t="inlineStr">
        <is>
          <t>VAV_B_S11_033</t>
        </is>
      </c>
      <c r="B21" s="2" t="inlineStr">
        <is>
          <t>entity:QNL_B_024_AD_COLLECTIONS</t>
        </is>
      </c>
      <c r="C21" s="2">
        <f>IFERROR(INDEX(AHUB!$A$2:$A$16,MATCH("AHUB"&amp;TEXT(VALUE(MID(A21,FIND("_",A21,FIND("_",A21)+1)+2,FIND("_",A21,FIND("_",A21,FIND("_",A21)+1)+1)-FIND("_",A21,FIND("_",A21)+1)-2)),"000"),AHUB!$A$2:$A$16,0)),"No match")</f>
        <v/>
      </c>
    </row>
    <row r="22">
      <c r="A22" s="2" t="inlineStr">
        <is>
          <t>VAV_B_S11_040</t>
        </is>
      </c>
      <c r="B22" s="2" t="inlineStr">
        <is>
          <t>entity:QNL_B_025_SOCIAL_SCIENCES</t>
        </is>
      </c>
      <c r="C22" s="2">
        <f>IFERROR(INDEX(AHUB!$A$2:$A$16,MATCH("AHUB"&amp;TEXT(VALUE(MID(A22,FIND("_",A22,FIND("_",A22)+1)+2,FIND("_",A22,FIND("_",A22,FIND("_",A22)+1)+1)-FIND("_",A22,FIND("_",A22)+1)-2)),"000"),AHUB!$A$2:$A$16,0)),"No match")</f>
        <v/>
      </c>
    </row>
    <row r="23">
      <c r="A23" s="2" t="inlineStr">
        <is>
          <t>VAV_B_S11_039</t>
        </is>
      </c>
      <c r="B23" s="2" t="inlineStr">
        <is>
          <t>entity:QNL_B_026_BUSINESS_&amp;_COMPUTING</t>
        </is>
      </c>
      <c r="C23" s="2">
        <f>IFERROR(INDEX(AHUB!$A$2:$A$16,MATCH("AHUB"&amp;TEXT(VALUE(MID(A23,FIND("_",A23,FIND("_",A23)+1)+2,FIND("_",A23,FIND("_",A23,FIND("_",A23)+1)+1)-FIND("_",A23,FIND("_",A23)+1)-2)),"000"),AHUB!$A$2:$A$16,0)),"No match")</f>
        <v/>
      </c>
    </row>
    <row r="24">
      <c r="A24" s="2" t="inlineStr">
        <is>
          <t>VAV_B_S11_038</t>
        </is>
      </c>
      <c r="B24" s="2" t="inlineStr">
        <is>
          <t>entity:QNL_B_027_PROCUREMENT_SPC_PROCUREMENT_OFCR</t>
        </is>
      </c>
      <c r="C24" s="2">
        <f>IFERROR(INDEX(AHUB!$A$2:$A$16,MATCH("AHUB"&amp;TEXT(VALUE(MID(A24,FIND("_",A24,FIND("_",A24)+1)+2,FIND("_",A24,FIND("_",A24,FIND("_",A24)+1)+1)-FIND("_",A24,FIND("_",A24)+1)-2)),"000"),AHUB!$A$2:$A$16,0)),"No match")</f>
        <v/>
      </c>
    </row>
    <row r="25">
      <c r="A25" s="2" t="inlineStr">
        <is>
          <t>VAV_B_S11_025</t>
        </is>
      </c>
      <c r="B25" s="2" t="inlineStr">
        <is>
          <t>entity:QNL_B_028_STORAGE</t>
        </is>
      </c>
      <c r="C25" s="2">
        <f>IFERROR(INDEX(AHUB!$A$2:$A$16,MATCH("AHUB"&amp;TEXT(VALUE(MID(A25,FIND("_",A25,FIND("_",A25)+1)+2,FIND("_",A25,FIND("_",A25,FIND("_",A25)+1)+1)-FIND("_",A25,FIND("_",A25)+1)-2)),"000"),AHUB!$A$2:$A$16,0)),"No match")</f>
        <v/>
      </c>
    </row>
    <row r="26">
      <c r="A26" s="2" t="inlineStr">
        <is>
          <t>VAV_B_S11_041</t>
        </is>
      </c>
      <c r="B26" s="2" t="inlineStr">
        <is>
          <t>entity:QNL_B_029_LITERATURE_&amp;_ANGUAGE</t>
        </is>
      </c>
      <c r="C26" s="2">
        <f>IFERROR(INDEX(AHUB!$A$2:$A$16,MATCH("AHUB"&amp;TEXT(VALUE(MID(A26,FIND("_",A26,FIND("_",A26)+1)+2,FIND("_",A26,FIND("_",A26,FIND("_",A26)+1)+1)-FIND("_",A26,FIND("_",A26)+1)-2)),"000"),AHUB!$A$2:$A$16,0)),"No match")</f>
        <v/>
      </c>
    </row>
    <row r="27">
      <c r="A27" s="2" t="inlineStr">
        <is>
          <t>VAV_B_S11_042</t>
        </is>
      </c>
      <c r="B27" s="2" t="inlineStr">
        <is>
          <t>entity:QNL_B_030_SNR_P_COORDINATOR_&amp;_P_COORDINATOR</t>
        </is>
      </c>
      <c r="C27" s="2">
        <f>IFERROR(INDEX(AHUB!$A$2:$A$16,MATCH("AHUB"&amp;TEXT(VALUE(MID(A27,FIND("_",A27,FIND("_",A27)+1)+2,FIND("_",A27,FIND("_",A27,FIND("_",A27)+1)+1)-FIND("_",A27,FIND("_",A27)+1)-2)),"000"),AHUB!$A$2:$A$16,0)),"No match")</f>
        <v/>
      </c>
    </row>
    <row r="28">
      <c r="A28" s="2" t="inlineStr">
        <is>
          <t>VAV_B_S13_001</t>
        </is>
      </c>
      <c r="B28" s="2" t="inlineStr">
        <is>
          <t>entity:QNL_B_034_MEETING_ROOM</t>
        </is>
      </c>
      <c r="C28" s="2">
        <f>IFERROR(INDEX(AHUB!$A$2:$A$16,MATCH("AHUB"&amp;TEXT(VALUE(MID(A28,FIND("_",A28,FIND("_",A28)+1)+2,FIND("_",A28,FIND("_",A28,FIND("_",A28)+1)+1)-FIND("_",A28,FIND("_",A28)+1)-2)),"000"),AHUB!$A$2:$A$16,0)),"No match")</f>
        <v/>
      </c>
    </row>
    <row r="29">
      <c r="A29" s="2" t="inlineStr">
        <is>
          <t>VAV_B_S13_002</t>
        </is>
      </c>
      <c r="B29" s="2" t="inlineStr">
        <is>
          <t>entity:QNL_B_034_MEETING_ROOM</t>
        </is>
      </c>
      <c r="C29" s="2">
        <f>IFERROR(INDEX(AHUB!$A$2:$A$16,MATCH("AHUB"&amp;TEXT(VALUE(MID(A29,FIND("_",A29,FIND("_",A29)+1)+2,FIND("_",A29,FIND("_",A29,FIND("_",A29)+1)+1)-FIND("_",A29,FIND("_",A29)+1)-2)),"000"),AHUB!$A$2:$A$16,0)),"No match")</f>
        <v/>
      </c>
    </row>
    <row r="30">
      <c r="A30" s="2" t="inlineStr">
        <is>
          <t>VAV_B_S14_001</t>
        </is>
      </c>
      <c r="B30" s="2" t="inlineStr">
        <is>
          <t>entity:QNL_B_040_OFFICE</t>
        </is>
      </c>
      <c r="C30" s="2">
        <f>IFERROR(INDEX(AHUB!$A$2:$A$16,MATCH("AHUB"&amp;TEXT(VALUE(MID(A30,FIND("_",A30,FIND("_",A30)+1)+2,FIND("_",A30,FIND("_",A30,FIND("_",A30)+1)+1)-FIND("_",A30,FIND("_",A30)+1)-2)),"000"),AHUB!$A$2:$A$16,0)),"No match")</f>
        <v/>
      </c>
    </row>
    <row r="31">
      <c r="A31" s="2" t="inlineStr">
        <is>
          <t>VAV_B_S14_004</t>
        </is>
      </c>
      <c r="B31" s="2" t="inlineStr">
        <is>
          <t>entity:QNL_B_041_DIGITIZATION_ROOM</t>
        </is>
      </c>
      <c r="C31" s="2">
        <f>IFERROR(INDEX(AHUB!$A$2:$A$16,MATCH("AHUB"&amp;TEXT(VALUE(MID(A31,FIND("_",A31,FIND("_",A31)+1)+2,FIND("_",A31,FIND("_",A31,FIND("_",A31)+1)+1)-FIND("_",A31,FIND("_",A31)+1)-2)),"000"),AHUB!$A$2:$A$16,0)),"No match")</f>
        <v/>
      </c>
    </row>
    <row r="32">
      <c r="A32" s="2" t="inlineStr">
        <is>
          <t>VAV_B_S14_005</t>
        </is>
      </c>
      <c r="B32" s="2" t="inlineStr">
        <is>
          <t>entity:QNL_B_041_DIGITIZATION_ROOM</t>
        </is>
      </c>
      <c r="C32" s="2">
        <f>IFERROR(INDEX(AHUB!$A$2:$A$16,MATCH("AHUB"&amp;TEXT(VALUE(MID(A32,FIND("_",A32,FIND("_",A32)+1)+2,FIND("_",A32,FIND("_",A32,FIND("_",A32)+1)+1)-FIND("_",A32,FIND("_",A32)+1)-2)),"000"),AHUB!$A$2:$A$16,0)),"No match")</f>
        <v/>
      </c>
    </row>
    <row r="33">
      <c r="A33" s="2" t="inlineStr">
        <is>
          <t>VAV_B_S14_006</t>
        </is>
      </c>
      <c r="B33" s="2" t="inlineStr">
        <is>
          <t>entity:QNL_B_041_DIGITIZATION_ROOM</t>
        </is>
      </c>
      <c r="C33" s="2">
        <f>IFERROR(INDEX(AHUB!$A$2:$A$16,MATCH("AHUB"&amp;TEXT(VALUE(MID(A33,FIND("_",A33,FIND("_",A33)+1)+2,FIND("_",A33,FIND("_",A33,FIND("_",A33)+1)+1)-FIND("_",A33,FIND("_",A33)+1)-2)),"000"),AHUB!$A$2:$A$16,0)),"No match")</f>
        <v/>
      </c>
    </row>
    <row r="34">
      <c r="A34" s="2" t="inlineStr">
        <is>
          <t>VAV_B_S14_009</t>
        </is>
      </c>
      <c r="B34" s="2" t="inlineStr">
        <is>
          <t>entity:QNL_B_041_DIGITIZATION_ROOM</t>
        </is>
      </c>
      <c r="C34" s="2">
        <f>IFERROR(INDEX(AHUB!$A$2:$A$16,MATCH("AHUB"&amp;TEXT(VALUE(MID(A34,FIND("_",A34,FIND("_",A34)+1)+2,FIND("_",A34,FIND("_",A34,FIND("_",A34)+1)+1)-FIND("_",A34,FIND("_",A34)+1)-2)),"000"),AHUB!$A$2:$A$16,0)),"No match")</f>
        <v/>
      </c>
    </row>
    <row r="35">
      <c r="A35" s="2" t="inlineStr">
        <is>
          <t>VAV_B_S14_010</t>
        </is>
      </c>
      <c r="B35" s="2" t="inlineStr">
        <is>
          <t>entity:QNL_B_041_DIGITIZATION_ROOM</t>
        </is>
      </c>
      <c r="C35" s="2">
        <f>IFERROR(INDEX(AHUB!$A$2:$A$16,MATCH("AHUB"&amp;TEXT(VALUE(MID(A35,FIND("_",A35,FIND("_",A35)+1)+2,FIND("_",A35,FIND("_",A35,FIND("_",A35)+1)+1)-FIND("_",A35,FIND("_",A35)+1)-2)),"000"),AHUB!$A$2:$A$16,0)),"No match")</f>
        <v/>
      </c>
    </row>
    <row r="36">
      <c r="A36" s="2" t="inlineStr">
        <is>
          <t>VAV_B_S14_011</t>
        </is>
      </c>
      <c r="B36" s="2" t="inlineStr">
        <is>
          <t>entity:QNL_B_041_DIGITIZATION_ROOM</t>
        </is>
      </c>
      <c r="C36" s="2">
        <f>IFERROR(INDEX(AHUB!$A$2:$A$16,MATCH("AHUB"&amp;TEXT(VALUE(MID(A36,FIND("_",A36,FIND("_",A36)+1)+2,FIND("_",A36,FIND("_",A36,FIND("_",A36)+1)+1)-FIND("_",A36,FIND("_",A36)+1)-2)),"000"),AHUB!$A$2:$A$16,0)),"No match")</f>
        <v/>
      </c>
    </row>
    <row r="37">
      <c r="A37" s="2" t="inlineStr">
        <is>
          <t>VAV_B_S14_012</t>
        </is>
      </c>
      <c r="B37" s="2" t="inlineStr">
        <is>
          <t>entity:QNL_B_041_DIGITIZATION_ROOM</t>
        </is>
      </c>
      <c r="C37" s="2">
        <f>IFERROR(INDEX(AHUB!$A$2:$A$16,MATCH("AHUB"&amp;TEXT(VALUE(MID(A37,FIND("_",A37,FIND("_",A37)+1)+2,FIND("_",A37,FIND("_",A37,FIND("_",A37)+1)+1)-FIND("_",A37,FIND("_",A37)+1)-2)),"000"),AHUB!$A$2:$A$16,0)),"No match")</f>
        <v/>
      </c>
    </row>
    <row r="38">
      <c r="A38" s="2" t="inlineStr">
        <is>
          <t>VAV_B_S14_015</t>
        </is>
      </c>
      <c r="B38" s="2" t="inlineStr">
        <is>
          <t>entity:QNL_B_041_DIGITIZATION_ROOM</t>
        </is>
      </c>
      <c r="C38" s="2">
        <f>IFERROR(INDEX(AHUB!$A$2:$A$16,MATCH("AHUB"&amp;TEXT(VALUE(MID(A38,FIND("_",A38,FIND("_",A38)+1)+2,FIND("_",A38,FIND("_",A38,FIND("_",A38)+1)+1)-FIND("_",A38,FIND("_",A38)+1)-2)),"000"),AHUB!$A$2:$A$16,0)),"No match")</f>
        <v/>
      </c>
    </row>
    <row r="39">
      <c r="A39" s="2" t="inlineStr">
        <is>
          <t>VAV_B_S14_016</t>
        </is>
      </c>
      <c r="B39" s="2" t="inlineStr">
        <is>
          <t>entity:QNL_B_041_DIGITIZATION_ROOM</t>
        </is>
      </c>
      <c r="C39" s="2">
        <f>IFERROR(INDEX(AHUB!$A$2:$A$16,MATCH("AHUB"&amp;TEXT(VALUE(MID(A39,FIND("_",A39,FIND("_",A39)+1)+2,FIND("_",A39,FIND("_",A39,FIND("_",A39)+1)+1)-FIND("_",A39,FIND("_",A39)+1)-2)),"000"),AHUB!$A$2:$A$16,0)),"No match")</f>
        <v/>
      </c>
    </row>
    <row r="40">
      <c r="A40" s="2" t="inlineStr">
        <is>
          <t>VAV_B_S14_042</t>
        </is>
      </c>
      <c r="B40" s="2" t="inlineStr">
        <is>
          <t>entity:QNL_B_043_BINDING_&amp;_PRESERVATION_SPACE</t>
        </is>
      </c>
      <c r="C40" s="2">
        <f>IFERROR(INDEX(AHUB!$A$2:$A$16,MATCH("AHUB"&amp;TEXT(VALUE(MID(A40,FIND("_",A40,FIND("_",A40)+1)+2,FIND("_",A40,FIND("_",A40,FIND("_",A40)+1)+1)-FIND("_",A40,FIND("_",A40)+1)-2)),"000"),AHUB!$A$2:$A$16,0)),"No match")</f>
        <v/>
      </c>
    </row>
    <row r="41">
      <c r="A41" s="2" t="inlineStr">
        <is>
          <t>VAV_B_S14_043</t>
        </is>
      </c>
      <c r="B41" s="2" t="inlineStr">
        <is>
          <t>entity:QNL_B_043_BINDING_&amp;_PRESERVATION_SPACE</t>
        </is>
      </c>
      <c r="C41" s="2">
        <f>IFERROR(INDEX(AHUB!$A$2:$A$16,MATCH("AHUB"&amp;TEXT(VALUE(MID(A41,FIND("_",A41,FIND("_",A41)+1)+2,FIND("_",A41,FIND("_",A41,FIND("_",A41)+1)+1)-FIND("_",A41,FIND("_",A41)+1)-2)),"000"),AHUB!$A$2:$A$16,0)),"No match")</f>
        <v/>
      </c>
    </row>
    <row r="42">
      <c r="A42" s="2" t="inlineStr">
        <is>
          <t>VAV_B_S14_044</t>
        </is>
      </c>
      <c r="B42" s="2" t="inlineStr">
        <is>
          <t>entity:QNL_B_043_BINDING_&amp;_PRESERVATION_SPACE</t>
        </is>
      </c>
      <c r="C42" s="2">
        <f>IFERROR(INDEX(AHUB!$A$2:$A$16,MATCH("AHUB"&amp;TEXT(VALUE(MID(A42,FIND("_",A42,FIND("_",A42)+1)+2,FIND("_",A42,FIND("_",A42,FIND("_",A42)+1)+1)-FIND("_",A42,FIND("_",A42)+1)-2)),"000"),AHUB!$A$2:$A$16,0)),"No match")</f>
        <v/>
      </c>
    </row>
    <row r="43">
      <c r="A43" s="2" t="inlineStr">
        <is>
          <t>VAV_B_S14_045</t>
        </is>
      </c>
      <c r="B43" s="2" t="inlineStr">
        <is>
          <t>entity:QNL_B_043_BINDING_&amp;_PRESERVATION_SPACE</t>
        </is>
      </c>
      <c r="C43" s="2">
        <f>IFERROR(INDEX(AHUB!$A$2:$A$16,MATCH("AHUB"&amp;TEXT(VALUE(MID(A43,FIND("_",A43,FIND("_",A43)+1)+2,FIND("_",A43,FIND("_",A43,FIND("_",A43)+1)+1)-FIND("_",A43,FIND("_",A43)+1)-2)),"000"),AHUB!$A$2:$A$16,0)),"No match")</f>
        <v/>
      </c>
    </row>
    <row r="44">
      <c r="A44" s="2" t="inlineStr">
        <is>
          <t>VAV_B_S14_046</t>
        </is>
      </c>
      <c r="B44" s="2" t="inlineStr">
        <is>
          <t>entity:QNL_B_043_BINDING_&amp;_PRESERVATION_SPACE</t>
        </is>
      </c>
      <c r="C44" s="2">
        <f>IFERROR(INDEX(AHUB!$A$2:$A$16,MATCH("AHUB"&amp;TEXT(VALUE(MID(A44,FIND("_",A44,FIND("_",A44)+1)+2,FIND("_",A44,FIND("_",A44,FIND("_",A44)+1)+1)-FIND("_",A44,FIND("_",A44)+1)-2)),"000"),AHUB!$A$2:$A$16,0)),"No match")</f>
        <v/>
      </c>
    </row>
    <row r="45">
      <c r="A45" s="2" t="inlineStr">
        <is>
          <t>VAV_B_S14_048</t>
        </is>
      </c>
      <c r="B45" s="2" t="inlineStr">
        <is>
          <t>entity:QNL_B_043_BINDING_&amp;_PRESERVATION_SPACE</t>
        </is>
      </c>
      <c r="C45" s="2">
        <f>IFERROR(INDEX(AHUB!$A$2:$A$16,MATCH("AHUB"&amp;TEXT(VALUE(MID(A45,FIND("_",A45,FIND("_",A45)+1)+2,FIND("_",A45,FIND("_",A45,FIND("_",A45)+1)+1)-FIND("_",A45,FIND("_",A45)+1)-2)),"000"),AHUB!$A$2:$A$16,0)),"No match")</f>
        <v/>
      </c>
    </row>
    <row r="46">
      <c r="A46" s="2" t="inlineStr">
        <is>
          <t>VAV_B_S14_049</t>
        </is>
      </c>
      <c r="B46" s="2" t="inlineStr">
        <is>
          <t>entity:QNL_B_043_BINDING_&amp;_PRESERVATION_SPACE</t>
        </is>
      </c>
      <c r="C46" s="2">
        <f>IFERROR(INDEX(AHUB!$A$2:$A$16,MATCH("AHUB"&amp;TEXT(VALUE(MID(A46,FIND("_",A46,FIND("_",A46)+1)+2,FIND("_",A46,FIND("_",A46,FIND("_",A46)+1)+1)-FIND("_",A46,FIND("_",A46)+1)-2)),"000"),AHUB!$A$2:$A$16,0)),"No match")</f>
        <v/>
      </c>
    </row>
    <row r="47">
      <c r="A47" s="2" t="inlineStr">
        <is>
          <t>VAV_B_S14_050</t>
        </is>
      </c>
      <c r="B47" s="2" t="inlineStr">
        <is>
          <t>entity:QNL_B_043_BINDING_&amp;_PRESERVATION_SPACE</t>
        </is>
      </c>
      <c r="C47" s="2">
        <f>IFERROR(INDEX(AHUB!$A$2:$A$16,MATCH("AHUB"&amp;TEXT(VALUE(MID(A47,FIND("_",A47,FIND("_",A47)+1)+2,FIND("_",A47,FIND("_",A47,FIND("_",A47)+1)+1)-FIND("_",A47,FIND("_",A47)+1)-2)),"000"),AHUB!$A$2:$A$16,0)),"No match")</f>
        <v/>
      </c>
    </row>
    <row r="48">
      <c r="A48" s="2" t="inlineStr">
        <is>
          <t>VAV_B_S14_051</t>
        </is>
      </c>
      <c r="B48" s="2" t="inlineStr">
        <is>
          <t>entity:QNL_B_043_BINDING_&amp;_PRESERVATION_SPACE</t>
        </is>
      </c>
      <c r="C48" s="2">
        <f>IFERROR(INDEX(AHUB!$A$2:$A$16,MATCH("AHUB"&amp;TEXT(VALUE(MID(A48,FIND("_",A48,FIND("_",A48)+1)+2,FIND("_",A48,FIND("_",A48,FIND("_",A48)+1)+1)-FIND("_",A48,FIND("_",A48)+1)-2)),"000"),AHUB!$A$2:$A$16,0)),"No match")</f>
        <v/>
      </c>
    </row>
    <row r="49">
      <c r="A49" s="2" t="inlineStr">
        <is>
          <t>VAV_B_S14_007</t>
        </is>
      </c>
      <c r="B49" s="2" t="inlineStr">
        <is>
          <t>entity:QNL_B_058_SHELL_SPACE</t>
        </is>
      </c>
      <c r="C49" s="2">
        <f>IFERROR(INDEX(AHUB!$A$2:$A$16,MATCH("AHUB"&amp;TEXT(VALUE(MID(A49,FIND("_",A49,FIND("_",A49)+1)+2,FIND("_",A49,FIND("_",A49,FIND("_",A49)+1)+1)-FIND("_",A49,FIND("_",A49)+1)-2)),"000"),AHUB!$A$2:$A$16,0)),"No match")</f>
        <v/>
      </c>
    </row>
    <row r="50">
      <c r="A50" s="2" t="inlineStr">
        <is>
          <t>VAV_B_S14_013</t>
        </is>
      </c>
      <c r="B50" s="2" t="inlineStr">
        <is>
          <t>entity:QNL_B_058_SHELL_SPACE</t>
        </is>
      </c>
      <c r="C50" s="2">
        <f>IFERROR(INDEX(AHUB!$A$2:$A$16,MATCH("AHUB"&amp;TEXT(VALUE(MID(A50,FIND("_",A50,FIND("_",A50)+1)+2,FIND("_",A50,FIND("_",A50,FIND("_",A50)+1)+1)-FIND("_",A50,FIND("_",A50)+1)-2)),"000"),AHUB!$A$2:$A$16,0)),"No match")</f>
        <v/>
      </c>
    </row>
    <row r="51">
      <c r="A51" s="2" t="inlineStr">
        <is>
          <t>VAV_B_S13_006</t>
        </is>
      </c>
      <c r="B51" s="2" t="inlineStr">
        <is>
          <t>entity:QNL_B_085_FUMIGATION_ROOM</t>
        </is>
      </c>
      <c r="C51" s="2">
        <f>IFERROR(INDEX(AHUB!$A$2:$A$16,MATCH("AHUB"&amp;TEXT(VALUE(MID(A51,FIND("_",A51,FIND("_",A51)+1)+2,FIND("_",A51,FIND("_",A51,FIND("_",A51)+1)+1)-FIND("_",A51,FIND("_",A51)+1)-2)),"000"),AHUB!$A$2:$A$16,0)),"No match")</f>
        <v/>
      </c>
    </row>
    <row r="52">
      <c r="A52" s="2" t="inlineStr">
        <is>
          <t>VAV_B_S13_007</t>
        </is>
      </c>
      <c r="B52" s="2" t="inlineStr">
        <is>
          <t>entity:QNL_B_101_SHIPPING_CLERK</t>
        </is>
      </c>
      <c r="C52" s="2">
        <f>IFERROR(INDEX(AHUB!$A$2:$A$16,MATCH("AHUB"&amp;TEXT(VALUE(MID(A52,FIND("_",A52,FIND("_",A52)+1)+2,FIND("_",A52,FIND("_",A52,FIND("_",A52)+1)+1)-FIND("_",A52,FIND("_",A52)+1)-2)),"000"),AHUB!$A$2:$A$16,0)),"No match")</f>
        <v/>
      </c>
    </row>
    <row r="53">
      <c r="A53" s="2" t="inlineStr">
        <is>
          <t>VAV_B_S13_003</t>
        </is>
      </c>
      <c r="B53" s="2" t="inlineStr">
        <is>
          <t>entity:QNL_B_103_PROCESSING_ROOM</t>
        </is>
      </c>
      <c r="C53" s="2">
        <f>IFERROR(INDEX(AHUB!$A$2:$A$16,MATCH("AHUB"&amp;TEXT(VALUE(MID(A53,FIND("_",A53,FIND("_",A53)+1)+2,FIND("_",A53,FIND("_",A53,FIND("_",A53)+1)+1)-FIND("_",A53,FIND("_",A53)+1)-2)),"000"),AHUB!$A$2:$A$16,0)),"No match")</f>
        <v/>
      </c>
    </row>
    <row r="54">
      <c r="A54" s="2" t="inlineStr">
        <is>
          <t>VAV_B_S13_004</t>
        </is>
      </c>
      <c r="B54" s="2" t="inlineStr">
        <is>
          <t>entity:QNL_B_103_PROCESSING_ROOM</t>
        </is>
      </c>
      <c r="C54" s="2">
        <f>IFERROR(INDEX(AHUB!$A$2:$A$16,MATCH("AHUB"&amp;TEXT(VALUE(MID(A54,FIND("_",A54,FIND("_",A54)+1)+2,FIND("_",A54,FIND("_",A54,FIND("_",A54)+1)+1)-FIND("_",A54,FIND("_",A54)+1)-2)),"000"),AHUB!$A$2:$A$16,0)),"No match")</f>
        <v/>
      </c>
    </row>
    <row r="55">
      <c r="A55" s="2" t="inlineStr">
        <is>
          <t>VAV_B_S15_002</t>
        </is>
      </c>
      <c r="B55" s="2" t="inlineStr">
        <is>
          <t>entity:QNL_B_145_LOBY_&amp;_CSECURITY</t>
        </is>
      </c>
      <c r="C55" s="2">
        <f>IFERROR(INDEX(AHUB!$A$2:$A$16,MATCH("AHUB"&amp;TEXT(VALUE(MID(A55,FIND("_",A55,FIND("_",A55)+1)+2,FIND("_",A55,FIND("_",A55,FIND("_",A55)+1)+1)-FIND("_",A55,FIND("_",A55)+1)-2)),"000"),AHUB!$A$2:$A$16,0)),"No match")</f>
        <v/>
      </c>
    </row>
    <row r="56">
      <c r="A56" s="2" t="inlineStr">
        <is>
          <t>VAV_B_S15_003</t>
        </is>
      </c>
      <c r="B56" s="2" t="inlineStr">
        <is>
          <t>entity:QNL_B_145_LOBY_&amp;_CSECURITY</t>
        </is>
      </c>
      <c r="C56" s="2">
        <f>IFERROR(INDEX(AHUB!$A$2:$A$16,MATCH("AHUB"&amp;TEXT(VALUE(MID(A56,FIND("_",A56,FIND("_",A56)+1)+2,FIND("_",A56,FIND("_",A56,FIND("_",A56)+1)+1)-FIND("_",A56,FIND("_",A56)+1)-2)),"000"),AHUB!$A$2:$A$16,0)),"No match")</f>
        <v/>
      </c>
    </row>
    <row r="57">
      <c r="A57" s="2" t="inlineStr">
        <is>
          <t>VAV_B_S15_004</t>
        </is>
      </c>
      <c r="B57" s="2" t="inlineStr">
        <is>
          <t>entity:QNL_B_145_LOBY_&amp;_CSECURITY</t>
        </is>
      </c>
      <c r="C57" s="2">
        <f>IFERROR(INDEX(AHUB!$A$2:$A$16,MATCH("AHUB"&amp;TEXT(VALUE(MID(A57,FIND("_",A57,FIND("_",A57)+1)+2,FIND("_",A57,FIND("_",A57,FIND("_",A57)+1)+1)-FIND("_",A57,FIND("_",A57)+1)-2)),"000"),AHUB!$A$2:$A$16,0)),"No match")</f>
        <v/>
      </c>
    </row>
    <row r="58">
      <c r="A58" s="2" t="inlineStr">
        <is>
          <t>VAV_B_S15_009</t>
        </is>
      </c>
      <c r="B58" s="2" t="inlineStr">
        <is>
          <t>entity:QNL_B_149_DIRECTOR_HEAD</t>
        </is>
      </c>
      <c r="C58" s="2">
        <f>IFERROR(INDEX(AHUB!$A$2:$A$16,MATCH("AHUB"&amp;TEXT(VALUE(MID(A58,FIND("_",A58,FIND("_",A58)+1)+2,FIND("_",A58,FIND("_",A58,FIND("_",A58)+1)+1)-FIND("_",A58,FIND("_",A58)+1)-2)),"000"),AHUB!$A$2:$A$16,0)),"No match")</f>
        <v/>
      </c>
    </row>
    <row r="59">
      <c r="A59" s="2" t="inlineStr">
        <is>
          <t>VAV_B_S15_010</t>
        </is>
      </c>
      <c r="B59" s="2" t="inlineStr">
        <is>
          <t>entity:QNL_B_149_DIRECTOR_HEAD</t>
        </is>
      </c>
      <c r="C59" s="2">
        <f>IFERROR(INDEX(AHUB!$A$2:$A$16,MATCH("AHUB"&amp;TEXT(VALUE(MID(A59,FIND("_",A59,FIND("_",A59)+1)+2,FIND("_",A59,FIND("_",A59,FIND("_",A59)+1)+1)-FIND("_",A59,FIND("_",A59)+1)-2)),"000"),AHUB!$A$2:$A$16,0)),"No match")</f>
        <v/>
      </c>
    </row>
    <row r="60">
      <c r="A60" s="2" t="inlineStr">
        <is>
          <t>VAV_B_S15_011</t>
        </is>
      </c>
      <c r="B60" s="2" t="inlineStr">
        <is>
          <t>entity:QNL_B_149_DIRECTOR_HEAD</t>
        </is>
      </c>
      <c r="C60" s="2">
        <f>IFERROR(INDEX(AHUB!$A$2:$A$16,MATCH("AHUB"&amp;TEXT(VALUE(MID(A60,FIND("_",A60,FIND("_",A60)+1)+2,FIND("_",A60,FIND("_",A60,FIND("_",A60)+1)+1)-FIND("_",A60,FIND("_",A60)+1)-2)),"000"),AHUB!$A$2:$A$16,0)),"No match")</f>
        <v/>
      </c>
    </row>
    <row r="61">
      <c r="A61" s="2" t="inlineStr">
        <is>
          <t>VAV_B_S15_012</t>
        </is>
      </c>
      <c r="B61" s="2" t="inlineStr">
        <is>
          <t>entity:QNL_B_149_DIRECTOR_HEAD</t>
        </is>
      </c>
      <c r="C61" s="2">
        <f>IFERROR(INDEX(AHUB!$A$2:$A$16,MATCH("AHUB"&amp;TEXT(VALUE(MID(A61,FIND("_",A61,FIND("_",A61)+1)+2,FIND("_",A61,FIND("_",A61,FIND("_",A61)+1)+1)-FIND("_",A61,FIND("_",A61)+1)-2)),"000"),AHUB!$A$2:$A$16,0)),"No match")</f>
        <v/>
      </c>
    </row>
    <row r="62">
      <c r="A62" s="2" t="inlineStr">
        <is>
          <t>VAV_B_S15_008</t>
        </is>
      </c>
      <c r="B62" s="2" t="inlineStr">
        <is>
          <t>entity:QNL_B_151_RESEARCH_&amp;_DOC-RCRDS_MGMT</t>
        </is>
      </c>
      <c r="C62" s="2">
        <f>IFERROR(INDEX(AHUB!$A$2:$A$16,MATCH("AHUB"&amp;TEXT(VALUE(MID(A62,FIND("_",A62,FIND("_",A62)+1)+2,FIND("_",A62,FIND("_",A62,FIND("_",A62)+1)+1)-FIND("_",A62,FIND("_",A62)+1)-2)),"000"),AHUB!$A$2:$A$16,0)),"No match")</f>
        <v/>
      </c>
    </row>
    <row r="63">
      <c r="A63" s="2" t="inlineStr">
        <is>
          <t>VAV_B_S15_013</t>
        </is>
      </c>
      <c r="B63" s="2" t="inlineStr">
        <is>
          <t>entity:QNL_B_151_RESEARCH_&amp;_DOC-RCRDS_MGMT</t>
        </is>
      </c>
      <c r="C63" s="2">
        <f>IFERROR(INDEX(AHUB!$A$2:$A$16,MATCH("AHUB"&amp;TEXT(VALUE(MID(A63,FIND("_",A63,FIND("_",A63)+1)+2,FIND("_",A63,FIND("_",A63,FIND("_",A63)+1)+1)-FIND("_",A63,FIND("_",A63)+1)-2)),"000"),AHUB!$A$2:$A$16,0)),"No match")</f>
        <v/>
      </c>
    </row>
    <row r="64">
      <c r="A64" s="2" t="inlineStr">
        <is>
          <t>VAV_B_S15_007</t>
        </is>
      </c>
      <c r="B64" s="2" t="inlineStr">
        <is>
          <t>entity:QNL_B_152_SECURITY_ROOM</t>
        </is>
      </c>
      <c r="C64" s="2">
        <f>IFERROR(INDEX(AHUB!$A$2:$A$16,MATCH("AHUB"&amp;TEXT(VALUE(MID(A64,FIND("_",A64,FIND("_",A64)+1)+2,FIND("_",A64,FIND("_",A64,FIND("_",A64)+1)+1)-FIND("_",A64,FIND("_",A64)+1)-2)),"000"),AHUB!$A$2:$A$16,0)),"No match")</f>
        <v/>
      </c>
    </row>
    <row r="65">
      <c r="A65" s="2" t="inlineStr">
        <is>
          <t>VAV_B_S15_001</t>
        </is>
      </c>
      <c r="B65" s="2" t="inlineStr">
        <is>
          <t>entity:QNL_B_153_PROF_LIBRARIAN</t>
        </is>
      </c>
      <c r="C65" s="2">
        <f>IFERROR(INDEX(AHUB!$A$2:$A$16,MATCH("AHUB"&amp;TEXT(VALUE(MID(A65,FIND("_",A65,FIND("_",A65)+1)+2,FIND("_",A65,FIND("_",A65,FIND("_",A65)+1)+1)-FIND("_",A65,FIND("_",A65)+1)-2)),"000"),AHUB!$A$2:$A$16,0)),"No match")</f>
        <v/>
      </c>
    </row>
    <row r="66">
      <c r="A66" s="2" t="inlineStr">
        <is>
          <t>VAV_B_S15_005</t>
        </is>
      </c>
      <c r="B66" s="2" t="inlineStr">
        <is>
          <t>entity:QNL_B_153_PROF_LIBRARIAN</t>
        </is>
      </c>
      <c r="C66" s="2">
        <f>IFERROR(INDEX(AHUB!$A$2:$A$16,MATCH("AHUB"&amp;TEXT(VALUE(MID(A66,FIND("_",A66,FIND("_",A66)+1)+2,FIND("_",A66,FIND("_",A66,FIND("_",A66)+1)+1)-FIND("_",A66,FIND("_",A66)+1)-2)),"000"),AHUB!$A$2:$A$16,0)),"No match")</f>
        <v/>
      </c>
    </row>
    <row r="67">
      <c r="A67" s="2" t="inlineStr">
        <is>
          <t>VAV_B_S15_006</t>
        </is>
      </c>
      <c r="B67" s="2" t="inlineStr">
        <is>
          <t>entity:QNL_B_153_PROF_LIBRARIAN</t>
        </is>
      </c>
      <c r="C67" s="2">
        <f>IFERROR(INDEX(AHUB!$A$2:$A$16,MATCH("AHUB"&amp;TEXT(VALUE(MID(A67,FIND("_",A67,FIND("_",A67)+1)+2,FIND("_",A67,FIND("_",A67,FIND("_",A67)+1)+1)-FIND("_",A67,FIND("_",A67)+1)-2)),"000"),AHUB!$A$2:$A$16,0)),"No match")</f>
        <v/>
      </c>
    </row>
    <row r="68">
      <c r="A68" s="2" t="inlineStr">
        <is>
          <t>VAV_B_S10_001</t>
        </is>
      </c>
      <c r="B68" s="2" t="inlineStr">
        <is>
          <t>entity:QNL_B_200_DIGITIZATION</t>
        </is>
      </c>
      <c r="C68" s="2">
        <f>IFERROR(INDEX(AHUB!$A$2:$A$16,MATCH("AHUB"&amp;TEXT(VALUE(MID(A68,FIND("_",A68,FIND("_",A68)+1)+2,FIND("_",A68,FIND("_",A68,FIND("_",A68)+1)+1)-FIND("_",A68,FIND("_",A68)+1)-2)),"000"),AHUB!$A$2:$A$16,0)),"No match")</f>
        <v/>
      </c>
    </row>
    <row r="69">
      <c r="A69" s="2" t="inlineStr">
        <is>
          <t>VAV_B_S10_002</t>
        </is>
      </c>
      <c r="B69" s="2" t="inlineStr">
        <is>
          <t>entity:QNL_B_200_DIGITIZATION</t>
        </is>
      </c>
      <c r="C69" s="2">
        <f>IFERROR(INDEX(AHUB!$A$2:$A$16,MATCH("AHUB"&amp;TEXT(VALUE(MID(A69,FIND("_",A69,FIND("_",A69)+1)+2,FIND("_",A69,FIND("_",A69,FIND("_",A69)+1)+1)-FIND("_",A69,FIND("_",A69)+1)-2)),"000"),AHUB!$A$2:$A$16,0)),"No match")</f>
        <v/>
      </c>
    </row>
    <row r="70">
      <c r="A70" s="2" t="inlineStr">
        <is>
          <t>VAV_B_S10_003</t>
        </is>
      </c>
      <c r="B70" s="2" t="inlineStr">
        <is>
          <t>entity:QNL_B_200_DIGITIZATION</t>
        </is>
      </c>
      <c r="C70" s="2">
        <f>IFERROR(INDEX(AHUB!$A$2:$A$16,MATCH("AHUB"&amp;TEXT(VALUE(MID(A70,FIND("_",A70,FIND("_",A70)+1)+2,FIND("_",A70,FIND("_",A70,FIND("_",A70)+1)+1)-FIND("_",A70,FIND("_",A70)+1)-2)),"000"),AHUB!$A$2:$A$16,0)),"No match")</f>
        <v/>
      </c>
    </row>
    <row r="71">
      <c r="A71" s="2" t="inlineStr">
        <is>
          <t>VAV_B_S10_004</t>
        </is>
      </c>
      <c r="B71" s="2" t="inlineStr">
        <is>
          <t>entity:QNL_B_200_DIGITIZATION</t>
        </is>
      </c>
      <c r="C71" s="2">
        <f>IFERROR(INDEX(AHUB!$A$2:$A$16,MATCH("AHUB"&amp;TEXT(VALUE(MID(A71,FIND("_",A71,FIND("_",A71)+1)+2,FIND("_",A71,FIND("_",A71,FIND("_",A71)+1)+1)-FIND("_",A71,FIND("_",A71)+1)-2)),"000"),AHUB!$A$2:$A$16,0)),"No match")</f>
        <v/>
      </c>
    </row>
    <row r="72">
      <c r="A72" s="2" t="inlineStr">
        <is>
          <t>VAV_B_S10_005</t>
        </is>
      </c>
      <c r="B72" s="2" t="inlineStr">
        <is>
          <t>entity:QNL_B_200_DIGITIZATION</t>
        </is>
      </c>
      <c r="C72" s="2">
        <f>IFERROR(INDEX(AHUB!$A$2:$A$16,MATCH("AHUB"&amp;TEXT(VALUE(MID(A72,FIND("_",A72,FIND("_",A72)+1)+2,FIND("_",A72,FIND("_",A72,FIND("_",A72)+1)+1)-FIND("_",A72,FIND("_",A72)+1)-2)),"000"),AHUB!$A$2:$A$16,0)),"No match")</f>
        <v/>
      </c>
    </row>
    <row r="73">
      <c r="A73" s="2" t="inlineStr">
        <is>
          <t>VAV_B_S10_006</t>
        </is>
      </c>
      <c r="B73" s="2" t="inlineStr">
        <is>
          <t>entity:QNL_B_200_DIGITIZATION</t>
        </is>
      </c>
      <c r="C73" s="2">
        <f>IFERROR(INDEX(AHUB!$A$2:$A$16,MATCH("AHUB"&amp;TEXT(VALUE(MID(A73,FIND("_",A73,FIND("_",A73)+1)+2,FIND("_",A73,FIND("_",A73,FIND("_",A73)+1)+1)-FIND("_",A73,FIND("_",A73)+1)-2)),"000"),AHUB!$A$2:$A$16,0)),"No match")</f>
        <v/>
      </c>
    </row>
    <row r="74">
      <c r="A74" s="2" t="inlineStr">
        <is>
          <t>VAV_B_S10_007</t>
        </is>
      </c>
      <c r="B74" s="2" t="inlineStr">
        <is>
          <t>entity:QNL_B_200_DIGITIZATION</t>
        </is>
      </c>
      <c r="C74" s="2">
        <f>IFERROR(INDEX(AHUB!$A$2:$A$16,MATCH("AHUB"&amp;TEXT(VALUE(MID(A74,FIND("_",A74,FIND("_",A74)+1)+2,FIND("_",A74,FIND("_",A74,FIND("_",A74)+1)+1)-FIND("_",A74,FIND("_",A74)+1)-2)),"000"),AHUB!$A$2:$A$16,0)),"No match")</f>
        <v/>
      </c>
    </row>
    <row r="75">
      <c r="A75" s="2" t="inlineStr">
        <is>
          <t>VAV_B_S10_008</t>
        </is>
      </c>
      <c r="B75" s="2" t="inlineStr">
        <is>
          <t>entity:QNL_B_200_DIGITIZATION</t>
        </is>
      </c>
      <c r="C75" s="2">
        <f>IFERROR(INDEX(AHUB!$A$2:$A$16,MATCH("AHUB"&amp;TEXT(VALUE(MID(A75,FIND("_",A75,FIND("_",A75)+1)+2,FIND("_",A75,FIND("_",A75,FIND("_",A75)+1)+1)-FIND("_",A75,FIND("_",A75)+1)-2)),"000"),AHUB!$A$2:$A$16,0)),"No match")</f>
        <v/>
      </c>
    </row>
    <row r="76">
      <c r="A76" s="2" t="inlineStr">
        <is>
          <t>VAV_B_S10_024</t>
        </is>
      </c>
      <c r="B76" s="2" t="inlineStr">
        <is>
          <t>entity:QNL_B_200_DIGITIZATION</t>
        </is>
      </c>
      <c r="C76" s="2">
        <f>IFERROR(INDEX(AHUB!$A$2:$A$16,MATCH("AHUB"&amp;TEXT(VALUE(MID(A76,FIND("_",A76,FIND("_",A76)+1)+2,FIND("_",A76,FIND("_",A76,FIND("_",A76)+1)+1)-FIND("_",A76,FIND("_",A76)+1)-2)),"000"),AHUB!$A$2:$A$16,0)),"No match")</f>
        <v/>
      </c>
    </row>
    <row r="77">
      <c r="A77" s="2" t="inlineStr">
        <is>
          <t>VAV_B_S10_009</t>
        </is>
      </c>
      <c r="B77" s="2" t="inlineStr">
        <is>
          <t>entity:QNL_B_204_TECHNICAL_SERVICES</t>
        </is>
      </c>
      <c r="C77" s="2">
        <f>IFERROR(INDEX(AHUB!$A$2:$A$16,MATCH("AHUB"&amp;TEXT(VALUE(MID(A77,FIND("_",A77,FIND("_",A77)+1)+2,FIND("_",A77,FIND("_",A77,FIND("_",A77)+1)+1)-FIND("_",A77,FIND("_",A77)+1)-2)),"000"),AHUB!$A$2:$A$16,0)),"No match")</f>
        <v/>
      </c>
    </row>
    <row r="78">
      <c r="A78" s="2" t="inlineStr">
        <is>
          <t>VAV_B_S10_010</t>
        </is>
      </c>
      <c r="B78" s="2" t="inlineStr">
        <is>
          <t>entity:QNL_B_204_TECHNICAL_SERVICES</t>
        </is>
      </c>
      <c r="C78" s="2">
        <f>IFERROR(INDEX(AHUB!$A$2:$A$16,MATCH("AHUB"&amp;TEXT(VALUE(MID(A78,FIND("_",A78,FIND("_",A78)+1)+2,FIND("_",A78,FIND("_",A78,FIND("_",A78)+1)+1)-FIND("_",A78,FIND("_",A78)+1)-2)),"000"),AHUB!$A$2:$A$16,0)),"No match")</f>
        <v/>
      </c>
    </row>
    <row r="79">
      <c r="A79" s="2" t="inlineStr">
        <is>
          <t>VAV_B_S10_011</t>
        </is>
      </c>
      <c r="B79" s="2" t="inlineStr">
        <is>
          <t>entity:QNL_B_204_TECHNICAL_SERVICES</t>
        </is>
      </c>
      <c r="C79" s="2">
        <f>IFERROR(INDEX(AHUB!$A$2:$A$16,MATCH("AHUB"&amp;TEXT(VALUE(MID(A79,FIND("_",A79,FIND("_",A79)+1)+2,FIND("_",A79,FIND("_",A79,FIND("_",A79)+1)+1)-FIND("_",A79,FIND("_",A79)+1)-2)),"000"),AHUB!$A$2:$A$16,0)),"No match")</f>
        <v/>
      </c>
    </row>
    <row r="80">
      <c r="A80" s="2" t="inlineStr">
        <is>
          <t>VAV_B_S10_016</t>
        </is>
      </c>
      <c r="B80" s="2" t="inlineStr">
        <is>
          <t>entity:QNL_B_205_INSTRUCTION_PRESENTATION</t>
        </is>
      </c>
      <c r="C80" s="2">
        <f>IFERROR(INDEX(AHUB!$A$2:$A$16,MATCH("AHUB"&amp;TEXT(VALUE(MID(A80,FIND("_",A80,FIND("_",A80)+1)+2,FIND("_",A80,FIND("_",A80,FIND("_",A80)+1)+1)-FIND("_",A80,FIND("_",A80)+1)-2)),"000"),AHUB!$A$2:$A$16,0)),"No match")</f>
        <v/>
      </c>
    </row>
    <row r="81">
      <c r="A81" s="2" t="inlineStr">
        <is>
          <t>VAV_B_S10_017</t>
        </is>
      </c>
      <c r="B81" s="2" t="inlineStr">
        <is>
          <t>entity:QNL_B_205_INSTRUCTION_PRESENTATION</t>
        </is>
      </c>
      <c r="C81" s="2">
        <f>IFERROR(INDEX(AHUB!$A$2:$A$16,MATCH("AHUB"&amp;TEXT(VALUE(MID(A81,FIND("_",A81,FIND("_",A81)+1)+2,FIND("_",A81,FIND("_",A81,FIND("_",A81)+1)+1)-FIND("_",A81,FIND("_",A81)+1)-2)),"000"),AHUB!$A$2:$A$16,0)),"No match")</f>
        <v/>
      </c>
    </row>
    <row r="82">
      <c r="A82" s="2" t="inlineStr">
        <is>
          <t>VAV_B_S10_018</t>
        </is>
      </c>
      <c r="B82" s="2" t="inlineStr">
        <is>
          <t>entity:QNL_B_205_INSTRUCTION_PRESENTATION</t>
        </is>
      </c>
      <c r="C82" s="2">
        <f>IFERROR(INDEX(AHUB!$A$2:$A$16,MATCH("AHUB"&amp;TEXT(VALUE(MID(A82,FIND("_",A82,FIND("_",A82)+1)+2,FIND("_",A82,FIND("_",A82,FIND("_",A82)+1)+1)-FIND("_",A82,FIND("_",A82)+1)-2)),"000"),AHUB!$A$2:$A$16,0)),"No match")</f>
        <v/>
      </c>
    </row>
    <row r="83">
      <c r="A83" s="2" t="inlineStr">
        <is>
          <t>VAV_B_S10_015</t>
        </is>
      </c>
      <c r="B83" s="2" t="inlineStr">
        <is>
          <t>entity:QNL_B_206_INSTRUCTION_OUTREACH</t>
        </is>
      </c>
      <c r="C83" s="2">
        <f>IFERROR(INDEX(AHUB!$A$2:$A$16,MATCH("AHUB"&amp;TEXT(VALUE(MID(A83,FIND("_",A83,FIND("_",A83)+1)+2,FIND("_",A83,FIND("_",A83,FIND("_",A83)+1)+1)-FIND("_",A83,FIND("_",A83)+1)-2)),"000"),AHUB!$A$2:$A$16,0)),"No match")</f>
        <v/>
      </c>
    </row>
    <row r="84">
      <c r="A84" s="2" t="inlineStr">
        <is>
          <t>VAV_B_S10_020</t>
        </is>
      </c>
      <c r="B84" s="2" t="inlineStr">
        <is>
          <t>entity:QNL_B_207_PRESEARCHERS_READING_AREA</t>
        </is>
      </c>
      <c r="C84" s="2">
        <f>IFERROR(INDEX(AHUB!$A$2:$A$16,MATCH("AHUB"&amp;TEXT(VALUE(MID(A84,FIND("_",A84,FIND("_",A84)+1)+2,FIND("_",A84,FIND("_",A84,FIND("_",A84)+1)+1)-FIND("_",A84,FIND("_",A84)+1)-2)),"000"),AHUB!$A$2:$A$16,0)),"No match")</f>
        <v/>
      </c>
    </row>
    <row r="85">
      <c r="A85" s="2" t="inlineStr">
        <is>
          <t>VAV_B_S10_021</t>
        </is>
      </c>
      <c r="B85" s="2" t="inlineStr">
        <is>
          <t>entity:QNL_B_207_PRESEARCHERS_READING_AREA</t>
        </is>
      </c>
      <c r="C85" s="2">
        <f>IFERROR(INDEX(AHUB!$A$2:$A$16,MATCH("AHUB"&amp;TEXT(VALUE(MID(A85,FIND("_",A85,FIND("_",A85)+1)+2,FIND("_",A85,FIND("_",A85,FIND("_",A85)+1)+1)-FIND("_",A85,FIND("_",A85)+1)-2)),"000"),AHUB!$A$2:$A$16,0)),"No match")</f>
        <v/>
      </c>
    </row>
    <row r="86">
      <c r="A86" s="2" t="inlineStr">
        <is>
          <t>VAV_B_S10_022</t>
        </is>
      </c>
      <c r="B86" s="2" t="inlineStr">
        <is>
          <t>entity:QNL_B_207_PRESEARCHERS_READING_AREA</t>
        </is>
      </c>
      <c r="C86" s="2">
        <f>IFERROR(INDEX(AHUB!$A$2:$A$16,MATCH("AHUB"&amp;TEXT(VALUE(MID(A86,FIND("_",A86,FIND("_",A86)+1)+2,FIND("_",A86,FIND("_",A86,FIND("_",A86)+1)+1)-FIND("_",A86,FIND("_",A86)+1)-2)),"000"),AHUB!$A$2:$A$16,0)),"No match")</f>
        <v/>
      </c>
    </row>
    <row r="87">
      <c r="A87" s="2" t="inlineStr">
        <is>
          <t>VAV_B_S10_023</t>
        </is>
      </c>
      <c r="B87" s="2" t="inlineStr">
        <is>
          <t>entity:QNL_B_207_PRESEARCHERS_READING_AREA</t>
        </is>
      </c>
      <c r="C87" s="2">
        <f>IFERROR(INDEX(AHUB!$A$2:$A$16,MATCH("AHUB"&amp;TEXT(VALUE(MID(A87,FIND("_",A87,FIND("_",A87)+1)+2,FIND("_",A87,FIND("_",A87,FIND("_",A87)+1)+1)-FIND("_",A87,FIND("_",A87)+1)-2)),"000"),AHUB!$A$2:$A$16,0)),"No match")</f>
        <v/>
      </c>
    </row>
    <row r="88">
      <c r="A88" s="2" t="inlineStr">
        <is>
          <t>VAV_B_S10_019</t>
        </is>
      </c>
      <c r="B88" s="2" t="inlineStr">
        <is>
          <t>entity:QNL_B_208_PROF_LIBRARIAN</t>
        </is>
      </c>
      <c r="C88" s="2">
        <f>IFERROR(INDEX(AHUB!$A$2:$A$16,MATCH("AHUB"&amp;TEXT(VALUE(MID(A88,FIND("_",A88,FIND("_",A88)+1)+2,FIND("_",A88,FIND("_",A88,FIND("_",A88)+1)+1)-FIND("_",A88,FIND("_",A88)+1)-2)),"000"),AHUB!$A$2:$A$16,0)),"No match")</f>
        <v/>
      </c>
    </row>
    <row r="89">
      <c r="A89" s="2" t="inlineStr">
        <is>
          <t>VAV_B_S10_012</t>
        </is>
      </c>
      <c r="B89" s="2" t="inlineStr">
        <is>
          <t>entity:QNL_B_209_CONSERVATION_WORK_AREA</t>
        </is>
      </c>
      <c r="C89" s="2">
        <f>IFERROR(INDEX(AHUB!$A$2:$A$16,MATCH("AHUB"&amp;TEXT(VALUE(MID(A89,FIND("_",A89,FIND("_",A89)+1)+2,FIND("_",A89,FIND("_",A89,FIND("_",A89)+1)+1)-FIND("_",A89,FIND("_",A89)+1)-2)),"000"),AHUB!$A$2:$A$16,0)),"No match")</f>
        <v/>
      </c>
    </row>
    <row r="90">
      <c r="A90" s="2" t="inlineStr">
        <is>
          <t>VAV_B_S10_013</t>
        </is>
      </c>
      <c r="B90" s="2" t="inlineStr">
        <is>
          <t>entity:QNL_B_209_CONSERVATION_WORK_AREA</t>
        </is>
      </c>
      <c r="C90" s="2">
        <f>IFERROR(INDEX(AHUB!$A$2:$A$16,MATCH("AHUB"&amp;TEXT(VALUE(MID(A90,FIND("_",A90,FIND("_",A90)+1)+2,FIND("_",A90,FIND("_",A90,FIND("_",A90)+1)+1)-FIND("_",A90,FIND("_",A90)+1)-2)),"000"),AHUB!$A$2:$A$16,0)),"No match")</f>
        <v/>
      </c>
    </row>
    <row r="91">
      <c r="A91" s="2" t="inlineStr">
        <is>
          <t>VAV_B_S10_014</t>
        </is>
      </c>
      <c r="B91" s="2" t="inlineStr">
        <is>
          <t>entity:QNL_B_209_CONSERVATION_WORK_AREA</t>
        </is>
      </c>
      <c r="C91" s="2">
        <f>IFERROR(INDEX(AHUB!$A$2:$A$16,MATCH("AHUB"&amp;TEXT(VALUE(MID(A91,FIND("_",A91,FIND("_",A91)+1)+2,FIND("_",A91,FIND("_",A91,FIND("_",A91)+1)+1)-FIND("_",A91,FIND("_",A91)+1)-2)),"000"),AHUB!$A$2:$A$16,0)),"No match")</f>
        <v/>
      </c>
    </row>
    <row r="92">
      <c r="A92" s="2" t="inlineStr">
        <is>
          <t>VAV_2F_S12_001</t>
        </is>
      </c>
      <c r="B92" s="2" t="inlineStr">
        <is>
          <t>entity:QNL_L1_001_OPEN_READING_AREA</t>
        </is>
      </c>
      <c r="C92" s="2">
        <f>IFERROR(INDEX(AHUB!$A$2:$A$16,MATCH("AHUB"&amp;TEXT(VALUE(MID(A92,FIND("_",A92,FIND("_",A92)+1)+2,FIND("_",A92,FIND("_",A92,FIND("_",A92)+1)+1)-FIND("_",A92,FIND("_",A92)+1)-2)),"000"),AHUB!$A$2:$A$16,0)),"No match")</f>
        <v/>
      </c>
    </row>
    <row r="93">
      <c r="A93" s="2" t="inlineStr">
        <is>
          <t>VAV_2F_S12_002</t>
        </is>
      </c>
      <c r="B93" s="2" t="inlineStr">
        <is>
          <t>entity:QNL_L1_001_OPEN_READING_AREA</t>
        </is>
      </c>
      <c r="C93" s="2">
        <f>IFERROR(INDEX(AHUB!$A$2:$A$16,MATCH("AHUB"&amp;TEXT(VALUE(MID(A93,FIND("_",A93,FIND("_",A93)+1)+2,FIND("_",A93,FIND("_",A93,FIND("_",A93)+1)+1)-FIND("_",A93,FIND("_",A93)+1)-2)),"000"),AHUB!$A$2:$A$16,0)),"No match")</f>
        <v/>
      </c>
    </row>
    <row r="94">
      <c r="A94" s="2" t="inlineStr">
        <is>
          <t>VAV_2F_S12_003</t>
        </is>
      </c>
      <c r="B94" s="2" t="inlineStr">
        <is>
          <t>entity:QNL_L1_001_OPEN_READING_AREA</t>
        </is>
      </c>
      <c r="C94" s="2">
        <f>IFERROR(INDEX(AHUB!$A$2:$A$16,MATCH("AHUB"&amp;TEXT(VALUE(MID(A94,FIND("_",A94,FIND("_",A94)+1)+2,FIND("_",A94,FIND("_",A94,FIND("_",A94)+1)+1)-FIND("_",A94,FIND("_",A94)+1)-2)),"000"),AHUB!$A$2:$A$16,0)),"No match")</f>
        <v/>
      </c>
    </row>
    <row r="95">
      <c r="A95" s="2" t="inlineStr">
        <is>
          <t>VAV_2F_S12_004</t>
        </is>
      </c>
      <c r="B95" s="2" t="inlineStr">
        <is>
          <t>entity:QNL_L1_001_OPEN_READING_AREA</t>
        </is>
      </c>
      <c r="C95" s="2">
        <f>IFERROR(INDEX(AHUB!$A$2:$A$16,MATCH("AHUB"&amp;TEXT(VALUE(MID(A95,FIND("_",A95,FIND("_",A95)+1)+2,FIND("_",A95,FIND("_",A95,FIND("_",A95)+1)+1)-FIND("_",A95,FIND("_",A95)+1)-2)),"000"),AHUB!$A$2:$A$16,0)),"No match")</f>
        <v/>
      </c>
    </row>
    <row r="96">
      <c r="A96" s="2" t="inlineStr">
        <is>
          <t>VAV_2F_S12_005</t>
        </is>
      </c>
      <c r="B96" s="2" t="inlineStr">
        <is>
          <t>entity:QNL_L1_001_OPEN_READING_AREA</t>
        </is>
      </c>
      <c r="C96" s="2">
        <f>IFERROR(INDEX(AHUB!$A$2:$A$16,MATCH("AHUB"&amp;TEXT(VALUE(MID(A96,FIND("_",A96,FIND("_",A96)+1)+2,FIND("_",A96,FIND("_",A96,FIND("_",A96)+1)+1)-FIND("_",A96,FIND("_",A96)+1)-2)),"000"),AHUB!$A$2:$A$16,0)),"No match")</f>
        <v/>
      </c>
    </row>
    <row r="97">
      <c r="A97" s="2" t="inlineStr">
        <is>
          <t>VAV_2F_S12_006</t>
        </is>
      </c>
      <c r="B97" s="2" t="inlineStr">
        <is>
          <t>entity:QNL_L1_001_OPEN_READING_AREA</t>
        </is>
      </c>
      <c r="C97" s="2">
        <f>IFERROR(INDEX(AHUB!$A$2:$A$16,MATCH("AHUB"&amp;TEXT(VALUE(MID(A97,FIND("_",A97,FIND("_",A97)+1)+2,FIND("_",A97,FIND("_",A97,FIND("_",A97)+1)+1)-FIND("_",A97,FIND("_",A97)+1)-2)),"000"),AHUB!$A$2:$A$16,0)),"No match")</f>
        <v/>
      </c>
    </row>
    <row r="98">
      <c r="A98" s="2" t="inlineStr">
        <is>
          <t>VAV_2F_S12_007</t>
        </is>
      </c>
      <c r="B98" s="2" t="inlineStr">
        <is>
          <t>entity:QNL_L1_001_OPEN_READING_AREA</t>
        </is>
      </c>
      <c r="C98" s="2">
        <f>IFERROR(INDEX(AHUB!$A$2:$A$16,MATCH("AHUB"&amp;TEXT(VALUE(MID(A98,FIND("_",A98,FIND("_",A98)+1)+2,FIND("_",A98,FIND("_",A98,FIND("_",A98)+1)+1)-FIND("_",A98,FIND("_",A98)+1)-2)),"000"),AHUB!$A$2:$A$16,0)),"No match")</f>
        <v/>
      </c>
    </row>
    <row r="99">
      <c r="A99" s="2" t="inlineStr">
        <is>
          <t>VAV_2F_S12_008</t>
        </is>
      </c>
      <c r="B99" s="2" t="inlineStr">
        <is>
          <t>entity:QNL_L1_001_OPEN_READING_AREA</t>
        </is>
      </c>
      <c r="C99" s="2">
        <f>IFERROR(INDEX(AHUB!$A$2:$A$16,MATCH("AHUB"&amp;TEXT(VALUE(MID(A99,FIND("_",A99,FIND("_",A99)+1)+2,FIND("_",A99,FIND("_",A99,FIND("_",A99)+1)+1)-FIND("_",A99,FIND("_",A99)+1)-2)),"000"),AHUB!$A$2:$A$16,0)),"No match")</f>
        <v/>
      </c>
    </row>
    <row r="100">
      <c r="A100" s="2" t="inlineStr">
        <is>
          <t>VAV_2F_S12_009</t>
        </is>
      </c>
      <c r="B100" s="2" t="inlineStr">
        <is>
          <t>entity:QNL_L1_001_OPEN_READING_AREA</t>
        </is>
      </c>
      <c r="C100" s="2">
        <f>IFERROR(INDEX(AHUB!$A$2:$A$16,MATCH("AHUB"&amp;TEXT(VALUE(MID(A100,FIND("_",A100,FIND("_",A100)+1)+2,FIND("_",A100,FIND("_",A100,FIND("_",A100)+1)+1)-FIND("_",A100,FIND("_",A100)+1)-2)),"000"),AHUB!$A$2:$A$16,0)),"No match")</f>
        <v/>
      </c>
    </row>
    <row r="101">
      <c r="A101" s="2" t="inlineStr">
        <is>
          <t>VAV_2F_S12_010</t>
        </is>
      </c>
      <c r="B101" s="2" t="inlineStr">
        <is>
          <t>entity:QNL_L1_002_BRAILLE_READER</t>
        </is>
      </c>
      <c r="C101" s="2">
        <f>IFERROR(INDEX(AHUB!$A$2:$A$16,MATCH("AHUB"&amp;TEXT(VALUE(MID(A101,FIND("_",A101,FIND("_",A101)+1)+2,FIND("_",A101,FIND("_",A101,FIND("_",A101)+1)+1)-FIND("_",A101,FIND("_",A101)+1)-2)),"000"),AHUB!$A$2:$A$16,0)),"No match")</f>
        <v/>
      </c>
    </row>
    <row r="102">
      <c r="A102" s="2" t="inlineStr">
        <is>
          <t>VAV_2F_S12_011</t>
        </is>
      </c>
      <c r="B102" s="2" t="inlineStr">
        <is>
          <t>entity:QNL_L1_002_BRAILLE_READER</t>
        </is>
      </c>
      <c r="C102" s="2">
        <f>IFERROR(INDEX(AHUB!$A$2:$A$16,MATCH("AHUB"&amp;TEXT(VALUE(MID(A102,FIND("_",A102,FIND("_",A102)+1)+2,FIND("_",A102,FIND("_",A102,FIND("_",A102)+1)+1)-FIND("_",A102,FIND("_",A102)+1)-2)),"000"),AHUB!$A$2:$A$16,0)),"No match")</f>
        <v/>
      </c>
    </row>
    <row r="103">
      <c r="A103" s="2" t="inlineStr">
        <is>
          <t>VAV_1F_S15_039</t>
        </is>
      </c>
      <c r="B103" s="2" t="inlineStr">
        <is>
          <t>entity:QNL_L1_002A_GREEM_ROOM</t>
        </is>
      </c>
      <c r="C103" s="2">
        <f>IFERROR(INDEX(AHUB!$A$2:$A$16,MATCH("AHUB"&amp;TEXT(VALUE(MID(A103,FIND("_",A103,FIND("_",A103)+1)+2,FIND("_",A103,FIND("_",A103,FIND("_",A103)+1)+1)-FIND("_",A103,FIND("_",A103)+1)-2)),"000"),AHUB!$A$2:$A$16,0)),"No match")</f>
        <v/>
      </c>
    </row>
    <row r="104">
      <c r="A104" s="2" t="inlineStr">
        <is>
          <t>VAV_1F_S15_040</t>
        </is>
      </c>
      <c r="B104" s="2" t="inlineStr">
        <is>
          <t>entity:QNL_L1_002A_GREEM_ROOM</t>
        </is>
      </c>
      <c r="C104" s="2">
        <f>IFERROR(INDEX(AHUB!$A$2:$A$16,MATCH("AHUB"&amp;TEXT(VALUE(MID(A104,FIND("_",A104,FIND("_",A104)+1)+2,FIND("_",A104,FIND("_",A104,FIND("_",A104)+1)+1)-FIND("_",A104,FIND("_",A104)+1)-2)),"000"),AHUB!$A$2:$A$16,0)),"No match")</f>
        <v/>
      </c>
    </row>
    <row r="105">
      <c r="A105" s="2" t="inlineStr">
        <is>
          <t>VAV_2F_S12_012</t>
        </is>
      </c>
      <c r="B105" s="2" t="inlineStr">
        <is>
          <t>entity:QNL_L1_003_TUTORING_HEAD</t>
        </is>
      </c>
      <c r="C105" s="2">
        <f>IFERROR(INDEX(AHUB!$A$2:$A$16,MATCH("AHUB"&amp;TEXT(VALUE(MID(A105,FIND("_",A105,FIND("_",A105)+1)+2,FIND("_",A105,FIND("_",A105,FIND("_",A105)+1)+1)-FIND("_",A105,FIND("_",A105)+1)-2)),"000"),AHUB!$A$2:$A$16,0)),"No match")</f>
        <v/>
      </c>
    </row>
    <row r="106">
      <c r="A106" s="2" t="inlineStr">
        <is>
          <t>VAV_2F_S12_013</t>
        </is>
      </c>
      <c r="B106" s="2" t="inlineStr">
        <is>
          <t>entity:QNL_L1_004_WRITING_ROOM1</t>
        </is>
      </c>
      <c r="C106" s="2">
        <f>IFERROR(INDEX(AHUB!$A$2:$A$16,MATCH("AHUB"&amp;TEXT(VALUE(MID(A106,FIND("_",A106,FIND("_",A106)+1)+2,FIND("_",A106,FIND("_",A106,FIND("_",A106)+1)+1)-FIND("_",A106,FIND("_",A106)+1)-2)),"000"),AHUB!$A$2:$A$16,0)),"No match")</f>
        <v/>
      </c>
    </row>
    <row r="107">
      <c r="A107" s="2" t="inlineStr">
        <is>
          <t>VAV_2F_S12_014</t>
        </is>
      </c>
      <c r="B107" s="2" t="inlineStr">
        <is>
          <t>entity:QNL_L1_005_WRITING_ROOM2</t>
        </is>
      </c>
      <c r="C107" s="2">
        <f>IFERROR(INDEX(AHUB!$A$2:$A$16,MATCH("AHUB"&amp;TEXT(VALUE(MID(A107,FIND("_",A107,FIND("_",A107)+1)+2,FIND("_",A107,FIND("_",A107,FIND("_",A107)+1)+1)-FIND("_",A107,FIND("_",A107)+1)-2)),"000"),AHUB!$A$2:$A$16,0)),"No match")</f>
        <v/>
      </c>
    </row>
    <row r="108">
      <c r="A108" s="2" t="inlineStr">
        <is>
          <t>VAV_2F_S12_015</t>
        </is>
      </c>
      <c r="B108" s="2" t="inlineStr">
        <is>
          <t>entity:QNL_L1_005_WRITING_ROOM2</t>
        </is>
      </c>
      <c r="C108" s="2">
        <f>IFERROR(INDEX(AHUB!$A$2:$A$16,MATCH("AHUB"&amp;TEXT(VALUE(MID(A108,FIND("_",A108,FIND("_",A108)+1)+2,FIND("_",A108,FIND("_",A108,FIND("_",A108)+1)+1)-FIND("_",A108,FIND("_",A108)+1)-2)),"000"),AHUB!$A$2:$A$16,0)),"No match")</f>
        <v/>
      </c>
    </row>
    <row r="109">
      <c r="A109" s="2" t="inlineStr">
        <is>
          <t>VAV_2F_S12_016</t>
        </is>
      </c>
      <c r="B109" s="2" t="inlineStr">
        <is>
          <t>entity:QNL_L1_007_STUDENT_CARRLES</t>
        </is>
      </c>
      <c r="C109" s="2">
        <f>IFERROR(INDEX(AHUB!$A$2:$A$16,MATCH("AHUB"&amp;TEXT(VALUE(MID(A109,FIND("_",A109,FIND("_",A109)+1)+2,FIND("_",A109,FIND("_",A109,FIND("_",A109)+1)+1)-FIND("_",A109,FIND("_",A109)+1)-2)),"000"),AHUB!$A$2:$A$16,0)),"No match")</f>
        <v/>
      </c>
    </row>
    <row r="110">
      <c r="A110" s="2" t="inlineStr">
        <is>
          <t>VAV_2F_S12_017</t>
        </is>
      </c>
      <c r="B110" s="2" t="inlineStr">
        <is>
          <t>entity:QNL_L1_007_STUDENT_CARRLES</t>
        </is>
      </c>
      <c r="C110" s="2">
        <f>IFERROR(INDEX(AHUB!$A$2:$A$16,MATCH("AHUB"&amp;TEXT(VALUE(MID(A110,FIND("_",A110,FIND("_",A110)+1)+2,FIND("_",A110,FIND("_",A110,FIND("_",A110)+1)+1)-FIND("_",A110,FIND("_",A110)+1)-2)),"000"),AHUB!$A$2:$A$16,0)),"No match")</f>
        <v/>
      </c>
    </row>
    <row r="111">
      <c r="A111" s="2" t="inlineStr">
        <is>
          <t>VAV_2F_S12_018</t>
        </is>
      </c>
      <c r="B111" s="2" t="inlineStr">
        <is>
          <t>entity:QNL_L1_007_STUDENT_CARRLES</t>
        </is>
      </c>
      <c r="C111" s="2">
        <f>IFERROR(INDEX(AHUB!$A$2:$A$16,MATCH("AHUB"&amp;TEXT(VALUE(MID(A111,FIND("_",A111,FIND("_",A111)+1)+2,FIND("_",A111,FIND("_",A111,FIND("_",A111)+1)+1)-FIND("_",A111,FIND("_",A111)+1)-2)),"000"),AHUB!$A$2:$A$16,0)),"No match")</f>
        <v/>
      </c>
    </row>
    <row r="112">
      <c r="A112" s="2" t="inlineStr">
        <is>
          <t>VAV_2F_S12_019</t>
        </is>
      </c>
      <c r="B112" s="2" t="inlineStr">
        <is>
          <t>entity:QNL_L1_007_STUDENT_CARRLES</t>
        </is>
      </c>
      <c r="C112" s="2">
        <f>IFERROR(INDEX(AHUB!$A$2:$A$16,MATCH("AHUB"&amp;TEXT(VALUE(MID(A112,FIND("_",A112,FIND("_",A112)+1)+2,FIND("_",A112,FIND("_",A112,FIND("_",A112)+1)+1)-FIND("_",A112,FIND("_",A112)+1)-2)),"000"),AHUB!$A$2:$A$16,0)),"No match")</f>
        <v/>
      </c>
    </row>
    <row r="113">
      <c r="A113" s="2" t="inlineStr">
        <is>
          <t>VAV_2F_S12_020</t>
        </is>
      </c>
      <c r="B113" s="2" t="inlineStr">
        <is>
          <t>entity:QNL_L1_007_STUDENT_CARRLES</t>
        </is>
      </c>
      <c r="C113" s="2">
        <f>IFERROR(INDEX(AHUB!$A$2:$A$16,MATCH("AHUB"&amp;TEXT(VALUE(MID(A113,FIND("_",A113,FIND("_",A113)+1)+2,FIND("_",A113,FIND("_",A113,FIND("_",A113)+1)+1)-FIND("_",A113,FIND("_",A113)+1)-2)),"000"),AHUB!$A$2:$A$16,0)),"No match")</f>
        <v/>
      </c>
    </row>
    <row r="114">
      <c r="A114" s="2" t="inlineStr">
        <is>
          <t>VAV_1F_S11_004</t>
        </is>
      </c>
      <c r="B114" s="2" t="inlineStr">
        <is>
          <t>entity:QNL_L1_020_INFO_LITERACY_INSTR1</t>
        </is>
      </c>
      <c r="C114" s="2">
        <f>IFERROR(INDEX(AHUB!$A$2:$A$16,MATCH("AHUB"&amp;TEXT(VALUE(MID(A114,FIND("_",A114,FIND("_",A114)+1)+2,FIND("_",A114,FIND("_",A114,FIND("_",A114)+1)+1)-FIND("_",A114,FIND("_",A114)+1)-2)),"000"),AHUB!$A$2:$A$16,0)),"No match")</f>
        <v/>
      </c>
    </row>
    <row r="115">
      <c r="A115" s="2" t="inlineStr">
        <is>
          <t>VAV_1F_S11_005</t>
        </is>
      </c>
      <c r="B115" s="2" t="inlineStr">
        <is>
          <t>entity:QNL_L1_020_INFO_LITERACY_INSTR1</t>
        </is>
      </c>
      <c r="C115" s="2">
        <f>IFERROR(INDEX(AHUB!$A$2:$A$16,MATCH("AHUB"&amp;TEXT(VALUE(MID(A115,FIND("_",A115,FIND("_",A115)+1)+2,FIND("_",A115,FIND("_",A115,FIND("_",A115)+1)+1)-FIND("_",A115,FIND("_",A115)+1)-2)),"000"),AHUB!$A$2:$A$16,0)),"No match")</f>
        <v/>
      </c>
    </row>
    <row r="116">
      <c r="A116" s="2" t="inlineStr">
        <is>
          <t>VAV_1F_S11_006</t>
        </is>
      </c>
      <c r="B116" s="2" t="inlineStr">
        <is>
          <t>entity:QNL_L1_021_INFO_LITERACY_INSTR2</t>
        </is>
      </c>
      <c r="C116" s="2">
        <f>IFERROR(INDEX(AHUB!$A$2:$A$16,MATCH("AHUB"&amp;TEXT(VALUE(MID(A116,FIND("_",A116,FIND("_",A116)+1)+2,FIND("_",A116,FIND("_",A116,FIND("_",A116)+1)+1)-FIND("_",A116,FIND("_",A116)+1)-2)),"000"),AHUB!$A$2:$A$16,0)),"No match")</f>
        <v/>
      </c>
    </row>
    <row r="117">
      <c r="A117" s="2" t="inlineStr">
        <is>
          <t>VAV_1F_S11_007</t>
        </is>
      </c>
      <c r="B117" s="2" t="inlineStr">
        <is>
          <t>entity:QNL_L1_021_INFO_LITERACY_INSTR2</t>
        </is>
      </c>
      <c r="C117" s="2">
        <f>IFERROR(INDEX(AHUB!$A$2:$A$16,MATCH("AHUB"&amp;TEXT(VALUE(MID(A117,FIND("_",A117,FIND("_",A117)+1)+2,FIND("_",A117,FIND("_",A117,FIND("_",A117)+1)+1)-FIND("_",A117,FIND("_",A117)+1)-2)),"000"),AHUB!$A$2:$A$16,0)),"No match")</f>
        <v/>
      </c>
    </row>
    <row r="118">
      <c r="A118" s="2" t="inlineStr">
        <is>
          <t>VAV_1F_S11_008</t>
        </is>
      </c>
      <c r="B118" s="2" t="inlineStr">
        <is>
          <t>entity:QNL_L1_021_INFO_LITERACY_INSTR2</t>
        </is>
      </c>
      <c r="C118" s="2">
        <f>IFERROR(INDEX(AHUB!$A$2:$A$16,MATCH("AHUB"&amp;TEXT(VALUE(MID(A118,FIND("_",A118,FIND("_",A118)+1)+2,FIND("_",A118,FIND("_",A118,FIND("_",A118)+1)+1)-FIND("_",A118,FIND("_",A118)+1)-2)),"000"),AHUB!$A$2:$A$16,0)),"No match")</f>
        <v/>
      </c>
    </row>
    <row r="119">
      <c r="A119" s="2" t="inlineStr">
        <is>
          <t>VAV_1F_S11_009</t>
        </is>
      </c>
      <c r="B119" s="2" t="inlineStr">
        <is>
          <t>entity:QNL_L1_021_INFO_LITERACY_INSTR2</t>
        </is>
      </c>
      <c r="C119" s="2">
        <f>IFERROR(INDEX(AHUB!$A$2:$A$16,MATCH("AHUB"&amp;TEXT(VALUE(MID(A119,FIND("_",A119,FIND("_",A119)+1)+2,FIND("_",A119,FIND("_",A119,FIND("_",A119)+1)+1)-FIND("_",A119,FIND("_",A119)+1)-2)),"000"),AHUB!$A$2:$A$16,0)),"No match")</f>
        <v/>
      </c>
    </row>
    <row r="120">
      <c r="A120" s="2" t="inlineStr">
        <is>
          <t>VAV_1F_S11_010</t>
        </is>
      </c>
      <c r="B120" s="2" t="inlineStr">
        <is>
          <t>entity:QNL_L1_021_INFO_LITERACY_INSTR2</t>
        </is>
      </c>
      <c r="C120" s="2">
        <f>IFERROR(INDEX(AHUB!$A$2:$A$16,MATCH("AHUB"&amp;TEXT(VALUE(MID(A120,FIND("_",A120,FIND("_",A120)+1)+2,FIND("_",A120,FIND("_",A120,FIND("_",A120)+1)+1)-FIND("_",A120,FIND("_",A120)+1)-2)),"000"),AHUB!$A$2:$A$16,0)),"No match")</f>
        <v/>
      </c>
    </row>
    <row r="121">
      <c r="A121" s="2" t="inlineStr">
        <is>
          <t>VAV_1F_S11_011</t>
        </is>
      </c>
      <c r="B121" s="2" t="inlineStr">
        <is>
          <t>entity:QNL_L1_021_INFO_LITERACY_INSTR2</t>
        </is>
      </c>
      <c r="C121" s="2">
        <f>IFERROR(INDEX(AHUB!$A$2:$A$16,MATCH("AHUB"&amp;TEXT(VALUE(MID(A121,FIND("_",A121,FIND("_",A121)+1)+2,FIND("_",A121,FIND("_",A121,FIND("_",A121)+1)+1)-FIND("_",A121,FIND("_",A121)+1)-2)),"000"),AHUB!$A$2:$A$16,0)),"No match")</f>
        <v/>
      </c>
    </row>
    <row r="122">
      <c r="A122" s="2" t="inlineStr">
        <is>
          <t>VAV_1F_S11_012</t>
        </is>
      </c>
      <c r="B122" s="2" t="inlineStr">
        <is>
          <t>entity:QNL_L1_021_INFO_LITERACY_INSTR2</t>
        </is>
      </c>
      <c r="C122" s="2">
        <f>IFERROR(INDEX(AHUB!$A$2:$A$16,MATCH("AHUB"&amp;TEXT(VALUE(MID(A122,FIND("_",A122,FIND("_",A122)+1)+2,FIND("_",A122,FIND("_",A122,FIND("_",A122)+1)+1)-FIND("_",A122,FIND("_",A122)+1)-2)),"000"),AHUB!$A$2:$A$16,0)),"No match")</f>
        <v/>
      </c>
    </row>
    <row r="123">
      <c r="A123" s="2" t="inlineStr">
        <is>
          <t>VAV_1F_S11_013</t>
        </is>
      </c>
      <c r="B123" s="2" t="inlineStr">
        <is>
          <t>entity:QNL_L1_021_INFO_LITERACY_INSTR2</t>
        </is>
      </c>
      <c r="C123" s="2">
        <f>IFERROR(INDEX(AHUB!$A$2:$A$16,MATCH("AHUB"&amp;TEXT(VALUE(MID(A123,FIND("_",A123,FIND("_",A123)+1)+2,FIND("_",A123,FIND("_",A123,FIND("_",A123)+1)+1)-FIND("_",A123,FIND("_",A123)+1)-2)),"000"),AHUB!$A$2:$A$16,0)),"No match")</f>
        <v/>
      </c>
    </row>
    <row r="124">
      <c r="A124" s="2" t="inlineStr">
        <is>
          <t>VAV_1F_S11_014</t>
        </is>
      </c>
      <c r="B124" s="2" t="inlineStr">
        <is>
          <t>entity:QNL_L1_022_COMPUTER_CLASSROOM</t>
        </is>
      </c>
      <c r="C124" s="2">
        <f>IFERROR(INDEX(AHUB!$A$2:$A$16,MATCH("AHUB"&amp;TEXT(VALUE(MID(A124,FIND("_",A124,FIND("_",A124)+1)+2,FIND("_",A124,FIND("_",A124,FIND("_",A124)+1)+1)-FIND("_",A124,FIND("_",A124)+1)-2)),"000"),AHUB!$A$2:$A$16,0)),"No match")</f>
        <v/>
      </c>
    </row>
    <row r="125">
      <c r="A125" s="2" t="inlineStr">
        <is>
          <t>VAV_1F_S11_015</t>
        </is>
      </c>
      <c r="B125" s="2" t="inlineStr">
        <is>
          <t>entity:QNL_L1_022_COMPUTER_CLASSROOM</t>
        </is>
      </c>
      <c r="C125" s="2">
        <f>IFERROR(INDEX(AHUB!$A$2:$A$16,MATCH("AHUB"&amp;TEXT(VALUE(MID(A125,FIND("_",A125,FIND("_",A125)+1)+2,FIND("_",A125,FIND("_",A125,FIND("_",A125)+1)+1)-FIND("_",A125,FIND("_",A125)+1)-2)),"000"),AHUB!$A$2:$A$16,0)),"No match")</f>
        <v/>
      </c>
    </row>
    <row r="126">
      <c r="A126" s="2" t="inlineStr">
        <is>
          <t>VAV_1F_S11_016</t>
        </is>
      </c>
      <c r="B126" s="2" t="inlineStr">
        <is>
          <t>entity:QNL_L1_022_COMPUTER_CLASSROOM</t>
        </is>
      </c>
      <c r="C126" s="2">
        <f>IFERROR(INDEX(AHUB!$A$2:$A$16,MATCH("AHUB"&amp;TEXT(VALUE(MID(A126,FIND("_",A126,FIND("_",A126)+1)+2,FIND("_",A126,FIND("_",A126,FIND("_",A126)+1)+1)-FIND("_",A126,FIND("_",A126)+1)-2)),"000"),AHUB!$A$2:$A$16,0)),"No match")</f>
        <v/>
      </c>
    </row>
    <row r="127">
      <c r="A127" s="2" t="inlineStr">
        <is>
          <t>VAV_1F_S11_017</t>
        </is>
      </c>
      <c r="B127" s="2" t="inlineStr">
        <is>
          <t>entity:QNL_L1_022_COMPUTER_CLASSROOM</t>
        </is>
      </c>
      <c r="C127" s="2">
        <f>IFERROR(INDEX(AHUB!$A$2:$A$16,MATCH("AHUB"&amp;TEXT(VALUE(MID(A127,FIND("_",A127,FIND("_",A127)+1)+2,FIND("_",A127,FIND("_",A127,FIND("_",A127)+1)+1)-FIND("_",A127,FIND("_",A127)+1)-2)),"000"),AHUB!$A$2:$A$16,0)),"No match")</f>
        <v/>
      </c>
    </row>
    <row r="128">
      <c r="A128" s="2" t="inlineStr">
        <is>
          <t>VAV_1F_S11_018</t>
        </is>
      </c>
      <c r="B128" s="2" t="inlineStr">
        <is>
          <t>entity:QNL_L1_022_COMPUTER_CLASSROOM</t>
        </is>
      </c>
      <c r="C128" s="2">
        <f>IFERROR(INDEX(AHUB!$A$2:$A$16,MATCH("AHUB"&amp;TEXT(VALUE(MID(A128,FIND("_",A128,FIND("_",A128)+1)+2,FIND("_",A128,FIND("_",A128,FIND("_",A128)+1)+1)-FIND("_",A128,FIND("_",A128)+1)-2)),"000"),AHUB!$A$2:$A$16,0)),"No match")</f>
        <v/>
      </c>
    </row>
    <row r="129">
      <c r="A129" s="2" t="inlineStr">
        <is>
          <t>VAV_1F_S11_019</t>
        </is>
      </c>
      <c r="B129" s="2" t="inlineStr">
        <is>
          <t>entity:QNL_L1_022_COMPUTER_CLASSROOM</t>
        </is>
      </c>
      <c r="C129" s="2">
        <f>IFERROR(INDEX(AHUB!$A$2:$A$16,MATCH("AHUB"&amp;TEXT(VALUE(MID(A129,FIND("_",A129,FIND("_",A129)+1)+2,FIND("_",A129,FIND("_",A129,FIND("_",A129)+1)+1)-FIND("_",A129,FIND("_",A129)+1)-2)),"000"),AHUB!$A$2:$A$16,0)),"No match")</f>
        <v/>
      </c>
    </row>
    <row r="130">
      <c r="A130" s="2" t="inlineStr">
        <is>
          <t>VAV_1F_S11_020</t>
        </is>
      </c>
      <c r="B130" s="2" t="inlineStr">
        <is>
          <t>entity:QNL_L1_022_COMPUTER_CLASSROOM</t>
        </is>
      </c>
      <c r="C130" s="2">
        <f>IFERROR(INDEX(AHUB!$A$2:$A$16,MATCH("AHUB"&amp;TEXT(VALUE(MID(A130,FIND("_",A130,FIND("_",A130)+1)+2,FIND("_",A130,FIND("_",A130,FIND("_",A130)+1)+1)-FIND("_",A130,FIND("_",A130)+1)-2)),"000"),AHUB!$A$2:$A$16,0)),"No match")</f>
        <v/>
      </c>
    </row>
    <row r="131">
      <c r="A131" s="2" t="inlineStr">
        <is>
          <t>VAV_1F_S11_021</t>
        </is>
      </c>
      <c r="B131" s="2" t="inlineStr">
        <is>
          <t>entity:QNL_L1_022_COMPUTER_CLASSROOM</t>
        </is>
      </c>
      <c r="C131" s="2">
        <f>IFERROR(INDEX(AHUB!$A$2:$A$16,MATCH("AHUB"&amp;TEXT(VALUE(MID(A131,FIND("_",A131,FIND("_",A131)+1)+2,FIND("_",A131,FIND("_",A131,FIND("_",A131)+1)+1)-FIND("_",A131,FIND("_",A131)+1)-2)),"000"),AHUB!$A$2:$A$16,0)),"No match")</f>
        <v/>
      </c>
    </row>
    <row r="132">
      <c r="A132" s="2" t="inlineStr">
        <is>
          <t>VAV_1F_S11_087</t>
        </is>
      </c>
      <c r="B132" s="2" t="inlineStr">
        <is>
          <t>entity:QNL_L1023_2_CORRIDOR</t>
        </is>
      </c>
      <c r="C132" s="2">
        <f>IFERROR(INDEX(AHUB!$A$2:$A$16,MATCH("AHUB"&amp;TEXT(VALUE(MID(A132,FIND("_",A132,FIND("_",A132)+1)+2,FIND("_",A132,FIND("_",A132,FIND("_",A132)+1)+1)-FIND("_",A132,FIND("_",A132)+1)-2)),"000"),AHUB!$A$2:$A$16,0)),"No match")</f>
        <v/>
      </c>
    </row>
    <row r="133">
      <c r="A133" s="2" t="inlineStr">
        <is>
          <t>VAV_1F_S11_088</t>
        </is>
      </c>
      <c r="B133" s="2" t="inlineStr">
        <is>
          <t>entity:QNL_L1023_2_CORRIDOR</t>
        </is>
      </c>
      <c r="C133" s="2">
        <f>IFERROR(INDEX(AHUB!$A$2:$A$16,MATCH("AHUB"&amp;TEXT(VALUE(MID(A133,FIND("_",A133,FIND("_",A133)+1)+2,FIND("_",A133,FIND("_",A133,FIND("_",A133)+1)+1)-FIND("_",A133,FIND("_",A133)+1)-2)),"000"),AHUB!$A$2:$A$16,0)),"No match")</f>
        <v/>
      </c>
    </row>
    <row r="134">
      <c r="A134" s="2" t="inlineStr">
        <is>
          <t>VAV_1F_S11_089</t>
        </is>
      </c>
      <c r="B134" s="2" t="inlineStr">
        <is>
          <t>entity:QNL_L1023_2_CORRIDOR</t>
        </is>
      </c>
      <c r="C134" s="2">
        <f>IFERROR(INDEX(AHUB!$A$2:$A$16,MATCH("AHUB"&amp;TEXT(VALUE(MID(A134,FIND("_",A134,FIND("_",A134)+1)+2,FIND("_",A134,FIND("_",A134,FIND("_",A134)+1)+1)-FIND("_",A134,FIND("_",A134)+1)-2)),"000"),AHUB!$A$2:$A$16,0)),"No match")</f>
        <v/>
      </c>
    </row>
    <row r="135">
      <c r="A135" s="2" t="inlineStr">
        <is>
          <t>VAV_1F_S11_090</t>
        </is>
      </c>
      <c r="B135" s="2" t="inlineStr">
        <is>
          <t>entity:QNL_L1023_2_CORRIDOR</t>
        </is>
      </c>
      <c r="C135" s="2">
        <f>IFERROR(INDEX(AHUB!$A$2:$A$16,MATCH("AHUB"&amp;TEXT(VALUE(MID(A135,FIND("_",A135,FIND("_",A135)+1)+2,FIND("_",A135,FIND("_",A135,FIND("_",A135)+1)+1)-FIND("_",A135,FIND("_",A135)+1)-2)),"000"),AHUB!$A$2:$A$16,0)),"No match")</f>
        <v/>
      </c>
    </row>
    <row r="136">
      <c r="A136" s="2" t="inlineStr">
        <is>
          <t>VAV_1F_S11_001</t>
        </is>
      </c>
      <c r="B136" s="2" t="inlineStr">
        <is>
          <t>entity:QNL_L1_026_GROUP_STUDY_ROOM1</t>
        </is>
      </c>
      <c r="C136" s="2">
        <f>IFERROR(INDEX(AHUB!$A$2:$A$16,MATCH("AHUB"&amp;TEXT(VALUE(MID(A136,FIND("_",A136,FIND("_",A136)+1)+2,FIND("_",A136,FIND("_",A136,FIND("_",A136)+1)+1)-FIND("_",A136,FIND("_",A136)+1)-2)),"000"),AHUB!$A$2:$A$16,0)),"No match")</f>
        <v/>
      </c>
    </row>
    <row r="137">
      <c r="A137" s="2" t="inlineStr">
        <is>
          <t>VAV_1F_S11_002</t>
        </is>
      </c>
      <c r="B137" s="2" t="inlineStr">
        <is>
          <t>entity:QNL_L1_027_GROUP_STUDY_ROOM2</t>
        </is>
      </c>
      <c r="C137" s="2">
        <f>IFERROR(INDEX(AHUB!$A$2:$A$16,MATCH("AHUB"&amp;TEXT(VALUE(MID(A137,FIND("_",A137,FIND("_",A137)+1)+2,FIND("_",A137,FIND("_",A137,FIND("_",A137)+1)+1)-FIND("_",A137,FIND("_",A137)+1)-2)),"000"),AHUB!$A$2:$A$16,0)),"No match")</f>
        <v/>
      </c>
    </row>
    <row r="138">
      <c r="A138" s="2" t="inlineStr">
        <is>
          <t>VAV_1F_S11_003</t>
        </is>
      </c>
      <c r="B138" s="2" t="inlineStr">
        <is>
          <t>entity:QNL_L1_028_GROUP_STUDY_ROOM3</t>
        </is>
      </c>
      <c r="C138" s="2">
        <f>IFERROR(INDEX(AHUB!$A$2:$A$16,MATCH("AHUB"&amp;TEXT(VALUE(MID(A138,FIND("_",A138,FIND("_",A138)+1)+2,FIND("_",A138,FIND("_",A138,FIND("_",A138)+1)+1)-FIND("_",A138,FIND("_",A138)+1)-2)),"000"),AHUB!$A$2:$A$16,0)),"No match")</f>
        <v/>
      </c>
    </row>
    <row r="139">
      <c r="A139" s="2" t="inlineStr">
        <is>
          <t>VAV_1F_S11_022</t>
        </is>
      </c>
      <c r="B139" s="2" t="inlineStr">
        <is>
          <t>entity:QNL_L1_029_GROUP_STUDY_ROOM4</t>
        </is>
      </c>
      <c r="C139" s="2">
        <f>IFERROR(INDEX(AHUB!$A$2:$A$16,MATCH("AHUB"&amp;TEXT(VALUE(MID(A139,FIND("_",A139,FIND("_",A139)+1)+2,FIND("_",A139,FIND("_",A139,FIND("_",A139)+1)+1)-FIND("_",A139,FIND("_",A139)+1)-2)),"000"),AHUB!$A$2:$A$16,0)),"No match")</f>
        <v/>
      </c>
    </row>
    <row r="140">
      <c r="A140" s="2" t="inlineStr">
        <is>
          <t>VAV_1F_S15_005</t>
        </is>
      </c>
      <c r="B140" s="2" t="inlineStr">
        <is>
          <t>entity:QNL_L1_040_HEAD_LIBRARIAN_OFFICE</t>
        </is>
      </c>
      <c r="C140" s="2">
        <f>IFERROR(INDEX(AHUB!$A$2:$A$16,MATCH("AHUB"&amp;TEXT(VALUE(MID(A140,FIND("_",A140,FIND("_",A140)+1)+2,FIND("_",A140,FIND("_",A140,FIND("_",A140)+1)+1)-FIND("_",A140,FIND("_",A140)+1)-2)),"000"),AHUB!$A$2:$A$16,0)),"No match")</f>
        <v/>
      </c>
    </row>
    <row r="141">
      <c r="A141" s="2" t="inlineStr">
        <is>
          <t>VAV_1F_S15_096</t>
        </is>
      </c>
      <c r="B141" s="2" t="inlineStr">
        <is>
          <t>entity:QNL_L1_041_MULTPURPOSE_ROOM</t>
        </is>
      </c>
      <c r="C141" s="2">
        <f>IFERROR(INDEX(AHUB!$A$2:$A$16,MATCH("AHUB"&amp;TEXT(VALUE(MID(A141,FIND("_",A141,FIND("_",A141)+1)+2,FIND("_",A141,FIND("_",A141,FIND("_",A141)+1)+1)-FIND("_",A141,FIND("_",A141)+1)-2)),"000"),AHUB!$A$2:$A$16,0)),"No match")</f>
        <v/>
      </c>
    </row>
    <row r="142">
      <c r="A142" s="2" t="inlineStr">
        <is>
          <t>VAV_1F_S15_097</t>
        </is>
      </c>
      <c r="B142" s="2" t="inlineStr">
        <is>
          <t>entity:QNL_L1_041_MULTPURPOSE_ROOM</t>
        </is>
      </c>
      <c r="C142" s="2">
        <f>IFERROR(INDEX(AHUB!$A$2:$A$16,MATCH("AHUB"&amp;TEXT(VALUE(MID(A142,FIND("_",A142,FIND("_",A142)+1)+2,FIND("_",A142,FIND("_",A142,FIND("_",A142)+1)+1)-FIND("_",A142,FIND("_",A142)+1)-2)),"000"),AHUB!$A$2:$A$16,0)),"No match")</f>
        <v/>
      </c>
    </row>
    <row r="143">
      <c r="A143" s="2" t="inlineStr">
        <is>
          <t>VAV_1F_S15_098</t>
        </is>
      </c>
      <c r="B143" s="2" t="inlineStr">
        <is>
          <t>entity:QNL_L1_041_MULTPURPOSE_ROOM</t>
        </is>
      </c>
      <c r="C143" s="2">
        <f>IFERROR(INDEX(AHUB!$A$2:$A$16,MATCH("AHUB"&amp;TEXT(VALUE(MID(A143,FIND("_",A143,FIND("_",A143)+1)+2,FIND("_",A143,FIND("_",A143,FIND("_",A143)+1)+1)-FIND("_",A143,FIND("_",A143)+1)-2)),"000"),AHUB!$A$2:$A$16,0)),"No match")</f>
        <v/>
      </c>
    </row>
    <row r="144">
      <c r="A144" s="2" t="inlineStr">
        <is>
          <t>VAV_1F_S15_006</t>
        </is>
      </c>
      <c r="B144" s="2" t="inlineStr">
        <is>
          <t>entity:QNL_L1_047_CHILDREN_LIBRARY_-_PRE_SCHOOL_READING_&amp;_PLAYING</t>
        </is>
      </c>
      <c r="C144" s="2">
        <f>IFERROR(INDEX(AHUB!$A$2:$A$16,MATCH("AHUB"&amp;TEXT(VALUE(MID(A144,FIND("_",A144,FIND("_",A144)+1)+2,FIND("_",A144,FIND("_",A144,FIND("_",A144)+1)+1)-FIND("_",A144,FIND("_",A144)+1)-2)),"000"),AHUB!$A$2:$A$16,0)),"No match")</f>
        <v/>
      </c>
    </row>
    <row r="145">
      <c r="A145" s="2" t="inlineStr">
        <is>
          <t>VAV_1F_S15_007</t>
        </is>
      </c>
      <c r="B145" s="2" t="inlineStr">
        <is>
          <t>entity:QNL_L1_047_CHILDREN_LIBRARY_-_PRE_SCHOOL_READING_&amp;_PLAYING</t>
        </is>
      </c>
      <c r="C145" s="2">
        <f>IFERROR(INDEX(AHUB!$A$2:$A$16,MATCH("AHUB"&amp;TEXT(VALUE(MID(A145,FIND("_",A145,FIND("_",A145)+1)+2,FIND("_",A145,FIND("_",A145,FIND("_",A145)+1)+1)-FIND("_",A145,FIND("_",A145)+1)-2)),"000"),AHUB!$A$2:$A$16,0)),"No match")</f>
        <v/>
      </c>
    </row>
    <row r="146">
      <c r="A146" s="2" t="inlineStr">
        <is>
          <t>VAV_1F_S15_008</t>
        </is>
      </c>
      <c r="B146" s="2" t="inlineStr">
        <is>
          <t>entity:QNL_L1_047_CHILDREN_LIBRARY_-_PRE_SCHOOL_READING_&amp;_PLAYING</t>
        </is>
      </c>
      <c r="C146" s="2">
        <f>IFERROR(INDEX(AHUB!$A$2:$A$16,MATCH("AHUB"&amp;TEXT(VALUE(MID(A146,FIND("_",A146,FIND("_",A146)+1)+2,FIND("_",A146,FIND("_",A146,FIND("_",A146)+1)+1)-FIND("_",A146,FIND("_",A146)+1)-2)),"000"),AHUB!$A$2:$A$16,0)),"No match")</f>
        <v/>
      </c>
    </row>
    <row r="147">
      <c r="A147" s="2" t="inlineStr">
        <is>
          <t>VAV_1F_S15_009</t>
        </is>
      </c>
      <c r="B147" s="2" t="inlineStr">
        <is>
          <t>entity:QNL_L1_047_CHILDREN_LIBRARY_-_PRE_SCHOOL_READING_&amp;_PLAYING</t>
        </is>
      </c>
      <c r="C147" s="2">
        <f>IFERROR(INDEX(AHUB!$A$2:$A$16,MATCH("AHUB"&amp;TEXT(VALUE(MID(A147,FIND("_",A147,FIND("_",A147)+1)+2,FIND("_",A147,FIND("_",A147,FIND("_",A147)+1)+1)-FIND("_",A147,FIND("_",A147)+1)-2)),"000"),AHUB!$A$2:$A$16,0)),"No match")</f>
        <v/>
      </c>
    </row>
    <row r="148">
      <c r="A148" s="2" t="inlineStr">
        <is>
          <t>VAV_1F_S15_010</t>
        </is>
      </c>
      <c r="B148" s="2" t="inlineStr">
        <is>
          <t>entity:QNL_L1_047_CHILDREN_LIBRARY_-_PRE_SCHOOL_READING_&amp;_PLAYING</t>
        </is>
      </c>
      <c r="C148" s="2">
        <f>IFERROR(INDEX(AHUB!$A$2:$A$16,MATCH("AHUB"&amp;TEXT(VALUE(MID(A148,FIND("_",A148,FIND("_",A148)+1)+2,FIND("_",A148,FIND("_",A148,FIND("_",A148)+1)+1)-FIND("_",A148,FIND("_",A148)+1)-2)),"000"),AHUB!$A$2:$A$16,0)),"No match")</f>
        <v/>
      </c>
    </row>
    <row r="149">
      <c r="A149" s="2" t="inlineStr">
        <is>
          <t>VAV_1F_S15_011</t>
        </is>
      </c>
      <c r="B149" s="2" t="inlineStr">
        <is>
          <t>entity:QNL_L1_047_CHILDREN_LIBRARY_-_PRE_SCHOOL_READING_&amp;_PLAYING</t>
        </is>
      </c>
      <c r="C149" s="2">
        <f>IFERROR(INDEX(AHUB!$A$2:$A$16,MATCH("AHUB"&amp;TEXT(VALUE(MID(A149,FIND("_",A149,FIND("_",A149)+1)+2,FIND("_",A149,FIND("_",A149,FIND("_",A149)+1)+1)-FIND("_",A149,FIND("_",A149)+1)-2)),"000"),AHUB!$A$2:$A$16,0)),"No match")</f>
        <v/>
      </c>
    </row>
    <row r="150">
      <c r="A150" s="2" t="inlineStr">
        <is>
          <t>VAV_1F_S15_012</t>
        </is>
      </c>
      <c r="B150" s="2" t="inlineStr">
        <is>
          <t>entity:QNL_L1_048_STAFF_OFFICE</t>
        </is>
      </c>
      <c r="C150" s="2">
        <f>IFERROR(INDEX(AHUB!$A$2:$A$16,MATCH("AHUB"&amp;TEXT(VALUE(MID(A150,FIND("_",A150,FIND("_",A150)+1)+2,FIND("_",A150,FIND("_",A150,FIND("_",A150)+1)+1)-FIND("_",A150,FIND("_",A150)+1)-2)),"000"),AHUB!$A$2:$A$16,0)),"No match")</f>
        <v/>
      </c>
    </row>
    <row r="151">
      <c r="A151" s="2" t="inlineStr">
        <is>
          <t>VAV_1F_S15_039S</t>
        </is>
      </c>
      <c r="B151" s="2" t="inlineStr">
        <is>
          <t>entity:QNL_L1_048_STAFF_OFFICE</t>
        </is>
      </c>
      <c r="C151" s="2">
        <f>IFERROR(INDEX(AHUB!$A$2:$A$16,MATCH("AHUB"&amp;TEXT(VALUE(MID(A151,FIND("_",A151,FIND("_",A151)+1)+2,FIND("_",A151,FIND("_",A151,FIND("_",A151)+1)+1)-FIND("_",A151,FIND("_",A151)+1)-2)),"000"),AHUB!$A$2:$A$16,0)),"No match")</f>
        <v/>
      </c>
    </row>
    <row r="152">
      <c r="A152" s="2" t="inlineStr">
        <is>
          <t>VAV_1F_S15_001</t>
        </is>
      </c>
      <c r="B152" s="2" t="inlineStr">
        <is>
          <t>entity:QNL_L1_063_MEDIA_STUDIO_1</t>
        </is>
      </c>
      <c r="C152" s="2">
        <f>IFERROR(INDEX(AHUB!$A$2:$A$16,MATCH("AHUB"&amp;TEXT(VALUE(MID(A152,FIND("_",A152,FIND("_",A152)+1)+2,FIND("_",A152,FIND("_",A152,FIND("_",A152)+1)+1)-FIND("_",A152,FIND("_",A152)+1)-2)),"000"),AHUB!$A$2:$A$16,0)),"No match")</f>
        <v/>
      </c>
    </row>
    <row r="153">
      <c r="A153" s="2" t="inlineStr">
        <is>
          <t>VAV_1F_S15_002</t>
        </is>
      </c>
      <c r="B153" s="2" t="inlineStr">
        <is>
          <t>entity:QNL_L1_063_MEDIA_STUDIO_1</t>
        </is>
      </c>
      <c r="C153" s="2">
        <f>IFERROR(INDEX(AHUB!$A$2:$A$16,MATCH("AHUB"&amp;TEXT(VALUE(MID(A153,FIND("_",A153,FIND("_",A153)+1)+2,FIND("_",A153,FIND("_",A153,FIND("_",A153)+1)+1)-FIND("_",A153,FIND("_",A153)+1)-2)),"000"),AHUB!$A$2:$A$16,0)),"No match")</f>
        <v/>
      </c>
    </row>
    <row r="154">
      <c r="A154" s="2" t="inlineStr">
        <is>
          <t>VAV_1F_S15_003</t>
        </is>
      </c>
      <c r="B154" s="2" t="inlineStr">
        <is>
          <t>entity:QNL_L1_065_MEDIA_STUDIO_1</t>
        </is>
      </c>
      <c r="C154" s="2">
        <f>IFERROR(INDEX(AHUB!$A$2:$A$16,MATCH("AHUB"&amp;TEXT(VALUE(MID(A154,FIND("_",A154,FIND("_",A154)+1)+2,FIND("_",A154,FIND("_",A154,FIND("_",A154)+1)+1)-FIND("_",A154,FIND("_",A154)+1)-2)),"000"),AHUB!$A$2:$A$16,0)),"No match")</f>
        <v/>
      </c>
    </row>
    <row r="155">
      <c r="A155" s="2" t="inlineStr">
        <is>
          <t>VAV_1F_S15_004</t>
        </is>
      </c>
      <c r="B155" s="2" t="inlineStr">
        <is>
          <t>entity:QNL_L1_065_MEDIA_STUDIO_1</t>
        </is>
      </c>
      <c r="C155" s="2">
        <f>IFERROR(INDEX(AHUB!$A$2:$A$16,MATCH("AHUB"&amp;TEXT(VALUE(MID(A155,FIND("_",A155,FIND("_",A155)+1)+2,FIND("_",A155,FIND("_",A155,FIND("_",A155)+1)+1)-FIND("_",A155,FIND("_",A155)+1)-2)),"000"),AHUB!$A$2:$A$16,0)),"No match")</f>
        <v/>
      </c>
    </row>
    <row r="156">
      <c r="A156" s="2" t="inlineStr">
        <is>
          <t>VAV_2F_S14_001</t>
        </is>
      </c>
      <c r="B156" s="2" t="inlineStr">
        <is>
          <t>entity:QNL_L1_080_PUBLIC_SERVICE</t>
        </is>
      </c>
      <c r="C156" s="2">
        <f>IFERROR(INDEX(AHUB!$A$2:$A$16,MATCH("AHUB"&amp;TEXT(VALUE(MID(A156,FIND("_",A156,FIND("_",A156)+1)+2,FIND("_",A156,FIND("_",A156,FIND("_",A156)+1)+1)-FIND("_",A156,FIND("_",A156)+1)-2)),"000"),AHUB!$A$2:$A$16,0)),"No match")</f>
        <v/>
      </c>
    </row>
    <row r="157">
      <c r="A157" s="2" t="inlineStr">
        <is>
          <t>VAV_2F_S14_002</t>
        </is>
      </c>
      <c r="B157" s="2" t="inlineStr">
        <is>
          <t>entity:QNL_L1_080_PUBLIC_SERVICE</t>
        </is>
      </c>
      <c r="C157" s="2">
        <f>IFERROR(INDEX(AHUB!$A$2:$A$16,MATCH("AHUB"&amp;TEXT(VALUE(MID(A157,FIND("_",A157,FIND("_",A157)+1)+2,FIND("_",A157,FIND("_",A157,FIND("_",A157)+1)+1)-FIND("_",A157,FIND("_",A157)+1)-2)),"000"),AHUB!$A$2:$A$16,0)),"No match")</f>
        <v/>
      </c>
    </row>
    <row r="158">
      <c r="A158" s="2" t="inlineStr">
        <is>
          <t>VAV_2F_S14_003</t>
        </is>
      </c>
      <c r="B158" s="2" t="inlineStr">
        <is>
          <t>entity:QNL_L1_080_PUBLIC_SERVICE</t>
        </is>
      </c>
      <c r="C158" s="2">
        <f>IFERROR(INDEX(AHUB!$A$2:$A$16,MATCH("AHUB"&amp;TEXT(VALUE(MID(A158,FIND("_",A158,FIND("_",A158)+1)+2,FIND("_",A158,FIND("_",A158,FIND("_",A158)+1)+1)-FIND("_",A158,FIND("_",A158)+1)-2)),"000"),AHUB!$A$2:$A$16,0)),"No match")</f>
        <v/>
      </c>
    </row>
    <row r="159">
      <c r="A159" s="2" t="inlineStr">
        <is>
          <t>VAV_2F_S14_004</t>
        </is>
      </c>
      <c r="B159" s="2" t="inlineStr">
        <is>
          <t>entity:QNL_L1_080_PUBLIC_SERVICE</t>
        </is>
      </c>
      <c r="C159" s="2">
        <f>IFERROR(INDEX(AHUB!$A$2:$A$16,MATCH("AHUB"&amp;TEXT(VALUE(MID(A159,FIND("_",A159,FIND("_",A159)+1)+2,FIND("_",A159,FIND("_",A159,FIND("_",A159)+1)+1)-FIND("_",A159,FIND("_",A159)+1)-2)),"000"),AHUB!$A$2:$A$16,0)),"No match")</f>
        <v/>
      </c>
    </row>
    <row r="160">
      <c r="A160" s="2" t="inlineStr">
        <is>
          <t>VAV_2F_S14_005</t>
        </is>
      </c>
      <c r="B160" s="2" t="inlineStr">
        <is>
          <t>entity:QNL_L1_081_BIBLIOGRANHER1</t>
        </is>
      </c>
      <c r="C160" s="2">
        <f>IFERROR(INDEX(AHUB!$A$2:$A$16,MATCH("AHUB"&amp;TEXT(VALUE(MID(A160,FIND("_",A160,FIND("_",A160)+1)+2,FIND("_",A160,FIND("_",A160,FIND("_",A160)+1)+1)-FIND("_",A160,FIND("_",A160)+1)-2)),"000"),AHUB!$A$2:$A$16,0)),"No match")</f>
        <v/>
      </c>
    </row>
    <row r="161">
      <c r="A161" s="2" t="inlineStr">
        <is>
          <t>VAV_2F_S14_006</t>
        </is>
      </c>
      <c r="B161" s="2" t="inlineStr">
        <is>
          <t>entity:QNL_L1_082_BIBLIOGRAPHER2</t>
        </is>
      </c>
      <c r="C161" s="2">
        <f>IFERROR(INDEX(AHUB!$A$2:$A$16,MATCH("AHUB"&amp;TEXT(VALUE(MID(A161,FIND("_",A161,FIND("_",A161)+1)+2,FIND("_",A161,FIND("_",A161,FIND("_",A161)+1)+1)-FIND("_",A161,FIND("_",A161)+1)-2)),"000"),AHUB!$A$2:$A$16,0)),"No match")</f>
        <v/>
      </c>
    </row>
    <row r="162">
      <c r="A162" s="2" t="inlineStr">
        <is>
          <t>VAV_2F_S14_007</t>
        </is>
      </c>
      <c r="B162" s="2" t="inlineStr">
        <is>
          <t>entity:QNL_L1_083_SPEC_COLL&amp;ARCH</t>
        </is>
      </c>
      <c r="C162" s="2">
        <f>IFERROR(INDEX(AHUB!$A$2:$A$16,MATCH("AHUB"&amp;TEXT(VALUE(MID(A162,FIND("_",A162,FIND("_",A162)+1)+2,FIND("_",A162,FIND("_",A162,FIND("_",A162)+1)+1)-FIND("_",A162,FIND("_",A162)+1)-2)),"000"),AHUB!$A$2:$A$16,0)),"No match")</f>
        <v/>
      </c>
    </row>
    <row r="163">
      <c r="A163" s="2" t="inlineStr">
        <is>
          <t>VAV_2F_S14_008</t>
        </is>
      </c>
      <c r="B163" s="2" t="inlineStr">
        <is>
          <t>entity:QNL_L1_084_R&amp;L_SERVICES</t>
        </is>
      </c>
      <c r="C163" s="2">
        <f>IFERROR(INDEX(AHUB!$A$2:$A$16,MATCH("AHUB"&amp;TEXT(VALUE(MID(A163,FIND("_",A163,FIND("_",A163)+1)+2,FIND("_",A163,FIND("_",A163,FIND("_",A163)+1)+1)-FIND("_",A163,FIND("_",A163)+1)-2)),"000"),AHUB!$A$2:$A$16,0)),"No match")</f>
        <v/>
      </c>
    </row>
    <row r="164">
      <c r="A164" s="2" t="inlineStr">
        <is>
          <t>VAV_2F_S14_009</t>
        </is>
      </c>
      <c r="B164" s="2" t="inlineStr">
        <is>
          <t>entity:QNL_L1_085_ADPUBLIC_SERVICE</t>
        </is>
      </c>
      <c r="C164" s="2">
        <f>IFERROR(INDEX(AHUB!$A$2:$A$16,MATCH("AHUB"&amp;TEXT(VALUE(MID(A164,FIND("_",A164,FIND("_",A164)+1)+2,FIND("_",A164,FIND("_",A164,FIND("_",A164)+1)+1)-FIND("_",A164,FIND("_",A164)+1)-2)),"000"),AHUB!$A$2:$A$16,0)),"No match")</f>
        <v/>
      </c>
    </row>
    <row r="165">
      <c r="A165" s="2" t="inlineStr">
        <is>
          <t>VAV_2F_S14_010</t>
        </is>
      </c>
      <c r="B165" s="2" t="inlineStr">
        <is>
          <t>entity:QNL_L1_086_REF_LIBRARIAN_1</t>
        </is>
      </c>
      <c r="C165" s="2">
        <f>IFERROR(INDEX(AHUB!$A$2:$A$16,MATCH("AHUB"&amp;TEXT(VALUE(MID(A165,FIND("_",A165,FIND("_",A165)+1)+2,FIND("_",A165,FIND("_",A165,FIND("_",A165)+1)+1)-FIND("_",A165,FIND("_",A165)+1)-2)),"000"),AHUB!$A$2:$A$16,0)),"No match")</f>
        <v/>
      </c>
    </row>
    <row r="166">
      <c r="A166" s="2" t="inlineStr">
        <is>
          <t>VAV_2F_S14_011</t>
        </is>
      </c>
      <c r="B166" s="2" t="inlineStr">
        <is>
          <t>entity:QNL_L1_087_REF_LIBRARIAN_2</t>
        </is>
      </c>
      <c r="C166" s="2">
        <f>IFERROR(INDEX(AHUB!$A$2:$A$16,MATCH("AHUB"&amp;TEXT(VALUE(MID(A166,FIND("_",A166,FIND("_",A166)+1)+2,FIND("_",A166,FIND("_",A166,FIND("_",A166)+1)+1)-FIND("_",A166,FIND("_",A166)+1)-2)),"000"),AHUB!$A$2:$A$16,0)),"No match")</f>
        <v/>
      </c>
    </row>
    <row r="167">
      <c r="A167" s="2" t="inlineStr">
        <is>
          <t>VAV_2F_S14_012</t>
        </is>
      </c>
      <c r="B167" s="2" t="inlineStr">
        <is>
          <t>entity:QNL_L1_088_REF_LIBRARIAN_3</t>
        </is>
      </c>
      <c r="C167" s="2">
        <f>IFERROR(INDEX(AHUB!$A$2:$A$16,MATCH("AHUB"&amp;TEXT(VALUE(MID(A167,FIND("_",A167,FIND("_",A167)+1)+2,FIND("_",A167,FIND("_",A167,FIND("_",A167)+1)+1)-FIND("_",A167,FIND("_",A167)+1)-2)),"000"),AHUB!$A$2:$A$16,0)),"No match")</f>
        <v/>
      </c>
    </row>
    <row r="168">
      <c r="A168" s="2" t="inlineStr">
        <is>
          <t>VAV_2F_S14_013</t>
        </is>
      </c>
      <c r="B168" s="2" t="inlineStr">
        <is>
          <t>entity:QNL_L1_089_REF_LIBRARIAN_4</t>
        </is>
      </c>
      <c r="C168" s="2">
        <f>IFERROR(INDEX(AHUB!$A$2:$A$16,MATCH("AHUB"&amp;TEXT(VALUE(MID(A168,FIND("_",A168,FIND("_",A168)+1)+2,FIND("_",A168,FIND("_",A168,FIND("_",A168)+1)+1)-FIND("_",A168,FIND("_",A168)+1)-2)),"000"),AHUB!$A$2:$A$16,0)),"No match")</f>
        <v/>
      </c>
    </row>
    <row r="169">
      <c r="A169" s="2" t="inlineStr">
        <is>
          <t>VAV_2F_S14_014</t>
        </is>
      </c>
      <c r="B169" s="2" t="inlineStr">
        <is>
          <t>entity:QNL_L1_090_REF_LIBRARIAN_5</t>
        </is>
      </c>
      <c r="C169" s="2">
        <f>IFERROR(INDEX(AHUB!$A$2:$A$16,MATCH("AHUB"&amp;TEXT(VALUE(MID(A169,FIND("_",A169,FIND("_",A169)+1)+2,FIND("_",A169,FIND("_",A169,FIND("_",A169)+1)+1)-FIND("_",A169,FIND("_",A169)+1)-2)),"000"),AHUB!$A$2:$A$16,0)),"No match")</f>
        <v/>
      </c>
    </row>
    <row r="170">
      <c r="A170" s="2" t="inlineStr">
        <is>
          <t>VAV_2F_S14_015</t>
        </is>
      </c>
      <c r="B170" s="2" t="inlineStr">
        <is>
          <t>entity:QNL_L1_091_REF_LIBRARIAN_6</t>
        </is>
      </c>
      <c r="C170" s="2">
        <f>IFERROR(INDEX(AHUB!$A$2:$A$16,MATCH("AHUB"&amp;TEXT(VALUE(MID(A170,FIND("_",A170,FIND("_",A170)+1)+2,FIND("_",A170,FIND("_",A170,FIND("_",A170)+1)+1)-FIND("_",A170,FIND("_",A170)+1)-2)),"000"),AHUB!$A$2:$A$16,0)),"No match")</f>
        <v/>
      </c>
    </row>
    <row r="171">
      <c r="A171" s="2" t="inlineStr">
        <is>
          <t>VAV_2F_S14_016</t>
        </is>
      </c>
      <c r="B171" s="2" t="inlineStr">
        <is>
          <t>entity:QNL_L1_092_REF_LIBRARIAN_7</t>
        </is>
      </c>
      <c r="C171" s="2">
        <f>IFERROR(INDEX(AHUB!$A$2:$A$16,MATCH("AHUB"&amp;TEXT(VALUE(MID(A171,FIND("_",A171,FIND("_",A171)+1)+2,FIND("_",A171,FIND("_",A171,FIND("_",A171)+1)+1)-FIND("_",A171,FIND("_",A171)+1)-2)),"000"),AHUB!$A$2:$A$16,0)),"No match")</f>
        <v/>
      </c>
    </row>
    <row r="172">
      <c r="A172" s="2" t="inlineStr">
        <is>
          <t>VAV_2F_S14_017</t>
        </is>
      </c>
      <c r="B172" s="2" t="inlineStr">
        <is>
          <t>entity:QNL_L1_093_REF_LIBRARIAN_8</t>
        </is>
      </c>
      <c r="C172" s="2">
        <f>IFERROR(INDEX(AHUB!$A$2:$A$16,MATCH("AHUB"&amp;TEXT(VALUE(MID(A172,FIND("_",A172,FIND("_",A172)+1)+2,FIND("_",A172,FIND("_",A172,FIND("_",A172)+1)+1)-FIND("_",A172,FIND("_",A172)+1)-2)),"000"),AHUB!$A$2:$A$16,0)),"No match")</f>
        <v/>
      </c>
    </row>
    <row r="173">
      <c r="A173" s="2" t="inlineStr">
        <is>
          <t>VAV_2F_S14_018</t>
        </is>
      </c>
      <c r="B173" s="2" t="inlineStr">
        <is>
          <t>entity:QNL_L1_094_REF_LIBRARIAN_9</t>
        </is>
      </c>
      <c r="C173" s="2">
        <f>IFERROR(INDEX(AHUB!$A$2:$A$16,MATCH("AHUB"&amp;TEXT(VALUE(MID(A173,FIND("_",A173,FIND("_",A173)+1)+2,FIND("_",A173,FIND("_",A173,FIND("_",A173)+1)+1)-FIND("_",A173,FIND("_",A173)+1)-2)),"000"),AHUB!$A$2:$A$16,0)),"No match")</f>
        <v/>
      </c>
    </row>
    <row r="174">
      <c r="A174" s="2" t="inlineStr">
        <is>
          <t>VAV_2F_S14_019</t>
        </is>
      </c>
      <c r="B174" s="2" t="inlineStr">
        <is>
          <t>entity:QNL_L1_095_REF_LIBRARIAN_10</t>
        </is>
      </c>
      <c r="C174" s="2">
        <f>IFERROR(INDEX(AHUB!$A$2:$A$16,MATCH("AHUB"&amp;TEXT(VALUE(MID(A174,FIND("_",A174,FIND("_",A174)+1)+2,FIND("_",A174,FIND("_",A174,FIND("_",A174)+1)+1)-FIND("_",A174,FIND("_",A174)+1)-2)),"000"),AHUB!$A$2:$A$16,0)),"No match")</f>
        <v/>
      </c>
    </row>
    <row r="175">
      <c r="A175" s="2" t="inlineStr">
        <is>
          <t>VAV_2F_S14_020</t>
        </is>
      </c>
      <c r="B175" s="2" t="inlineStr">
        <is>
          <t>entity:QNL_L1_096_REF_LIBRARIAN_11</t>
        </is>
      </c>
      <c r="C175" s="2">
        <f>IFERROR(INDEX(AHUB!$A$2:$A$16,MATCH("AHUB"&amp;TEXT(VALUE(MID(A175,FIND("_",A175,FIND("_",A175)+1)+2,FIND("_",A175,FIND("_",A175,FIND("_",A175)+1)+1)-FIND("_",A175,FIND("_",A175)+1)-2)),"000"),AHUB!$A$2:$A$16,0)),"No match")</f>
        <v/>
      </c>
    </row>
    <row r="176">
      <c r="A176" s="2" t="inlineStr">
        <is>
          <t>VAV_2F_S14_021</t>
        </is>
      </c>
      <c r="B176" s="2" t="inlineStr">
        <is>
          <t>entity:QNL_L1_097_REF_LIBRARIAN_12</t>
        </is>
      </c>
      <c r="C176" s="2">
        <f>IFERROR(INDEX(AHUB!$A$2:$A$16,MATCH("AHUB"&amp;TEXT(VALUE(MID(A176,FIND("_",A176,FIND("_",A176)+1)+2,FIND("_",A176,FIND("_",A176,FIND("_",A176)+1)+1)-FIND("_",A176,FIND("_",A176)+1)-2)),"000"),AHUB!$A$2:$A$16,0)),"No match")</f>
        <v/>
      </c>
    </row>
    <row r="177">
      <c r="A177" s="2" t="inlineStr">
        <is>
          <t>VAV_1F_S15_038</t>
        </is>
      </c>
      <c r="B177" s="2" t="inlineStr">
        <is>
          <t>entity:QNL_L1_105_ABLUTIONMEN</t>
        </is>
      </c>
      <c r="C177" s="2">
        <f>IFERROR(INDEX(AHUB!$A$2:$A$16,MATCH("AHUB"&amp;TEXT(VALUE(MID(A177,FIND("_",A177,FIND("_",A177)+1)+2,FIND("_",A177,FIND("_",A177,FIND("_",A177)+1)+1)-FIND("_",A177,FIND("_",A177)+1)-2)),"000"),AHUB!$A$2:$A$16,0)),"No match")</f>
        <v/>
      </c>
    </row>
    <row r="178">
      <c r="A178" s="2" t="inlineStr">
        <is>
          <t>VAV_1F_S15_025</t>
        </is>
      </c>
      <c r="B178" s="2" t="inlineStr">
        <is>
          <t>entity:QNL_L1_106_ABLUTIONWOMEN</t>
        </is>
      </c>
      <c r="C178" s="2">
        <f>IFERROR(INDEX(AHUB!$A$2:$A$16,MATCH("AHUB"&amp;TEXT(VALUE(MID(A178,FIND("_",A178,FIND("_",A178)+1)+2,FIND("_",A178,FIND("_",A178,FIND("_",A178)+1)+1)-FIND("_",A178,FIND("_",A178)+1)-2)),"000"),AHUB!$A$2:$A$16,0)),"No match")</f>
        <v/>
      </c>
    </row>
    <row r="179">
      <c r="A179" s="2" t="inlineStr">
        <is>
          <t>VAV_2F_S12_021</t>
        </is>
      </c>
      <c r="B179" s="2" t="inlineStr">
        <is>
          <t>entity:QNL_L2_010_BREAKOUT_SPACE</t>
        </is>
      </c>
      <c r="C179" s="2">
        <f>IFERROR(INDEX(AHUB!$A$2:$A$16,MATCH("AHUB"&amp;TEXT(VALUE(MID(A179,FIND("_",A179,FIND("_",A179)+1)+2,FIND("_",A179,FIND("_",A179,FIND("_",A179)+1)+1)-FIND("_",A179,FIND("_",A179)+1)-2)),"000"),AHUB!$A$2:$A$16,0)),"No match")</f>
        <v/>
      </c>
    </row>
    <row r="180">
      <c r="A180" s="2" t="inlineStr">
        <is>
          <t>VAV_2F_S12_022</t>
        </is>
      </c>
      <c r="B180" s="2" t="inlineStr">
        <is>
          <t>entity:QNL_L2_011_CTRCULATION_OFFICE</t>
        </is>
      </c>
      <c r="C180" s="2">
        <f>IFERROR(INDEX(AHUB!$A$2:$A$16,MATCH("AHUB"&amp;TEXT(VALUE(MID(A180,FIND("_",A180,FIND("_",A180)+1)+2,FIND("_",A180,FIND("_",A180,FIND("_",A180)+1)+1)-FIND("_",A180,FIND("_",A180)+1)-2)),"000"),AHUB!$A$2:$A$16,0)),"No match")</f>
        <v/>
      </c>
    </row>
    <row r="181">
      <c r="A181" s="2" t="inlineStr">
        <is>
          <t>VAV_2F_S12_023</t>
        </is>
      </c>
      <c r="B181" s="2" t="inlineStr">
        <is>
          <t>entity:QNL_L2_012_OFFICE_SPEC_COL</t>
        </is>
      </c>
      <c r="C181" s="2">
        <f>IFERROR(INDEX(AHUB!$A$2:$A$16,MATCH("AHUB"&amp;TEXT(VALUE(MID(A181,FIND("_",A181,FIND("_",A181)+1)+2,FIND("_",A181,FIND("_",A181,FIND("_",A181)+1)+1)-FIND("_",A181,FIND("_",A181)+1)-2)),"000"),AHUB!$A$2:$A$16,0)),"No match")</f>
        <v/>
      </c>
    </row>
    <row r="182">
      <c r="A182" s="2" t="inlineStr">
        <is>
          <t>VAV_2F_S12_024</t>
        </is>
      </c>
      <c r="B182" s="2" t="inlineStr">
        <is>
          <t>entity:QNL_L2_013_OFFICE_SPEC_COL</t>
        </is>
      </c>
      <c r="C182" s="2">
        <f>IFERROR(INDEX(AHUB!$A$2:$A$16,MATCH("AHUB"&amp;TEXT(VALUE(MID(A182,FIND("_",A182,FIND("_",A182)+1)+2,FIND("_",A182,FIND("_",A182,FIND("_",A182)+1)+1)-FIND("_",A182,FIND("_",A182)+1)-2)),"000"),AHUB!$A$2:$A$16,0)),"No match")</f>
        <v/>
      </c>
    </row>
    <row r="183">
      <c r="A183" s="2" t="inlineStr">
        <is>
          <t>VAV_2F_S12_026</t>
        </is>
      </c>
      <c r="B183" s="2" t="inlineStr">
        <is>
          <t>entity:QNL_L2_015_40_GROUP_STUDY_ROOM_5</t>
        </is>
      </c>
      <c r="C183" s="2">
        <f>IFERROR(INDEX(AHUB!$A$2:$A$16,MATCH("AHUB"&amp;TEXT(VALUE(MID(A183,FIND("_",A183,FIND("_",A183)+1)+2,FIND("_",A183,FIND("_",A183,FIND("_",A183)+1)+1)-FIND("_",A183,FIND("_",A183)+1)-2)),"000"),AHUB!$A$2:$A$16,0)),"No match")</f>
        <v/>
      </c>
    </row>
    <row r="184">
      <c r="A184" s="2" t="inlineStr">
        <is>
          <t>VAV_2F_S12_029</t>
        </is>
      </c>
      <c r="B184" s="2" t="inlineStr">
        <is>
          <t>entity:QNL_L2_016_40_GROUP_STUDY_ROOM_6</t>
        </is>
      </c>
      <c r="C184" s="2">
        <f>IFERROR(INDEX(AHUB!$A$2:$A$16,MATCH("AHUB"&amp;TEXT(VALUE(MID(A184,FIND("_",A184,FIND("_",A184)+1)+2,FIND("_",A184,FIND("_",A184,FIND("_",A184)+1)+1)-FIND("_",A184,FIND("_",A184)+1)-2)),"000"),AHUB!$A$2:$A$16,0)),"No match")</f>
        <v/>
      </c>
    </row>
    <row r="185">
      <c r="A185" s="2" t="inlineStr">
        <is>
          <t>VAV_2F_S12_027</t>
        </is>
      </c>
      <c r="B185" s="2" t="inlineStr">
        <is>
          <t>entity:QNL_L2_017_40_GROUP_STUDY_ROOM_7</t>
        </is>
      </c>
      <c r="C185" s="2">
        <f>IFERROR(INDEX(AHUB!$A$2:$A$16,MATCH("AHUB"&amp;TEXT(VALUE(MID(A185,FIND("_",A185,FIND("_",A185)+1)+2,FIND("_",A185,FIND("_",A185,FIND("_",A185)+1)+1)-FIND("_",A185,FIND("_",A185)+1)-2)),"000"),AHUB!$A$2:$A$16,0)),"No match")</f>
        <v/>
      </c>
    </row>
    <row r="186">
      <c r="A186" s="2" t="inlineStr">
        <is>
          <t>VAV_2F_S12_028</t>
        </is>
      </c>
      <c r="B186" s="2" t="inlineStr">
        <is>
          <t>entity:QNL_L2_018_GROUP_STUDY_ROOM_8</t>
        </is>
      </c>
      <c r="C186" s="2">
        <f>IFERROR(INDEX(AHUB!$A$2:$A$16,MATCH("AHUB"&amp;TEXT(VALUE(MID(A186,FIND("_",A186,FIND("_",A186)+1)+2,FIND("_",A186,FIND("_",A186,FIND("_",A186)+1)+1)-FIND("_",A186,FIND("_",A186)+1)-2)),"000"),AHUB!$A$2:$A$16,0)),"No match")</f>
        <v/>
      </c>
    </row>
    <row r="187">
      <c r="A187" s="2" t="inlineStr">
        <is>
          <t>VAV_2F_S12_097</t>
        </is>
      </c>
      <c r="B187" s="2" t="inlineStr">
        <is>
          <t>entity:QNL_L2_018_GROUP_STUDY_ROOM_8</t>
        </is>
      </c>
      <c r="C187" s="2">
        <f>IFERROR(INDEX(AHUB!$A$2:$A$16,MATCH("AHUB"&amp;TEXT(VALUE(MID(A187,FIND("_",A187,FIND("_",A187)+1)+2,FIND("_",A187,FIND("_",A187,FIND("_",A187)+1)+1)-FIND("_",A187,FIND("_",A187)+1)-2)),"000"),AHUB!$A$2:$A$16,0)),"No match")</f>
        <v/>
      </c>
    </row>
    <row r="188">
      <c r="A188" s="2" t="inlineStr">
        <is>
          <t>VAV_2F_S13_005</t>
        </is>
      </c>
      <c r="B188" s="2" t="inlineStr">
        <is>
          <t>entity:QNL_L2_022_ACADEMIC_PERS_LIBRARIA</t>
        </is>
      </c>
      <c r="C188" s="2">
        <f>IFERROR(INDEX(AHUB!$A$2:$A$16,MATCH("AHUB"&amp;TEXT(VALUE(MID(A188,FIND("_",A188,FIND("_",A188)+1)+2,FIND("_",A188,FIND("_",A188,FIND("_",A188)+1)+1)-FIND("_",A188,FIND("_",A188)+1)-2)),"000"),AHUB!$A$2:$A$16,0)),"No match")</f>
        <v/>
      </c>
    </row>
    <row r="189">
      <c r="A189" s="2" t="inlineStr">
        <is>
          <t>VAV_2F_S13_006</t>
        </is>
      </c>
      <c r="B189" s="2" t="inlineStr">
        <is>
          <t>entity:QNL_L2_022_ACADEMIC_PERS_LIBRARIA</t>
        </is>
      </c>
      <c r="C189" s="2">
        <f>IFERROR(INDEX(AHUB!$A$2:$A$16,MATCH("AHUB"&amp;TEXT(VALUE(MID(A189,FIND("_",A189,FIND("_",A189)+1)+2,FIND("_",A189,FIND("_",A189,FIND("_",A189)+1)+1)-FIND("_",A189,FIND("_",A189)+1)-2)),"000"),AHUB!$A$2:$A$16,0)),"No match")</f>
        <v/>
      </c>
    </row>
    <row r="190">
      <c r="A190" s="2" t="inlineStr">
        <is>
          <t>VAV_2F_S13_007</t>
        </is>
      </c>
      <c r="B190" s="2" t="inlineStr">
        <is>
          <t>entity:QNL_L2_023_AD_ADMIN_&amp;_PLANNING</t>
        </is>
      </c>
      <c r="C190" s="2">
        <f>IFERROR(INDEX(AHUB!$A$2:$A$16,MATCH("AHUB"&amp;TEXT(VALUE(MID(A190,FIND("_",A190,FIND("_",A190)+1)+2,FIND("_",A190,FIND("_",A190,FIND("_",A190)+1)+1)-FIND("_",A190,FIND("_",A190)+1)-2)),"000"),AHUB!$A$2:$A$16,0)),"No match")</f>
        <v/>
      </c>
    </row>
    <row r="191">
      <c r="A191" s="2" t="inlineStr">
        <is>
          <t>VAV_2F_S13_008</t>
        </is>
      </c>
      <c r="B191" s="2" t="inlineStr">
        <is>
          <t>entity:QNL_L2_024_OFFICE_COORD</t>
        </is>
      </c>
      <c r="C191" s="2">
        <f>IFERROR(INDEX(AHUB!$A$2:$A$16,MATCH("AHUB"&amp;TEXT(VALUE(MID(A191,FIND("_",A191,FIND("_",A191)+1)+2,FIND("_",A191,FIND("_",A191,FIND("_",A191)+1)+1)-FIND("_",A191,FIND("_",A191)+1)-2)),"000"),AHUB!$A$2:$A$16,0)),"No match")</f>
        <v/>
      </c>
    </row>
    <row r="192">
      <c r="A192" s="2" t="inlineStr">
        <is>
          <t>VAV_2F_S13_004</t>
        </is>
      </c>
      <c r="B192" s="2" t="inlineStr">
        <is>
          <t>entity:QNL_L2_025_OPEN_OFFICE</t>
        </is>
      </c>
      <c r="C192" s="2">
        <f>IFERROR(INDEX(AHUB!$A$2:$A$16,MATCH("AHUB"&amp;TEXT(VALUE(MID(A192,FIND("_",A192,FIND("_",A192)+1)+2,FIND("_",A192,FIND("_",A192,FIND("_",A192)+1)+1)-FIND("_",A192,FIND("_",A192)+1)-2)),"000"),AHUB!$A$2:$A$16,0)),"No match")</f>
        <v/>
      </c>
    </row>
    <row r="193">
      <c r="A193" s="2" t="inlineStr">
        <is>
          <t>VAV_2F_S13_009</t>
        </is>
      </c>
      <c r="B193" s="2" t="inlineStr">
        <is>
          <t>entity:QNL_L2_025_OPEN_OFFICE</t>
        </is>
      </c>
      <c r="C193" s="2">
        <f>IFERROR(INDEX(AHUB!$A$2:$A$16,MATCH("AHUB"&amp;TEXT(VALUE(MID(A193,FIND("_",A193,FIND("_",A193)+1)+2,FIND("_",A193,FIND("_",A193,FIND("_",A193)+1)+1)-FIND("_",A193,FIND("_",A193)+1)-2)),"000"),AHUB!$A$2:$A$16,0)),"No match")</f>
        <v/>
      </c>
    </row>
    <row r="194">
      <c r="A194" s="2" t="inlineStr">
        <is>
          <t>VAV_2F_S13_003</t>
        </is>
      </c>
      <c r="B194" s="2" t="inlineStr">
        <is>
          <t>entity:QNL_L2_043_SERVICE_&amp;_LOUNGE</t>
        </is>
      </c>
      <c r="C194" s="2">
        <f>IFERROR(INDEX(AHUB!$A$2:$A$16,MATCH("AHUB"&amp;TEXT(VALUE(MID(A194,FIND("_",A194,FIND("_",A194)+1)+2,FIND("_",A194,FIND("_",A194,FIND("_",A194)+1)+1)-FIND("_",A194,FIND("_",A194)+1)-2)),"000"),AHUB!$A$2:$A$16,0)),"No match")</f>
        <v/>
      </c>
    </row>
    <row r="195">
      <c r="A195" s="2" t="inlineStr">
        <is>
          <t>VAV_2F_S13_001</t>
        </is>
      </c>
      <c r="B195" s="2" t="inlineStr">
        <is>
          <t>entity:QNL_L2_044_LIBDIRECTORS_ROOM</t>
        </is>
      </c>
      <c r="C195" s="2">
        <f>IFERROR(INDEX(AHUB!$A$2:$A$16,MATCH("AHUB"&amp;TEXT(VALUE(MID(A195,FIND("_",A195,FIND("_",A195)+1)+2,FIND("_",A195,FIND("_",A195,FIND("_",A195)+1)+1)-FIND("_",A195,FIND("_",A195)+1)-2)),"000"),AHUB!$A$2:$A$16,0)),"No match")</f>
        <v/>
      </c>
    </row>
    <row r="196">
      <c r="A196" s="2" t="inlineStr">
        <is>
          <t>VAV_2F_S13_002</t>
        </is>
      </c>
      <c r="B196" s="2" t="inlineStr">
        <is>
          <t>entity:QNL_L2_044_LIBDIRECTORS_ROOM</t>
        </is>
      </c>
      <c r="C196" s="2">
        <f>IFERROR(INDEX(AHUB!$A$2:$A$16,MATCH("AHUB"&amp;TEXT(VALUE(MID(A196,FIND("_",A196,FIND("_",A196)+1)+2,FIND("_",A196,FIND("_",A196,FIND("_",A196)+1)+1)-FIND("_",A196,FIND("_",A196)+1)-2)),"000"),AHUB!$A$2:$A$16,0)),"No match")</f>
        <v/>
      </c>
    </row>
    <row r="197">
      <c r="A197" s="2" t="inlineStr">
        <is>
          <t>VAV_2F_S15_005</t>
        </is>
      </c>
      <c r="B197" s="2" t="inlineStr">
        <is>
          <t>entity:QNL_L2_046_VIP_MEETING</t>
        </is>
      </c>
      <c r="C197" s="2">
        <f>IFERROR(INDEX(AHUB!$A$2:$A$16,MATCH("AHUB"&amp;TEXT(VALUE(MID(A197,FIND("_",A197,FIND("_",A197)+1)+2,FIND("_",A197,FIND("_",A197,FIND("_",A197)+1)+1)-FIND("_",A197,FIND("_",A197)+1)-2)),"000"),AHUB!$A$2:$A$16,0)),"No match")</f>
        <v/>
      </c>
    </row>
    <row r="198">
      <c r="A198" s="2" t="inlineStr">
        <is>
          <t>VAV_2F_S13_016</t>
        </is>
      </c>
      <c r="B198" s="2" t="inlineStr">
        <is>
          <t>entity:QNL_L2_048_VIP_WATING</t>
        </is>
      </c>
      <c r="C198" s="2">
        <f>IFERROR(INDEX(AHUB!$A$2:$A$16,MATCH("AHUB"&amp;TEXT(VALUE(MID(A198,FIND("_",A198,FIND("_",A198)+1)+2,FIND("_",A198,FIND("_",A198,FIND("_",A198)+1)+1)-FIND("_",A198,FIND("_",A198)+1)-2)),"000"),AHUB!$A$2:$A$16,0)),"No match")</f>
        <v/>
      </c>
    </row>
    <row r="199">
      <c r="A199" s="2" t="inlineStr">
        <is>
          <t>VAV_2F_S15_001</t>
        </is>
      </c>
      <c r="B199" s="2" t="inlineStr">
        <is>
          <t>entity:QNL_L2_051_VIP_ROOM</t>
        </is>
      </c>
      <c r="C199" s="2">
        <f>IFERROR(INDEX(AHUB!$A$2:$A$16,MATCH("AHUB"&amp;TEXT(VALUE(MID(A199,FIND("_",A199,FIND("_",A199)+1)+2,FIND("_",A199,FIND("_",A199,FIND("_",A199)+1)+1)-FIND("_",A199,FIND("_",A199)+1)-2)),"000"),AHUB!$A$2:$A$16,0)),"No match")</f>
        <v/>
      </c>
    </row>
    <row r="200">
      <c r="A200" s="2" t="inlineStr">
        <is>
          <t>VAV_2F_S15_002</t>
        </is>
      </c>
      <c r="B200" s="2" t="inlineStr">
        <is>
          <t>entity:QNL_L2_051_VIP_ROOM</t>
        </is>
      </c>
      <c r="C200" s="2">
        <f>IFERROR(INDEX(AHUB!$A$2:$A$16,MATCH("AHUB"&amp;TEXT(VALUE(MID(A200,FIND("_",A200,FIND("_",A200)+1)+2,FIND("_",A200,FIND("_",A200,FIND("_",A200)+1)+1)-FIND("_",A200,FIND("_",A200)+1)-2)),"000"),AHUB!$A$2:$A$16,0)),"No match")</f>
        <v/>
      </c>
    </row>
    <row r="201">
      <c r="A201" s="2" t="inlineStr">
        <is>
          <t>VAV_2F_S15_003</t>
        </is>
      </c>
      <c r="B201" s="2" t="inlineStr">
        <is>
          <t>entity:QNL_L2_051_VIP_ROOM</t>
        </is>
      </c>
      <c r="C201" s="2">
        <f>IFERROR(INDEX(AHUB!$A$2:$A$16,MATCH("AHUB"&amp;TEXT(VALUE(MID(A201,FIND("_",A201,FIND("_",A201)+1)+2,FIND("_",A201,FIND("_",A201,FIND("_",A201)+1)+1)-FIND("_",A201,FIND("_",A201)+1)-2)),"000"),AHUB!$A$2:$A$16,0)),"No match")</f>
        <v/>
      </c>
    </row>
    <row r="202">
      <c r="A202" s="2" t="inlineStr">
        <is>
          <t>VAV_2F_S15_004</t>
        </is>
      </c>
      <c r="B202" s="2" t="inlineStr">
        <is>
          <t>entity:QNL_L2_051_VIP_ROOM</t>
        </is>
      </c>
      <c r="C202" s="2">
        <f>IFERROR(INDEX(AHUB!$A$2:$A$16,MATCH("AHUB"&amp;TEXT(VALUE(MID(A202,FIND("_",A202,FIND("_",A202)+1)+2,FIND("_",A202,FIND("_",A202,FIND("_",A202)+1)+1)-FIND("_",A202,FIND("_",A202)+1)-2)),"000"),AHUB!$A$2:$A$16,0)),"No match")</f>
        <v/>
      </c>
    </row>
    <row r="203">
      <c r="A203" s="2" t="inlineStr">
        <is>
          <t>VAV_B_S13_008</t>
        </is>
      </c>
      <c r="B203" s="2" t="inlineStr">
        <is>
          <t>entity:QNL_B_105_SECURITY_CONTOL_ROOM</t>
        </is>
      </c>
      <c r="C203" s="2">
        <f>IFERROR(INDEX(AHUB!$A$2:$A$16,MATCH("AHUB"&amp;TEXT(VALUE(MID(A203,FIND("_",A203,FIND("_",A203)+1)+2,FIND("_",A203,FIND("_",A203,FIND("_",A203)+1)+1)-FIND("_",A203,FIND("_",A203)+1)-2)),"000"),AHUB!$A$2:$A$16,0)),"No match")</f>
        <v/>
      </c>
    </row>
    <row r="204">
      <c r="A204" s="2" t="inlineStr">
        <is>
          <t>VAV_1F_S15_021</t>
        </is>
      </c>
      <c r="B204" s="2" t="inlineStr">
        <is>
          <t>entity:QNL_L1_104_PRAYER_ROOM_FEMALE</t>
        </is>
      </c>
      <c r="C204" s="2">
        <f>IFERROR(INDEX(AHUB!$A$2:$A$16,MATCH("AHUB"&amp;TEXT(VALUE(MID(A204,FIND("_",A204,FIND("_",A204)+1)+2,FIND("_",A204,FIND("_",A204,FIND("_",A204)+1)+1)-FIND("_",A204,FIND("_",A204)+1)-2)),"000"),AHUB!$A$2:$A$16,0)),"No match")</f>
        <v/>
      </c>
    </row>
    <row r="205">
      <c r="A205" s="2" t="inlineStr">
        <is>
          <t>VAV_1F_S15_022</t>
        </is>
      </c>
      <c r="B205" s="2" t="inlineStr">
        <is>
          <t>entity:QNL_L1_104_PRAYER_ROOM_FEMALE</t>
        </is>
      </c>
      <c r="C205" s="2">
        <f>IFERROR(INDEX(AHUB!$A$2:$A$16,MATCH("AHUB"&amp;TEXT(VALUE(MID(A205,FIND("_",A205,FIND("_",A205)+1)+2,FIND("_",A205,FIND("_",A205,FIND("_",A205)+1)+1)-FIND("_",A205,FIND("_",A205)+1)-2)),"000"),AHUB!$A$2:$A$16,0)),"No match")</f>
        <v/>
      </c>
    </row>
    <row r="206">
      <c r="A206" s="2" t="inlineStr">
        <is>
          <t>VAV_1F_S15_023</t>
        </is>
      </c>
      <c r="B206" s="2" t="inlineStr">
        <is>
          <t>entity:QNL_L1_104_PRAYER_ROOM_FEMALE</t>
        </is>
      </c>
      <c r="C206" s="2">
        <f>IFERROR(INDEX(AHUB!$A$2:$A$16,MATCH("AHUB"&amp;TEXT(VALUE(MID(A206,FIND("_",A206,FIND("_",A206)+1)+2,FIND("_",A206,FIND("_",A206,FIND("_",A206)+1)+1)-FIND("_",A206,FIND("_",A206)+1)-2)),"000"),AHUB!$A$2:$A$16,0)),"No match")</f>
        <v/>
      </c>
    </row>
    <row r="207">
      <c r="A207" s="2" t="inlineStr">
        <is>
          <t>VAV_1F_S15_024</t>
        </is>
      </c>
      <c r="B207" s="2" t="inlineStr">
        <is>
          <t>entity:QNL_L1_104_PRAYER_ROOM_FEMALE</t>
        </is>
      </c>
      <c r="C207" s="2">
        <f>IFERROR(INDEX(AHUB!$A$2:$A$16,MATCH("AHUB"&amp;TEXT(VALUE(MID(A207,FIND("_",A207,FIND("_",A207)+1)+2,FIND("_",A207,FIND("_",A207,FIND("_",A207)+1)+1)-FIND("_",A207,FIND("_",A207)+1)-2)),"000"),AHUB!$A$2:$A$16,0)),"No match")</f>
        <v/>
      </c>
    </row>
    <row r="208">
      <c r="A208" s="2" t="inlineStr">
        <is>
          <t>VAV_B_S11_001</t>
        </is>
      </c>
      <c r="B208" s="2" t="inlineStr">
        <is>
          <t>entity:QNL_B_001A_BREAK_OUT_AREA</t>
        </is>
      </c>
      <c r="C208" s="2">
        <f>IFERROR(INDEX(AHUB!$A$2:$A$16,MATCH("AHUB"&amp;TEXT(VALUE(MID(A208,FIND("_",A208,FIND("_",A208)+1)+2,FIND("_",A208,FIND("_",A208,FIND("_",A208)+1)+1)-FIND("_",A208,FIND("_",A208)+1)-2)),"000"),AHUB!$A$2:$A$16,0)),"No match")</f>
        <v/>
      </c>
    </row>
    <row r="209">
      <c r="A209" s="2" t="inlineStr">
        <is>
          <t>VAV_B_S11_002</t>
        </is>
      </c>
      <c r="B209" s="2" t="inlineStr">
        <is>
          <t>entity:QNL_B_001A_BREAK_OUT_AREA</t>
        </is>
      </c>
      <c r="C209" s="2">
        <f>IFERROR(INDEX(AHUB!$A$2:$A$16,MATCH("AHUB"&amp;TEXT(VALUE(MID(A209,FIND("_",A209,FIND("_",A209)+1)+2,FIND("_",A209,FIND("_",A209,FIND("_",A209)+1)+1)-FIND("_",A209,FIND("_",A209)+1)-2)),"000"),AHUB!$A$2:$A$16,0)),"No match")</f>
        <v/>
      </c>
    </row>
    <row r="210">
      <c r="A210" s="2" t="inlineStr">
        <is>
          <t>VAV_B_S11_011</t>
        </is>
      </c>
      <c r="B210" s="2" t="inlineStr">
        <is>
          <t>entity:QNL_B_001A_BREAK_OUT_AREA</t>
        </is>
      </c>
      <c r="C210" s="2">
        <f>IFERROR(INDEX(AHUB!$A$2:$A$16,MATCH("AHUB"&amp;TEXT(VALUE(MID(A210,FIND("_",A210,FIND("_",A210)+1)+2,FIND("_",A210,FIND("_",A210,FIND("_",A210)+1)+1)-FIND("_",A210,FIND("_",A210)+1)-2)),"000"),AHUB!$A$2:$A$16,0)),"No match")</f>
        <v/>
      </c>
    </row>
    <row r="211">
      <c r="A211" s="2" t="inlineStr">
        <is>
          <t>VAV_B_S11_012</t>
        </is>
      </c>
      <c r="B211" s="2" t="inlineStr">
        <is>
          <t>entity:QNL_B_001A_BREAK_OUT_AREA</t>
        </is>
      </c>
      <c r="C211" s="2">
        <f>IFERROR(INDEX(AHUB!$A$2:$A$16,MATCH("AHUB"&amp;TEXT(VALUE(MID(A211,FIND("_",A211,FIND("_",A211)+1)+2,FIND("_",A211,FIND("_",A211,FIND("_",A211)+1)+1)-FIND("_",A211,FIND("_",A211)+1)-2)),"000"),AHUB!$A$2:$A$16,0)),"No match")</f>
        <v/>
      </c>
    </row>
    <row r="212">
      <c r="A212" s="2" t="inlineStr">
        <is>
          <t>VAV_B_S11_003</t>
        </is>
      </c>
      <c r="B212" s="2" t="inlineStr">
        <is>
          <t>entity:QNL_B_001_TECH_SERVICES_AND_COLLECTIONS_OFFICE</t>
        </is>
      </c>
      <c r="C212" s="2">
        <f>IFERROR(INDEX(AHUB!$A$2:$A$16,MATCH("AHUB"&amp;TEXT(VALUE(MID(A212,FIND("_",A212,FIND("_",A212)+1)+2,FIND("_",A212,FIND("_",A212,FIND("_",A212)+1)+1)-FIND("_",A212,FIND("_",A212)+1)-2)),"000"),AHUB!$A$2:$A$16,0)),"No match")</f>
        <v/>
      </c>
    </row>
    <row r="213">
      <c r="A213" s="2" t="inlineStr">
        <is>
          <t>VAV_B_S11_004</t>
        </is>
      </c>
      <c r="B213" s="2" t="inlineStr">
        <is>
          <t>entity:QNL_B_001_TECH_SERVICES_AND_COLLECTIONS_OFFICE</t>
        </is>
      </c>
      <c r="C213" s="2">
        <f>IFERROR(INDEX(AHUB!$A$2:$A$16,MATCH("AHUB"&amp;TEXT(VALUE(MID(A213,FIND("_",A213,FIND("_",A213)+1)+2,FIND("_",A213,FIND("_",A213,FIND("_",A213)+1)+1)-FIND("_",A213,FIND("_",A213)+1)-2)),"000"),AHUB!$A$2:$A$16,0)),"No match")</f>
        <v/>
      </c>
    </row>
    <row r="214">
      <c r="A214" s="2" t="inlineStr">
        <is>
          <t>VAV_B_S11_005</t>
        </is>
      </c>
      <c r="B214" s="2" t="inlineStr">
        <is>
          <t>entity:QNL_B_001_TECH_SERVICES_AND_COLLECTIONS_OFFICE</t>
        </is>
      </c>
      <c r="C214" s="2">
        <f>IFERROR(INDEX(AHUB!$A$2:$A$16,MATCH("AHUB"&amp;TEXT(VALUE(MID(A214,FIND("_",A214,FIND("_",A214)+1)+2,FIND("_",A214,FIND("_",A214,FIND("_",A214)+1)+1)-FIND("_",A214,FIND("_",A214)+1)-2)),"000"),AHUB!$A$2:$A$16,0)),"No match")</f>
        <v/>
      </c>
    </row>
    <row r="215">
      <c r="A215" s="2" t="inlineStr">
        <is>
          <t>VAV_B_S11_006</t>
        </is>
      </c>
      <c r="B215" s="2" t="inlineStr">
        <is>
          <t>entity:QNL_B_001_TECH_SERVICES_AND_COLLECTIONS_OFFICE</t>
        </is>
      </c>
      <c r="C215" s="2">
        <f>IFERROR(INDEX(AHUB!$A$2:$A$16,MATCH("AHUB"&amp;TEXT(VALUE(MID(A215,FIND("_",A215,FIND("_",A215)+1)+2,FIND("_",A215,FIND("_",A215,FIND("_",A215)+1)+1)-FIND("_",A215,FIND("_",A215)+1)-2)),"000"),AHUB!$A$2:$A$16,0)),"No match")</f>
        <v/>
      </c>
    </row>
    <row r="216">
      <c r="A216" s="2" t="inlineStr">
        <is>
          <t>VAV_B_S11_007</t>
        </is>
      </c>
      <c r="B216" s="2" t="inlineStr">
        <is>
          <t>entity:QNL_B_001_TECH_SERVICES_AND_COLLECTIONS_OFFICE</t>
        </is>
      </c>
      <c r="C216" s="2">
        <f>IFERROR(INDEX(AHUB!$A$2:$A$16,MATCH("AHUB"&amp;TEXT(VALUE(MID(A216,FIND("_",A216,FIND("_",A216)+1)+2,FIND("_",A216,FIND("_",A216,FIND("_",A216)+1)+1)-FIND("_",A216,FIND("_",A216)+1)-2)),"000"),AHUB!$A$2:$A$16,0)),"No match")</f>
        <v/>
      </c>
    </row>
    <row r="217">
      <c r="A217" s="2" t="inlineStr">
        <is>
          <t>VAV_B_S11_008</t>
        </is>
      </c>
      <c r="B217" s="2" t="inlineStr">
        <is>
          <t>entity:QNL_B_001_TECH_SERVICES_AND_COLLECTIONS_OFFICE</t>
        </is>
      </c>
      <c r="C217" s="2">
        <f>IFERROR(INDEX(AHUB!$A$2:$A$16,MATCH("AHUB"&amp;TEXT(VALUE(MID(A217,FIND("_",A217,FIND("_",A217)+1)+2,FIND("_",A217,FIND("_",A217,FIND("_",A217)+1)+1)-FIND("_",A217,FIND("_",A217)+1)-2)),"000"),AHUB!$A$2:$A$16,0)),"No match")</f>
        <v/>
      </c>
    </row>
    <row r="218">
      <c r="A218" s="2" t="inlineStr">
        <is>
          <t>VAV_B_S11_009</t>
        </is>
      </c>
      <c r="B218" s="2" t="inlineStr">
        <is>
          <t>entity:QNL_B_001_TECH_SERVICES_AND_COLLECTIONS_OFFICE</t>
        </is>
      </c>
      <c r="C218" s="2">
        <f>IFERROR(INDEX(AHUB!$A$2:$A$16,MATCH("AHUB"&amp;TEXT(VALUE(MID(A218,FIND("_",A218,FIND("_",A218)+1)+2,FIND("_",A218,FIND("_",A218,FIND("_",A218)+1)+1)-FIND("_",A218,FIND("_",A218)+1)-2)),"000"),AHUB!$A$2:$A$16,0)),"No match")</f>
        <v/>
      </c>
    </row>
    <row r="219">
      <c r="A219" s="2" t="inlineStr">
        <is>
          <t>VAV_B_S11_010</t>
        </is>
      </c>
      <c r="B219" s="2" t="inlineStr">
        <is>
          <t>entity:QNL_B_001_TECH_SERVICES_AND_COLLECTIONS_OFFICE</t>
        </is>
      </c>
      <c r="C219" s="2">
        <f>IFERROR(INDEX(AHUB!$A$2:$A$16,MATCH("AHUB"&amp;TEXT(VALUE(MID(A219,FIND("_",A219,FIND("_",A219)+1)+2,FIND("_",A219,FIND("_",A219,FIND("_",A219)+1)+1)-FIND("_",A219,FIND("_",A219)+1)-2)),"000"),AHUB!$A$2:$A$16,0)),"No match")</f>
        <v/>
      </c>
    </row>
    <row r="220">
      <c r="A220" s="2" t="inlineStr">
        <is>
          <t>VAV_B_S11_013</t>
        </is>
      </c>
      <c r="B220" s="2" t="inlineStr">
        <is>
          <t>entity:QNL_B_001_TECH_SERVICES_AND_COLLECTIONS_OFFICE</t>
        </is>
      </c>
      <c r="C220" s="2">
        <f>IFERROR(INDEX(AHUB!$A$2:$A$16,MATCH("AHUB"&amp;TEXT(VALUE(MID(A220,FIND("_",A220,FIND("_",A220)+1)+2,FIND("_",A220,FIND("_",A220,FIND("_",A220)+1)+1)-FIND("_",A220,FIND("_",A220)+1)-2)),"000"),AHUB!$A$2:$A$16,0)),"No match")</f>
        <v/>
      </c>
    </row>
    <row r="221">
      <c r="A221" s="2" t="inlineStr">
        <is>
          <t>VAV_B_S11_014</t>
        </is>
      </c>
      <c r="B221" s="2" t="inlineStr">
        <is>
          <t>entity:QNL_B_001_TECH_SERVICES_AND_COLLECTIONS_OFFICE</t>
        </is>
      </c>
      <c r="C221" s="2">
        <f>IFERROR(INDEX(AHUB!$A$2:$A$16,MATCH("AHUB"&amp;TEXT(VALUE(MID(A221,FIND("_",A221,FIND("_",A221)+1)+2,FIND("_",A221,FIND("_",A221,FIND("_",A221)+1)+1)-FIND("_",A221,FIND("_",A221)+1)-2)),"000"),AHUB!$A$2:$A$16,0)),"No match")</f>
        <v/>
      </c>
    </row>
    <row r="222">
      <c r="A222" s="2" t="inlineStr">
        <is>
          <t>VAV_B_S11_015</t>
        </is>
      </c>
      <c r="B222" s="2" t="inlineStr">
        <is>
          <t>entity:QNL_B_001_TECH_SERVICES_AND_COLLECTIONS_OFFICE</t>
        </is>
      </c>
      <c r="C222" s="2">
        <f>IFERROR(INDEX(AHUB!$A$2:$A$16,MATCH("AHUB"&amp;TEXT(VALUE(MID(A222,FIND("_",A222,FIND("_",A222)+1)+2,FIND("_",A222,FIND("_",A222,FIND("_",A222)+1)+1)-FIND("_",A222,FIND("_",A222)+1)-2)),"000"),AHUB!$A$2:$A$16,0)),"No match")</f>
        <v/>
      </c>
    </row>
    <row r="223">
      <c r="A223" s="2" t="inlineStr">
        <is>
          <t>VAV_B_S11_016</t>
        </is>
      </c>
      <c r="B223" s="2" t="inlineStr">
        <is>
          <t>entity:QNL_B_001_TECH_SERVICES_AND_COLLECTIONS_OFFICE</t>
        </is>
      </c>
      <c r="C223" s="2">
        <f>IFERROR(INDEX(AHUB!$A$2:$A$16,MATCH("AHUB"&amp;TEXT(VALUE(MID(A223,FIND("_",A223,FIND("_",A223)+1)+2,FIND("_",A223,FIND("_",A223,FIND("_",A223)+1)+1)-FIND("_",A223,FIND("_",A223)+1)-2)),"000"),AHUB!$A$2:$A$16,0)),"No match")</f>
        <v/>
      </c>
    </row>
    <row r="224">
      <c r="A224" s="2" t="inlineStr">
        <is>
          <t>VAV_B_S11_017</t>
        </is>
      </c>
      <c r="B224" s="2" t="inlineStr">
        <is>
          <t>entity:QNL_B_001_TECH_SERVICES_AND_COLLECTIONS_OFFICE</t>
        </is>
      </c>
      <c r="C224" s="2">
        <f>IFERROR(INDEX(AHUB!$A$2:$A$16,MATCH("AHUB"&amp;TEXT(VALUE(MID(A224,FIND("_",A224,FIND("_",A224)+1)+2,FIND("_",A224,FIND("_",A224,FIND("_",A224)+1)+1)-FIND("_",A224,FIND("_",A224)+1)-2)),"000"),AHUB!$A$2:$A$16,0)),"No match")</f>
        <v/>
      </c>
    </row>
    <row r="225">
      <c r="A225" s="2" t="inlineStr">
        <is>
          <t>VAV_B_S11_018</t>
        </is>
      </c>
      <c r="B225" s="2" t="inlineStr">
        <is>
          <t>entity:QNL_B_001_TECH_SERVICES_AND_COLLECTIONS_OFFICE</t>
        </is>
      </c>
      <c r="C225" s="2">
        <f>IFERROR(INDEX(AHUB!$A$2:$A$16,MATCH("AHUB"&amp;TEXT(VALUE(MID(A225,FIND("_",A225,FIND("_",A225)+1)+2,FIND("_",A225,FIND("_",A225,FIND("_",A225)+1)+1)-FIND("_",A225,FIND("_",A225)+1)-2)),"000"),AHUB!$A$2:$A$16,0)),"No match")</f>
        <v/>
      </c>
    </row>
    <row r="226">
      <c r="A226" s="2" t="inlineStr">
        <is>
          <t>VAV_B_S11_019</t>
        </is>
      </c>
      <c r="B226" s="2" t="inlineStr">
        <is>
          <t>entity:QNL_B_001_TECH_SERVICES_AND_COLLECTIONS_OFFICE</t>
        </is>
      </c>
      <c r="C226" s="2">
        <f>IFERROR(INDEX(AHUB!$A$2:$A$16,MATCH("AHUB"&amp;TEXT(VALUE(MID(A226,FIND("_",A226,FIND("_",A226)+1)+2,FIND("_",A226,FIND("_",A226,FIND("_",A226)+1)+1)-FIND("_",A226,FIND("_",A226)+1)-2)),"000"),AHUB!$A$2:$A$16,0)),"No match")</f>
        <v/>
      </c>
    </row>
    <row r="227">
      <c r="A227" s="2" t="inlineStr">
        <is>
          <t>VAV_B_S11_020</t>
        </is>
      </c>
      <c r="B227" s="2" t="inlineStr">
        <is>
          <t>entity:QNL_B_001_TECH_SERVICES_AND_COLLECTIONS_OFFICE</t>
        </is>
      </c>
      <c r="C227" s="2">
        <f>IFERROR(INDEX(AHUB!$A$2:$A$16,MATCH("AHUB"&amp;TEXT(VALUE(MID(A227,FIND("_",A227,FIND("_",A227)+1)+2,FIND("_",A227,FIND("_",A227,FIND("_",A227)+1)+1)-FIND("_",A227,FIND("_",A227)+1)-2)),"000"),AHUB!$A$2:$A$16,0)),"No match")</f>
        <v/>
      </c>
    </row>
    <row r="228">
      <c r="A228" s="2" t="inlineStr">
        <is>
          <t>VAV_B_S14_002</t>
        </is>
      </c>
      <c r="B228" s="2" t="inlineStr">
        <is>
          <t>entity:QNL_B_056_OFFICE_DIG_INIT</t>
        </is>
      </c>
      <c r="C228" s="2">
        <f>IFERROR(INDEX(AHUB!$A$2:$A$16,MATCH("AHUB"&amp;TEXT(VALUE(MID(A228,FIND("_",A228,FIND("_",A228)+1)+2,FIND("_",A228,FIND("_",A228,FIND("_",A228)+1)+1)-FIND("_",A228,FIND("_",A228)+1)-2)),"000"),AHUB!$A$2:$A$16,0)),"No match")</f>
        <v/>
      </c>
    </row>
    <row r="229">
      <c r="A229" s="2" t="inlineStr">
        <is>
          <t>VAV_B_S14_003</t>
        </is>
      </c>
      <c r="B229" s="2" t="inlineStr">
        <is>
          <t>entity:QNL_B_057_OFFICE_AD_FOR_LIT</t>
        </is>
      </c>
      <c r="C229" s="2">
        <f>IFERROR(INDEX(AHUB!$A$2:$A$16,MATCH("AHUB"&amp;TEXT(VALUE(MID(A229,FIND("_",A229,FIND("_",A229)+1)+2,FIND("_",A229,FIND("_",A229,FIND("_",A229)+1)+1)-FIND("_",A229,FIND("_",A229)+1)-2)),"000"),AHUB!$A$2:$A$16,0)),"No match")</f>
        <v/>
      </c>
    </row>
    <row r="230">
      <c r="A230" s="2" t="inlineStr">
        <is>
          <t>VAV_B_S14_008</t>
        </is>
      </c>
      <c r="B230" s="2" t="inlineStr">
        <is>
          <t>entity:QNL_B_59_SHELL_SPACE</t>
        </is>
      </c>
      <c r="C230" s="2">
        <f>IFERROR(INDEX(AHUB!$A$2:$A$16,MATCH("AHUB"&amp;TEXT(VALUE(MID(A230,FIND("_",A230,FIND("_",A230)+1)+2,FIND("_",A230,FIND("_",A230,FIND("_",A230)+1)+1)-FIND("_",A230,FIND("_",A230)+1)-2)),"000"),AHUB!$A$2:$A$16,0)),"No match")</f>
        <v/>
      </c>
    </row>
    <row r="231">
      <c r="A231" s="2" t="inlineStr">
        <is>
          <t>VAV_B_S14_014</t>
        </is>
      </c>
      <c r="B231" s="2" t="inlineStr">
        <is>
          <t>entity:QNL_B_59_SHELL_SPACE</t>
        </is>
      </c>
      <c r="C231" s="2">
        <f>IFERROR(INDEX(AHUB!$A$2:$A$16,MATCH("AHUB"&amp;TEXT(VALUE(MID(A231,FIND("_",A231,FIND("_",A231)+1)+2,FIND("_",A231,FIND("_",A231,FIND("_",A231)+1)+1)-FIND("_",A231,FIND("_",A231)+1)-2)),"000"),AHUB!$A$2:$A$16,0)),"No match")</f>
        <v/>
      </c>
    </row>
    <row r="232">
      <c r="A232" s="2" t="inlineStr">
        <is>
          <t>VAV_B_S14_040</t>
        </is>
      </c>
      <c r="B232" s="2" t="inlineStr">
        <is>
          <t>entity:QNL_B_044_BOH_KITCHEN</t>
        </is>
      </c>
      <c r="C232" s="2">
        <f>IFERROR(INDEX(AHUB!$A$2:$A$16,MATCH("AHUB"&amp;TEXT(VALUE(MID(A232,FIND("_",A232,FIND("_",A232)+1)+2,FIND("_",A232,FIND("_",A232,FIND("_",A232)+1)+1)-FIND("_",A232,FIND("_",A232)+1)-2)),"000"),AHUB!$A$2:$A$16,0)),"No match")</f>
        <v/>
      </c>
    </row>
    <row r="233">
      <c r="A233" s="2" t="inlineStr">
        <is>
          <t>VAV_B_S14_041</t>
        </is>
      </c>
      <c r="B233" s="2" t="inlineStr">
        <is>
          <t>entity:QNL_B_044_BOH_KITCHEN</t>
        </is>
      </c>
      <c r="C233" s="2">
        <f>IFERROR(INDEX(AHUB!$A$2:$A$16,MATCH("AHUB"&amp;TEXT(VALUE(MID(A233,FIND("_",A233,FIND("_",A233)+1)+2,FIND("_",A233,FIND("_",A233,FIND("_",A233)+1)+1)-FIND("_",A233,FIND("_",A233)+1)-2)),"000"),AHUB!$A$2:$A$16,0)),"No match")</f>
        <v/>
      </c>
    </row>
    <row r="234">
      <c r="A234" s="2" t="inlineStr">
        <is>
          <t>VAV_B_S14_047</t>
        </is>
      </c>
      <c r="B234" s="2" t="inlineStr">
        <is>
          <t>entity:QNL_B_044_BOH_KITCHEN</t>
        </is>
      </c>
      <c r="C234" s="2">
        <f>IFERROR(INDEX(AHUB!$A$2:$A$16,MATCH("AHUB"&amp;TEXT(VALUE(MID(A234,FIND("_",A234,FIND("_",A234)+1)+2,FIND("_",A234,FIND("_",A234,FIND("_",A234)+1)+1)-FIND("_",A234,FIND("_",A234)+1)-2)),"000"),AHUB!$A$2:$A$16,0)),"No match")</f>
        <v/>
      </c>
    </row>
    <row r="235">
      <c r="A235" s="2" t="inlineStr">
        <is>
          <t>VAV_2F_S10_001</t>
        </is>
      </c>
      <c r="B235" s="2" t="inlineStr">
        <is>
          <t>entity:QNL_L2_992_GULF_MATERIAL</t>
        </is>
      </c>
      <c r="C235" s="2">
        <f>IFERROR(INDEX(AHUB!$A$2:$A$16,MATCH("AHUB"&amp;TEXT(VALUE(MID(A235,FIND("_",A235,FIND("_",A235)+1)+2,FIND("_",A235,FIND("_",A235,FIND("_",A235)+1)+1)-FIND("_",A235,FIND("_",A235)+1)-2)),"000"),AHUB!$A$2:$A$16,0)),"No match")</f>
        <v/>
      </c>
    </row>
    <row r="236">
      <c r="A236" s="2" t="inlineStr">
        <is>
          <t>VAV_2F_S10_002</t>
        </is>
      </c>
      <c r="B236" s="2" t="inlineStr">
        <is>
          <t>entity:QNL_L2_992_GULF_MATERIAL</t>
        </is>
      </c>
      <c r="C236" s="2">
        <f>IFERROR(INDEX(AHUB!$A$2:$A$16,MATCH("AHUB"&amp;TEXT(VALUE(MID(A236,FIND("_",A236,FIND("_",A236)+1)+2,FIND("_",A236,FIND("_",A236,FIND("_",A236)+1)+1)-FIND("_",A236,FIND("_",A236)+1)-2)),"000"),AHUB!$A$2:$A$16,0)),"No match")</f>
        <v/>
      </c>
    </row>
    <row r="237">
      <c r="A237" s="2" t="inlineStr">
        <is>
          <t>VAV_2F_S10_003</t>
        </is>
      </c>
      <c r="B237" s="2" t="inlineStr">
        <is>
          <t>entity:QNL_L2_992_GULF_MATERIAL</t>
        </is>
      </c>
      <c r="C237" s="2">
        <f>IFERROR(INDEX(AHUB!$A$2:$A$16,MATCH("AHUB"&amp;TEXT(VALUE(MID(A237,FIND("_",A237,FIND("_",A237)+1)+2,FIND("_",A237,FIND("_",A237,FIND("_",A237)+1)+1)-FIND("_",A237,FIND("_",A237)+1)-2)),"000"),AHUB!$A$2:$A$16,0)),"No match")</f>
        <v/>
      </c>
    </row>
    <row r="238">
      <c r="A238" s="2" t="inlineStr">
        <is>
          <t>VAV_2F_S10_004</t>
        </is>
      </c>
      <c r="B238" s="2" t="inlineStr">
        <is>
          <t>entity:QNL_L2_992_GULF_MATERIAL</t>
        </is>
      </c>
      <c r="C238" s="2">
        <f>IFERROR(INDEX(AHUB!$A$2:$A$16,MATCH("AHUB"&amp;TEXT(VALUE(MID(A238,FIND("_",A238,FIND("_",A238)+1)+2,FIND("_",A238,FIND("_",A238,FIND("_",A238)+1)+1)-FIND("_",A238,FIND("_",A238)+1)-2)),"000"),AHUB!$A$2:$A$16,0)),"No match")</f>
        <v/>
      </c>
    </row>
    <row r="239">
      <c r="A239" s="2" t="inlineStr">
        <is>
          <t>VAV_2F_S10_005</t>
        </is>
      </c>
      <c r="B239" s="2" t="inlineStr">
        <is>
          <t>entity:QNL_L2_992_GULF_MATERIAL</t>
        </is>
      </c>
      <c r="C239" s="2">
        <f>IFERROR(INDEX(AHUB!$A$2:$A$16,MATCH("AHUB"&amp;TEXT(VALUE(MID(A239,FIND("_",A239,FIND("_",A239)+1)+2,FIND("_",A239,FIND("_",A239,FIND("_",A239)+1)+1)-FIND("_",A239,FIND("_",A239)+1)-2)),"000"),AHUB!$A$2:$A$16,0)),"No match")</f>
        <v/>
      </c>
    </row>
    <row r="240">
      <c r="A240" s="2" t="inlineStr">
        <is>
          <t>VAV_2F_S10_006</t>
        </is>
      </c>
      <c r="B240" s="2" t="inlineStr">
        <is>
          <t>entity:QNL_L2_992_GULF_MATERIAL</t>
        </is>
      </c>
      <c r="C240" s="2">
        <f>IFERROR(INDEX(AHUB!$A$2:$A$16,MATCH("AHUB"&amp;TEXT(VALUE(MID(A240,FIND("_",A240,FIND("_",A240)+1)+2,FIND("_",A240,FIND("_",A240,FIND("_",A240)+1)+1)-FIND("_",A240,FIND("_",A240)+1)-2)),"000"),AHUB!$A$2:$A$16,0)),"No match")</f>
        <v/>
      </c>
    </row>
    <row r="241">
      <c r="A241" s="2" t="inlineStr">
        <is>
          <t>VAV_2F_S12_025</t>
        </is>
      </c>
      <c r="B241" s="2" t="inlineStr">
        <is>
          <t>entity:QNL_L2_993_CORRIDOR</t>
        </is>
      </c>
      <c r="C241" s="2">
        <f>IFERROR(INDEX(AHUB!$A$2:$A$16,MATCH("AHUB"&amp;TEXT(VALUE(MID(A241,FIND("_",A241,FIND("_",A241)+1)+2,FIND("_",A241,FIND("_",A241,FIND("_",A241)+1)+1)-FIND("_",A241,FIND("_",A241)+1)-2)),"000"),AHUB!$A$2:$A$16,0)),"No match")</f>
        <v/>
      </c>
    </row>
    <row r="242">
      <c r="A242" s="2" t="inlineStr">
        <is>
          <t>VAV_2F_S13_010</t>
        </is>
      </c>
      <c r="B242" s="2" t="inlineStr">
        <is>
          <t>entity:QNL_L2_993_CORRIDOR</t>
        </is>
      </c>
      <c r="C242" s="2">
        <f>IFERROR(INDEX(AHUB!$A$2:$A$16,MATCH("AHUB"&amp;TEXT(VALUE(MID(A242,FIND("_",A242,FIND("_",A242)+1)+2,FIND("_",A242,FIND("_",A242,FIND("_",A242)+1)+1)-FIND("_",A242,FIND("_",A242)+1)-2)),"000"),AHUB!$A$2:$A$16,0)),"No match")</f>
        <v/>
      </c>
    </row>
    <row r="243">
      <c r="A243" s="2" t="inlineStr">
        <is>
          <t>VAV_2F_S13_011</t>
        </is>
      </c>
      <c r="B243" s="2" t="inlineStr">
        <is>
          <t>entity:QNL_L2_993_CORRIDOR</t>
        </is>
      </c>
      <c r="C243" s="2">
        <f>IFERROR(INDEX(AHUB!$A$2:$A$16,MATCH("AHUB"&amp;TEXT(VALUE(MID(A243,FIND("_",A243,FIND("_",A243)+1)+2,FIND("_",A243,FIND("_",A243,FIND("_",A243)+1)+1)-FIND("_",A243,FIND("_",A243)+1)-2)),"000"),AHUB!$A$2:$A$16,0)),"No match")</f>
        <v/>
      </c>
    </row>
    <row r="244">
      <c r="A244" s="2" t="inlineStr">
        <is>
          <t>VAV_2F_S13_012</t>
        </is>
      </c>
      <c r="B244" s="2" t="inlineStr">
        <is>
          <t>entity:QNL_L2_993_CORRIDOR</t>
        </is>
      </c>
      <c r="C244" s="2">
        <f>IFERROR(INDEX(AHUB!$A$2:$A$16,MATCH("AHUB"&amp;TEXT(VALUE(MID(A244,FIND("_",A244,FIND("_",A244)+1)+2,FIND("_",A244,FIND("_",A244,FIND("_",A244)+1)+1)-FIND("_",A244,FIND("_",A244)+1)-2)),"000"),AHUB!$A$2:$A$16,0)),"No match")</f>
        <v/>
      </c>
    </row>
    <row r="245">
      <c r="A245" s="2" t="inlineStr">
        <is>
          <t>VAV_2F_S13_013</t>
        </is>
      </c>
      <c r="B245" s="2" t="inlineStr">
        <is>
          <t>entity:QNL_L2_993_CORRIDOR</t>
        </is>
      </c>
      <c r="C245" s="2">
        <f>IFERROR(INDEX(AHUB!$A$2:$A$16,MATCH("AHUB"&amp;TEXT(VALUE(MID(A245,FIND("_",A245,FIND("_",A245)+1)+2,FIND("_",A245,FIND("_",A245,FIND("_",A245)+1)+1)-FIND("_",A245,FIND("_",A245)+1)-2)),"000"),AHUB!$A$2:$A$16,0)),"No match")</f>
        <v/>
      </c>
    </row>
    <row r="246">
      <c r="A246" s="2" t="inlineStr">
        <is>
          <t>VAV_2F_S13_014</t>
        </is>
      </c>
      <c r="B246" s="2" t="inlineStr">
        <is>
          <t>entity:QNL_L2_993_CORRIDOR</t>
        </is>
      </c>
      <c r="C246" s="2">
        <f>IFERROR(INDEX(AHUB!$A$2:$A$16,MATCH("AHUB"&amp;TEXT(VALUE(MID(A246,FIND("_",A246,FIND("_",A246)+1)+2,FIND("_",A246,FIND("_",A246,FIND("_",A246)+1)+1)-FIND("_",A246,FIND("_",A246)+1)-2)),"000"),AHUB!$A$2:$A$16,0)),"No match")</f>
        <v/>
      </c>
    </row>
    <row r="247">
      <c r="A247" s="2" t="inlineStr">
        <is>
          <t>VAV_2F_S13_015</t>
        </is>
      </c>
      <c r="B247" s="2" t="inlineStr">
        <is>
          <t>entity:QNL_L2_993_CORRIDOR</t>
        </is>
      </c>
      <c r="C247" s="2">
        <f>IFERROR(INDEX(AHUB!$A$2:$A$16,MATCH("AHUB"&amp;TEXT(VALUE(MID(A247,FIND("_",A247,FIND("_",A247)+1)+2,FIND("_",A247,FIND("_",A247,FIND("_",A247)+1)+1)-FIND("_",A247,FIND("_",A247)+1)-2)),"000"),AHUB!$A$2:$A$16,0)),"No match")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4.45"/>
  <cols>
    <col width="20" customWidth="1" min="1" max="1"/>
    <col width="79.28515625" bestFit="1" customWidth="1" min="2" max="2"/>
    <col width="9.7109375" bestFit="1" customWidth="1" min="3" max="3"/>
  </cols>
  <sheetData>
    <row r="1">
      <c r="A1" s="1" t="inlineStr">
        <is>
          <t>Equipment</t>
        </is>
      </c>
      <c r="B1" s="1" t="inlineStr">
        <is>
          <t>Room Tag</t>
        </is>
      </c>
      <c r="C1" s="1" t="inlineStr">
        <is>
          <t>Fed By</t>
        </is>
      </c>
    </row>
    <row r="2">
      <c r="A2" s="2" t="inlineStr">
        <is>
          <t>CAV_B_S14_001</t>
        </is>
      </c>
      <c r="B2" s="2" t="inlineStr">
        <is>
          <t>entity:QNL_B_051_STORAGE</t>
        </is>
      </c>
      <c r="C2" s="2">
        <f>IFERROR(INDEX(AHUB!$A$2:$A$16,MATCH("AHUB"&amp;TEXT(VALUE(MID(A2,FIND("_",A2,FIND("_",A2)+1)+2,FIND("_",A2,FIND("_",A2,FIND("_",A2)+1)+1)-FIND("_",A2,FIND("_",A2)+1)-2)),"000"),AHUB!$A$2:$A$16,0)),"No match")</f>
        <v/>
      </c>
    </row>
    <row r="3">
      <c r="A3" s="2" t="inlineStr">
        <is>
          <t>CAV_B_S12_002</t>
        </is>
      </c>
      <c r="B3" s="2" t="inlineStr">
        <is>
          <t>entity:QNL_B_063_PLANT_ROOM_01</t>
        </is>
      </c>
      <c r="C3" s="2">
        <f>IFERROR(INDEX(AHUB!$A$2:$A$16,MATCH("AHUB"&amp;TEXT(VALUE(MID(A3,FIND("_",A3,FIND("_",A3)+1)+2,FIND("_",A3,FIND("_",A3,FIND("_",A3)+1)+1)-FIND("_",A3,FIND("_",A3)+1)-2)),"000"),AHUB!$A$2:$A$16,0)),"No match")</f>
        <v/>
      </c>
    </row>
    <row r="4">
      <c r="A4" s="2" t="inlineStr">
        <is>
          <t>CAV_B_S12_003</t>
        </is>
      </c>
      <c r="B4" s="2" t="inlineStr">
        <is>
          <t>entity:QNL_B_063_PLANT_ROOM_01</t>
        </is>
      </c>
      <c r="C4" s="2">
        <f>IFERROR(INDEX(AHUB!$A$2:$A$16,MATCH("AHUB"&amp;TEXT(VALUE(MID(A4,FIND("_",A4,FIND("_",A4)+1)+2,FIND("_",A4,FIND("_",A4,FIND("_",A4)+1)+1)-FIND("_",A4,FIND("_",A4)+1)-2)),"000"),AHUB!$A$2:$A$16,0)),"No match")</f>
        <v/>
      </c>
    </row>
    <row r="5">
      <c r="A5" s="2" t="inlineStr">
        <is>
          <t>CAV_B_S15_001</t>
        </is>
      </c>
      <c r="B5" s="2" t="inlineStr">
        <is>
          <t>entity:QNL_B_063_PLANT_ROOM_01</t>
        </is>
      </c>
      <c r="C5" s="2">
        <f>IFERROR(INDEX(AHUB!$A$2:$A$16,MATCH("AHUB"&amp;TEXT(VALUE(MID(A5,FIND("_",A5,FIND("_",A5)+1)+2,FIND("_",A5,FIND("_",A5,FIND("_",A5)+1)+1)-FIND("_",A5,FIND("_",A5)+1)-2)),"000"),AHUB!$A$2:$A$16,0)),"No match")</f>
        <v/>
      </c>
    </row>
    <row r="6">
      <c r="A6" s="2" t="inlineStr">
        <is>
          <t>CAV_B_S15_002</t>
        </is>
      </c>
      <c r="B6" s="2" t="inlineStr">
        <is>
          <t>entity:QNL_B_063_PLANT_ROOM_01</t>
        </is>
      </c>
      <c r="C6" s="2">
        <f>IFERROR(INDEX(AHUB!$A$2:$A$16,MATCH("AHUB"&amp;TEXT(VALUE(MID(A6,FIND("_",A6,FIND("_",A6)+1)+2,FIND("_",A6,FIND("_",A6,FIND("_",A6)+1)+1)-FIND("_",A6,FIND("_",A6)+1)-2)),"000"),AHUB!$A$2:$A$16,0)),"No match")</f>
        <v/>
      </c>
    </row>
    <row r="7">
      <c r="A7" s="2" t="inlineStr">
        <is>
          <t>CAV_B_S15_003</t>
        </is>
      </c>
      <c r="B7" s="2" t="inlineStr">
        <is>
          <t>entity:QNL_B_063_PLANT_ROOM_01</t>
        </is>
      </c>
      <c r="C7" s="2">
        <f>IFERROR(INDEX(AHUB!$A$2:$A$16,MATCH("AHUB"&amp;TEXT(VALUE(MID(A7,FIND("_",A7,FIND("_",A7)+1)+2,FIND("_",A7,FIND("_",A7,FIND("_",A7)+1)+1)-FIND("_",A7,FIND("_",A7)+1)-2)),"000"),AHUB!$A$2:$A$16,0)),"No match")</f>
        <v/>
      </c>
    </row>
    <row r="8">
      <c r="A8" s="2" t="inlineStr">
        <is>
          <t>CAV_B_S13_010</t>
        </is>
      </c>
      <c r="B8" s="2" t="inlineStr">
        <is>
          <t>entity:QNL_B_070_PLANT_ROOM_02</t>
        </is>
      </c>
      <c r="C8" s="2">
        <f>IFERROR(INDEX(AHUB!$A$2:$A$16,MATCH("AHUB"&amp;TEXT(VALUE(MID(A8,FIND("_",A8,FIND("_",A8)+1)+2,FIND("_",A8,FIND("_",A8,FIND("_",A8)+1)+1)-FIND("_",A8,FIND("_",A8)+1)-2)),"000"),AHUB!$A$2:$A$16,0)),"No match")</f>
        <v/>
      </c>
    </row>
    <row r="9">
      <c r="A9" s="2" t="inlineStr">
        <is>
          <t>CAV_B_S13_011</t>
        </is>
      </c>
      <c r="B9" s="2" t="inlineStr">
        <is>
          <t>entity:QNL_B_070_PLANT_ROOM_02</t>
        </is>
      </c>
      <c r="C9" s="2">
        <f>IFERROR(INDEX(AHUB!$A$2:$A$16,MATCH("AHUB"&amp;TEXT(VALUE(MID(A9,FIND("_",A9,FIND("_",A9)+1)+2,FIND("_",A9,FIND("_",A9,FIND("_",A9)+1)+1)-FIND("_",A9,FIND("_",A9)+1)-2)),"000"),AHUB!$A$2:$A$16,0)),"No match")</f>
        <v/>
      </c>
    </row>
    <row r="10">
      <c r="A10" s="2" t="inlineStr">
        <is>
          <t>CAV_B_S13_012</t>
        </is>
      </c>
      <c r="B10" s="2" t="inlineStr">
        <is>
          <t>entity:QNL_B_071_FIRE_COMMAND_ROOM</t>
        </is>
      </c>
      <c r="C10" s="2">
        <f>IFERROR(INDEX(AHUB!$A$2:$A$16,MATCH("AHUB"&amp;TEXT(VALUE(MID(A10,FIND("_",A10,FIND("_",A10)+1)+2,FIND("_",A10,FIND("_",A10,FIND("_",A10)+1)+1)-FIND("_",A10,FIND("_",A10)+1)-2)),"000"),AHUB!$A$2:$A$16,0)),"No match")</f>
        <v/>
      </c>
    </row>
    <row r="11">
      <c r="A11" s="2" t="inlineStr">
        <is>
          <t>CAV_B_S13_021</t>
        </is>
      </c>
      <c r="B11" s="2" t="inlineStr">
        <is>
          <t>entity:QNL_B_072_SPRIMKLERS_PUMPS_&amp;_ZONES_VALVES</t>
        </is>
      </c>
      <c r="C11" s="2">
        <f>IFERROR(INDEX(AHUB!$A$2:$A$16,MATCH("AHUB"&amp;TEXT(VALUE(MID(A11,FIND("_",A11,FIND("_",A11)+1)+2,FIND("_",A11,FIND("_",A11,FIND("_",A11)+1)+1)-FIND("_",A11,FIND("_",A11)+1)-2)),"000"),AHUB!$A$2:$A$16,0)),"No match")</f>
        <v/>
      </c>
    </row>
    <row r="12">
      <c r="A12" s="2" t="inlineStr">
        <is>
          <t>CAV_B_S13_020</t>
        </is>
      </c>
      <c r="B12" s="2" t="inlineStr">
        <is>
          <t>entity:QNL_B_084_UPS_BATTERY_ROOM</t>
        </is>
      </c>
      <c r="C12" s="2">
        <f>IFERROR(INDEX(AHUB!$A$2:$A$16,MATCH("AHUB"&amp;TEXT(VALUE(MID(A12,FIND("_",A12,FIND("_",A12)+1)+2,FIND("_",A12,FIND("_",A12,FIND("_",A12)+1)+1)-FIND("_",A12,FIND("_",A12)+1)-2)),"000"),AHUB!$A$2:$A$16,0)),"No match")</f>
        <v/>
      </c>
    </row>
    <row r="13">
      <c r="A13" s="2" t="inlineStr">
        <is>
          <t>CAV_B_S13_013</t>
        </is>
      </c>
      <c r="B13" s="2" t="inlineStr">
        <is>
          <t>entity:QNL_B_087_GAS_SUPPRESSION_ROOM</t>
        </is>
      </c>
      <c r="C13" s="2">
        <f>IFERROR(INDEX(AHUB!$A$2:$A$16,MATCH("AHUB"&amp;TEXT(VALUE(MID(A13,FIND("_",A13,FIND("_",A13)+1)+2,FIND("_",A13,FIND("_",A13,FIND("_",A13)+1)+1)-FIND("_",A13,FIND("_",A13)+1)-2)),"000"),AHUB!$A$2:$A$16,0)),"No match")</f>
        <v/>
      </c>
    </row>
    <row r="14">
      <c r="A14" s="2" t="inlineStr">
        <is>
          <t>CAV_B_S13_014</t>
        </is>
      </c>
      <c r="B14" s="2" t="inlineStr">
        <is>
          <t>entity:QNL_B_088_PEOPLE_MOVER_PLANT</t>
        </is>
      </c>
      <c r="C14" s="2">
        <f>IFERROR(INDEX(AHUB!$A$2:$A$16,MATCH("AHUB"&amp;TEXT(VALUE(MID(A14,FIND("_",A14,FIND("_",A14)+1)+2,FIND("_",A14,FIND("_",A14,FIND("_",A14)+1)+1)-FIND("_",A14,FIND("_",A14)+1)-2)),"000"),AHUB!$A$2:$A$16,0)),"No match")</f>
        <v/>
      </c>
    </row>
    <row r="15">
      <c r="A15" s="2" t="inlineStr">
        <is>
          <t>CAV_B_S13_015</t>
        </is>
      </c>
      <c r="B15" s="2" t="inlineStr">
        <is>
          <t>entity:QNL_B_089_SERVER_ROOM</t>
        </is>
      </c>
      <c r="C15" s="2">
        <f>IFERROR(INDEX(AHUB!$A$2:$A$16,MATCH("AHUB"&amp;TEXT(VALUE(MID(A15,FIND("_",A15,FIND("_",A15)+1)+2,FIND("_",A15,FIND("_",A15,FIND("_",A15)+1)+1)-FIND("_",A15,FIND("_",A15)+1)-2)),"000"),AHUB!$A$2:$A$16,0)),"No match")</f>
        <v/>
      </c>
    </row>
    <row r="16">
      <c r="A16" s="2" t="inlineStr">
        <is>
          <t>CAV_B_S13_009</t>
        </is>
      </c>
      <c r="B16" s="2" t="inlineStr">
        <is>
          <t>entity:QNL_B_104_STORAGE</t>
        </is>
      </c>
      <c r="C16" s="2">
        <f>IFERROR(INDEX(AHUB!$A$2:$A$16,MATCH("AHUB"&amp;TEXT(VALUE(MID(A16,FIND("_",A16,FIND("_",A16)+1)+2,FIND("_",A16,FIND("_",A16,FIND("_",A16)+1)+1)-FIND("_",A16,FIND("_",A16)+1)-2)),"000"),AHUB!$A$2:$A$16,0)),"No match")</f>
        <v/>
      </c>
    </row>
    <row r="17">
      <c r="A17" s="2" t="inlineStr">
        <is>
          <t>CAV_B_S14_003</t>
        </is>
      </c>
      <c r="B17" s="2" t="inlineStr">
        <is>
          <t>entity:QNL_B_110_PLANT_ROOM_03</t>
        </is>
      </c>
      <c r="C17" s="2">
        <f>IFERROR(INDEX(AHUB!$A$2:$A$16,MATCH("AHUB"&amp;TEXT(VALUE(MID(A17,FIND("_",A17,FIND("_",A17)+1)+2,FIND("_",A17,FIND("_",A17,FIND("_",A17)+1)+1)-FIND("_",A17,FIND("_",A17)+1)-2)),"000"),AHUB!$A$2:$A$16,0)),"No match")</f>
        <v/>
      </c>
    </row>
    <row r="18">
      <c r="A18" s="2" t="inlineStr">
        <is>
          <t>CAV_B_S14_004</t>
        </is>
      </c>
      <c r="B18" s="2" t="inlineStr">
        <is>
          <t>entity:QNL_B_110_PLANT_ROOM_03</t>
        </is>
      </c>
      <c r="C18" s="2">
        <f>IFERROR(INDEX(AHUB!$A$2:$A$16,MATCH("AHUB"&amp;TEXT(VALUE(MID(A18,FIND("_",A18,FIND("_",A18)+1)+2,FIND("_",A18,FIND("_",A18,FIND("_",A18)+1)+1)-FIND("_",A18,FIND("_",A18)+1)-2)),"000"),AHUB!$A$2:$A$16,0)),"No match")</f>
        <v/>
      </c>
    </row>
    <row r="19">
      <c r="A19" s="2" t="inlineStr">
        <is>
          <t>CAV_B_S14_005</t>
        </is>
      </c>
      <c r="B19" s="2" t="inlineStr">
        <is>
          <t>entity:QNL_B_110_PLANT_ROOM_03</t>
        </is>
      </c>
      <c r="C19" s="2">
        <f>IFERROR(INDEX(AHUB!$A$2:$A$16,MATCH("AHUB"&amp;TEXT(VALUE(MID(A19,FIND("_",A19,FIND("_",A19)+1)+2,FIND("_",A19,FIND("_",A19,FIND("_",A19)+1)+1)-FIND("_",A19,FIND("_",A19)+1)-2)),"000"),AHUB!$A$2:$A$16,0)),"No match")</f>
        <v/>
      </c>
    </row>
    <row r="20">
      <c r="A20" s="2" t="inlineStr">
        <is>
          <t>CAV_1F_S11_006</t>
        </is>
      </c>
      <c r="B20" s="2" t="inlineStr">
        <is>
          <t>entity:QNL_L1_047_CHILDREN_LIBRARY_-_PRE_SCHOOL_READING_&amp;_PLAYING</t>
        </is>
      </c>
      <c r="C20" s="2">
        <f>IFERROR(INDEX(AHUB!$A$2:$A$16,MATCH("AHUB"&amp;TEXT(VALUE(MID(A20,FIND("_",A20,FIND("_",A20)+1)+2,FIND("_",A20,FIND("_",A20,FIND("_",A20)+1)+1)-FIND("_",A20,FIND("_",A20)+1)-2)),"000"),AHUB!$A$2:$A$16,0)),"No match")</f>
        <v/>
      </c>
    </row>
    <row r="21">
      <c r="A21" s="2" t="inlineStr">
        <is>
          <t>CAV_1F_S11_008</t>
        </is>
      </c>
      <c r="B21" s="2" t="inlineStr">
        <is>
          <t>entity:QNL_L1_047_CHILDREN_LIBRARY_-_PRE_SCHOOL_READING_&amp;_PLAYING</t>
        </is>
      </c>
      <c r="C21" s="2">
        <f>IFERROR(INDEX(AHUB!$A$2:$A$16,MATCH("AHUB"&amp;TEXT(VALUE(MID(A21,FIND("_",A21,FIND("_",A21)+1)+2,FIND("_",A21,FIND("_",A21,FIND("_",A21)+1)+1)-FIND("_",A21,FIND("_",A21)+1)-2)),"000"),AHUB!$A$2:$A$16,0)),"No match")</f>
        <v/>
      </c>
    </row>
    <row r="22">
      <c r="A22" s="2" t="inlineStr">
        <is>
          <t>CAV_1F_S11_009</t>
        </is>
      </c>
      <c r="B22" s="2" t="inlineStr">
        <is>
          <t>entity:QNL_L1_047_CHILDREN_LIBRARY_-_PRE_SCHOOL_READING_&amp;_PLAYING</t>
        </is>
      </c>
      <c r="C22" s="2">
        <f>IFERROR(INDEX(AHUB!$A$2:$A$16,MATCH("AHUB"&amp;TEXT(VALUE(MID(A22,FIND("_",A22,FIND("_",A22)+1)+2,FIND("_",A22,FIND("_",A22,FIND("_",A22)+1)+1)-FIND("_",A22,FIND("_",A22)+1)-2)),"000"),AHUB!$A$2:$A$16,0)),"No match")</f>
        <v/>
      </c>
    </row>
    <row r="23">
      <c r="A23" s="2" t="inlineStr">
        <is>
          <t>CAV_1F_S15_004</t>
        </is>
      </c>
      <c r="B23" s="2" t="inlineStr">
        <is>
          <t>entity:QNL_L1_100_AERIAL_PLATFORM_PARKING</t>
        </is>
      </c>
      <c r="C23" s="2">
        <f>IFERROR(INDEX(AHUB!$A$2:$A$16,MATCH("AHUB"&amp;TEXT(VALUE(MID(A23,FIND("_",A23,FIND("_",A23)+1)+2,FIND("_",A23,FIND("_",A23,FIND("_",A23)+1)+1)-FIND("_",A23,FIND("_",A23)+1)-2)),"000"),AHUB!$A$2:$A$16,0)),"No match")</f>
        <v/>
      </c>
    </row>
    <row r="24">
      <c r="A24" s="2" t="inlineStr">
        <is>
          <t>CAV_1F_S15_018</t>
        </is>
      </c>
      <c r="B24" s="2" t="inlineStr">
        <is>
          <t>entity:QNL_L1_100_AERIAL_PLATFORM_PARKING</t>
        </is>
      </c>
      <c r="C24" s="2">
        <f>IFERROR(INDEX(AHUB!$A$2:$A$16,MATCH("AHUB"&amp;TEXT(VALUE(MID(A24,FIND("_",A24,FIND("_",A24)+1)+2,FIND("_",A24,FIND("_",A24,FIND("_",A24)+1)+1)-FIND("_",A24,FIND("_",A24)+1)-2)),"000"),AHUB!$A$2:$A$16,0)),"No match")</f>
        <v/>
      </c>
    </row>
    <row r="25">
      <c r="A25" s="2" t="inlineStr">
        <is>
          <t>CAV_1F_S15_019</t>
        </is>
      </c>
      <c r="B25" s="2" t="inlineStr">
        <is>
          <t>entity:QNL_L1_153_FURNITURE_STORAGE</t>
        </is>
      </c>
      <c r="C25" s="2">
        <f>IFERROR(INDEX(AHUB!$A$2:$A$16,MATCH("AHUB"&amp;TEXT(VALUE(MID(A25,FIND("_",A25,FIND("_",A25)+1)+2,FIND("_",A25,FIND("_",A25,FIND("_",A25)+1)+1)-FIND("_",A25,FIND("_",A25)+1)-2)),"000"),AHUB!$A$2:$A$16,0)),"No match")</f>
        <v/>
      </c>
    </row>
    <row r="26">
      <c r="A26" s="2" t="inlineStr">
        <is>
          <t>CAV_1F_S15_002</t>
        </is>
      </c>
      <c r="B26" s="2" t="inlineStr">
        <is>
          <t>entity:QNL_L1_150_RESTAURANT</t>
        </is>
      </c>
      <c r="C26" s="2">
        <f>IFERROR(INDEX(AHUB!$A$2:$A$16,MATCH("AHUB"&amp;TEXT(VALUE(MID(A26,FIND("_",A26,FIND("_",A26)+1)+2,FIND("_",A26,FIND("_",A26,FIND("_",A26)+1)+1)-FIND("_",A26,FIND("_",A26)+1)-2)),"000"),AHUB!$A$2:$A$16,0)),"No match")</f>
        <v/>
      </c>
    </row>
    <row r="27">
      <c r="A27" s="2" t="inlineStr">
        <is>
          <t>CAV_1F_S15_005</t>
        </is>
      </c>
      <c r="B27" s="2" t="inlineStr">
        <is>
          <t>entity:QNL_L1_150_RESTAURANT</t>
        </is>
      </c>
      <c r="C27" s="2">
        <f>IFERROR(INDEX(AHUB!$A$2:$A$16,MATCH("AHUB"&amp;TEXT(VALUE(MID(A27,FIND("_",A27,FIND("_",A27)+1)+2,FIND("_",A27,FIND("_",A27,FIND("_",A27)+1)+1)-FIND("_",A27,FIND("_",A27)+1)-2)),"000"),AHUB!$A$2:$A$16,0)),"No match")</f>
        <v/>
      </c>
    </row>
    <row r="28">
      <c r="A28" s="2" t="inlineStr">
        <is>
          <t>CAV_1F_S15_006</t>
        </is>
      </c>
      <c r="B28" s="2" t="inlineStr">
        <is>
          <t>entity:QNL_L1_150_RESTAURANT</t>
        </is>
      </c>
      <c r="C28" s="2">
        <f>IFERROR(INDEX(AHUB!$A$2:$A$16,MATCH("AHUB"&amp;TEXT(VALUE(MID(A28,FIND("_",A28,FIND("_",A28)+1)+2,FIND("_",A28,FIND("_",A28,FIND("_",A28)+1)+1)-FIND("_",A28,FIND("_",A28)+1)-2)),"000"),AHUB!$A$2:$A$16,0)),"No match")</f>
        <v/>
      </c>
    </row>
    <row r="29">
      <c r="A29" s="2" t="inlineStr">
        <is>
          <t>CAV_1F_S15_010</t>
        </is>
      </c>
      <c r="B29" s="2" t="inlineStr">
        <is>
          <t>entity:QNL_L1_150_RESTAURANT</t>
        </is>
      </c>
      <c r="C29" s="2">
        <f>IFERROR(INDEX(AHUB!$A$2:$A$16,MATCH("AHUB"&amp;TEXT(VALUE(MID(A29,FIND("_",A29,FIND("_",A29)+1)+2,FIND("_",A29,FIND("_",A29,FIND("_",A29)+1)+1)-FIND("_",A29,FIND("_",A29)+1)-2)),"000"),AHUB!$A$2:$A$16,0)),"No match")</f>
        <v/>
      </c>
    </row>
    <row r="30">
      <c r="A30" s="2" t="inlineStr">
        <is>
          <t>CAV_1F_S15_011</t>
        </is>
      </c>
      <c r="B30" s="2" t="inlineStr">
        <is>
          <t>entity:QNL_L1_150_RESTAURANT</t>
        </is>
      </c>
      <c r="C30" s="2">
        <f>IFERROR(INDEX(AHUB!$A$2:$A$16,MATCH("AHUB"&amp;TEXT(VALUE(MID(A30,FIND("_",A30,FIND("_",A30)+1)+2,FIND("_",A30,FIND("_",A30,FIND("_",A30)+1)+1)-FIND("_",A30,FIND("_",A30)+1)-2)),"000"),AHUB!$A$2:$A$16,0)),"No match")</f>
        <v/>
      </c>
    </row>
    <row r="31">
      <c r="A31" s="2" t="inlineStr">
        <is>
          <t>CAV_1F_S15_012</t>
        </is>
      </c>
      <c r="B31" s="2" t="inlineStr">
        <is>
          <t>entity:QNL_L1_150_RESTAURANT</t>
        </is>
      </c>
      <c r="C31" s="2">
        <f>IFERROR(INDEX(AHUB!$A$2:$A$16,MATCH("AHUB"&amp;TEXT(VALUE(MID(A31,FIND("_",A31,FIND("_",A31)+1)+2,FIND("_",A31,FIND("_",A31,FIND("_",A31)+1)+1)-FIND("_",A31,FIND("_",A31)+1)-2)),"000"),AHUB!$A$2:$A$16,0)),"No match")</f>
        <v/>
      </c>
    </row>
    <row r="32">
      <c r="A32" s="2" t="inlineStr">
        <is>
          <t>CAV_1F_S15_013</t>
        </is>
      </c>
      <c r="B32" s="2" t="inlineStr">
        <is>
          <t>entity:QNL_L1_150_RESTAURANT</t>
        </is>
      </c>
      <c r="C32" s="2">
        <f>IFERROR(INDEX(AHUB!$A$2:$A$16,MATCH("AHUB"&amp;TEXT(VALUE(MID(A32,FIND("_",A32,FIND("_",A32)+1)+2,FIND("_",A32,FIND("_",A32,FIND("_",A32)+1)+1)-FIND("_",A32,FIND("_",A32)+1)-2)),"000"),AHUB!$A$2:$A$16,0)),"No match")</f>
        <v/>
      </c>
    </row>
    <row r="33">
      <c r="A33" s="2" t="inlineStr">
        <is>
          <t>CAV_1F_S15_014</t>
        </is>
      </c>
      <c r="B33" s="2" t="inlineStr">
        <is>
          <t>entity:QNL_L1_150_RESTAURANT</t>
        </is>
      </c>
      <c r="C33" s="2">
        <f>IFERROR(INDEX(AHUB!$A$2:$A$16,MATCH("AHUB"&amp;TEXT(VALUE(MID(A33,FIND("_",A33,FIND("_",A33)+1)+2,FIND("_",A33,FIND("_",A33,FIND("_",A33)+1)+1)-FIND("_",A33,FIND("_",A33)+1)-2)),"000"),AHUB!$A$2:$A$16,0)),"No match")</f>
        <v/>
      </c>
    </row>
    <row r="34">
      <c r="A34" s="2" t="inlineStr">
        <is>
          <t>CAV_1F_S15_015</t>
        </is>
      </c>
      <c r="B34" s="2" t="inlineStr">
        <is>
          <t>entity:QNL_L1_150_RESTAURANT</t>
        </is>
      </c>
      <c r="C34" s="2">
        <f>IFERROR(INDEX(AHUB!$A$2:$A$16,MATCH("AHUB"&amp;TEXT(VALUE(MID(A34,FIND("_",A34,FIND("_",A34)+1)+2,FIND("_",A34,FIND("_",A34,FIND("_",A34)+1)+1)-FIND("_",A34,FIND("_",A34)+1)-2)),"000"),AHUB!$A$2:$A$16,0)),"No match")</f>
        <v/>
      </c>
    </row>
    <row r="35">
      <c r="A35" s="2" t="inlineStr">
        <is>
          <t>CAV_1F_S15_016</t>
        </is>
      </c>
      <c r="B35" s="2" t="inlineStr">
        <is>
          <t>entity:QNL_L1_150_RESTAURANT</t>
        </is>
      </c>
      <c r="C35" s="2">
        <f>IFERROR(INDEX(AHUB!$A$2:$A$16,MATCH("AHUB"&amp;TEXT(VALUE(MID(A35,FIND("_",A35,FIND("_",A35)+1)+2,FIND("_",A35,FIND("_",A35,FIND("_",A35)+1)+1)-FIND("_",A35,FIND("_",A35)+1)-2)),"000"),AHUB!$A$2:$A$16,0)),"No match")</f>
        <v/>
      </c>
    </row>
    <row r="36">
      <c r="A36" s="2" t="inlineStr">
        <is>
          <t>CAV_1F_S15_017</t>
        </is>
      </c>
      <c r="B36" s="2" t="inlineStr">
        <is>
          <t>entity:QNL_L1_150_RESTAURANT</t>
        </is>
      </c>
      <c r="C36" s="2">
        <f>IFERROR(INDEX(AHUB!$A$2:$A$16,MATCH("AHUB"&amp;TEXT(VALUE(MID(A36,FIND("_",A36,FIND("_",A36)+1)+2,FIND("_",A36,FIND("_",A36,FIND("_",A36)+1)+1)-FIND("_",A36,FIND("_",A36)+1)-2)),"000"),AHUB!$A$2:$A$16,0)),"No match")</f>
        <v/>
      </c>
    </row>
    <row r="37">
      <c r="A37" s="2" t="inlineStr">
        <is>
          <t>CAV_B_S14_006</t>
        </is>
      </c>
      <c r="B37" s="2" t="inlineStr">
        <is>
          <t>entity:QNL_B_044_BOH_KITCHEN</t>
        </is>
      </c>
      <c r="C37" s="2">
        <f>IFERROR(INDEX(AHUB!$A$2:$A$16,MATCH("AHUB"&amp;TEXT(VALUE(MID(A37,FIND("_",A37,FIND("_",A37)+1)+2,FIND("_",A37,FIND("_",A37,FIND("_",A37)+1)+1)-FIND("_",A37,FIND("_",A37)+1)-2)),"000"),AHUB!$A$2:$A$16,0)),"No match")</f>
        <v/>
      </c>
    </row>
    <row r="38">
      <c r="A38" s="2" t="inlineStr">
        <is>
          <t>CAV_B_S14_007</t>
        </is>
      </c>
      <c r="B38" s="2" t="inlineStr">
        <is>
          <t>entity:QNL_B_044_BOH_KITCHEN</t>
        </is>
      </c>
      <c r="C38" s="2">
        <f>IFERROR(INDEX(AHUB!$A$2:$A$16,MATCH("AHUB"&amp;TEXT(VALUE(MID(A38,FIND("_",A38,FIND("_",A38)+1)+2,FIND("_",A38,FIND("_",A38,FIND("_",A38)+1)+1)-FIND("_",A38,FIND("_",A38)+1)-2)),"000"),AHUB!$A$2:$A$16,0)),"No match")</f>
        <v/>
      </c>
    </row>
    <row r="39">
      <c r="A39" s="2" t="inlineStr">
        <is>
          <t>CAV_1F_S11_001</t>
        </is>
      </c>
      <c r="B39" s="2" t="inlineStr">
        <is>
          <t>entity:QNL_L1_023_CORRIDOR</t>
        </is>
      </c>
      <c r="C39" s="2">
        <f>IFERROR(INDEX(AHUB!$A$2:$A$16,MATCH("AHUB"&amp;TEXT(VALUE(MID(A39,FIND("_",A39,FIND("_",A39)+1)+2,FIND("_",A39,FIND("_",A39,FIND("_",A39)+1)+1)-FIND("_",A39,FIND("_",A39)+1)-2)),"000"),AHUB!$A$2:$A$16,0)),"No match")</f>
        <v/>
      </c>
    </row>
    <row r="40">
      <c r="A40" s="2" t="inlineStr">
        <is>
          <t>CAV_1F_S11_002</t>
        </is>
      </c>
      <c r="B40" s="2" t="inlineStr">
        <is>
          <t>entity:QNL_L1_023_CORRIDOR</t>
        </is>
      </c>
      <c r="C40" s="2">
        <f>IFERROR(INDEX(AHUB!$A$2:$A$16,MATCH("AHUB"&amp;TEXT(VALUE(MID(A40,FIND("_",A40,FIND("_",A40)+1)+2,FIND("_",A40,FIND("_",A40,FIND("_",A40)+1)+1)-FIND("_",A40,FIND("_",A40)+1)-2)),"000"),AHUB!$A$2:$A$16,0)),"No match")</f>
        <v/>
      </c>
    </row>
    <row r="41">
      <c r="A41" s="2" t="inlineStr">
        <is>
          <t>CAV_1F_S11_007</t>
        </is>
      </c>
      <c r="B41" s="2" t="inlineStr">
        <is>
          <t>entity:QNL_L1_023_CORRIDOR</t>
        </is>
      </c>
      <c r="C41" s="2">
        <f>IFERROR(INDEX(AHUB!$A$2:$A$16,MATCH("AHUB"&amp;TEXT(VALUE(MID(A41,FIND("_",A41,FIND("_",A41)+1)+2,FIND("_",A41,FIND("_",A41,FIND("_",A41)+1)+1)-FIND("_",A41,FIND("_",A41)+1)-2)),"000"),AHUB!$A$2:$A$16,0)),"No match")</f>
        <v/>
      </c>
    </row>
    <row r="42">
      <c r="A42" s="2" t="inlineStr">
        <is>
          <t>CAV_B_S12_001</t>
        </is>
      </c>
      <c r="B42" s="2" t="inlineStr">
        <is>
          <t>entity:QNL_B_061_CORRIDOR</t>
        </is>
      </c>
      <c r="C42" s="2">
        <f>IFERROR(INDEX(AHUB!$A$2:$A$16,MATCH("AHUB"&amp;TEXT(VALUE(MID(A42,FIND("_",A42,FIND("_",A42)+1)+2,FIND("_",A42,FIND("_",A42,FIND("_",A42)+1)+1)-FIND("_",A42,FIND("_",A42)+1)-2)),"000"),AHUB!$A$2:$A$16,0)),"No match")</f>
        <v/>
      </c>
    </row>
    <row r="43">
      <c r="A43" s="2" t="inlineStr">
        <is>
          <t>CAV_B_S13_001</t>
        </is>
      </c>
      <c r="B43" s="2" t="inlineStr">
        <is>
          <t>entity:QNL_B_064_CORRIDOR_2</t>
        </is>
      </c>
      <c r="C43" s="2">
        <f>IFERROR(INDEX(AHUB!$A$2:$A$16,MATCH("AHUB"&amp;TEXT(VALUE(MID(A43,FIND("_",A43,FIND("_",A43)+1)+2,FIND("_",A43,FIND("_",A43,FIND("_",A43)+1)+1)-FIND("_",A43,FIND("_",A43)+1)-2)),"000"),AHUB!$A$2:$A$16,0)),"No match")</f>
        <v/>
      </c>
    </row>
    <row r="44">
      <c r="A44" s="2" t="inlineStr">
        <is>
          <t>CAV_B_S13_002</t>
        </is>
      </c>
      <c r="B44" s="2" t="inlineStr">
        <is>
          <t>entity:QNL_B_064_CORRIDOR_2</t>
        </is>
      </c>
      <c r="C44" s="2">
        <f>IFERROR(INDEX(AHUB!$A$2:$A$16,MATCH("AHUB"&amp;TEXT(VALUE(MID(A44,FIND("_",A44,FIND("_",A44)+1)+2,FIND("_",A44,FIND("_",A44,FIND("_",A44)+1)+1)-FIND("_",A44,FIND("_",A44)+1)-2)),"000"),AHUB!$A$2:$A$16,0)),"No match")</f>
        <v/>
      </c>
    </row>
    <row r="45">
      <c r="A45" s="2" t="inlineStr">
        <is>
          <t>CAV_B_S13_003</t>
        </is>
      </c>
      <c r="B45" s="2" t="inlineStr">
        <is>
          <t>entity:QNL_B_064_CORRIDOR_2</t>
        </is>
      </c>
      <c r="C45" s="2">
        <f>IFERROR(INDEX(AHUB!$A$2:$A$16,MATCH("AHUB"&amp;TEXT(VALUE(MID(A45,FIND("_",A45,FIND("_",A45)+1)+2,FIND("_",A45,FIND("_",A45,FIND("_",A45)+1)+1)-FIND("_",A45,FIND("_",A45)+1)-2)),"000"),AHUB!$A$2:$A$16,0)),"No match")</f>
        <v/>
      </c>
    </row>
    <row r="46">
      <c r="A46" s="2" t="inlineStr">
        <is>
          <t>CAV_B_S13_004</t>
        </is>
      </c>
      <c r="B46" s="2" t="inlineStr">
        <is>
          <t>entity:QNL_B_064_CORRIDOR_2</t>
        </is>
      </c>
      <c r="C46" s="2">
        <f>IFERROR(INDEX(AHUB!$A$2:$A$16,MATCH("AHUB"&amp;TEXT(VALUE(MID(A46,FIND("_",A46,FIND("_",A46)+1)+2,FIND("_",A46,FIND("_",A46,FIND("_",A46)+1)+1)-FIND("_",A46,FIND("_",A46)+1)-2)),"000"),AHUB!$A$2:$A$16,0)),"No match")</f>
        <v/>
      </c>
    </row>
    <row r="47">
      <c r="A47" s="2" t="inlineStr">
        <is>
          <t>CAV_B_S13_005</t>
        </is>
      </c>
      <c r="B47" s="2" t="inlineStr">
        <is>
          <t>entity:QNL_B_064_CORRIDOR_2</t>
        </is>
      </c>
      <c r="C47" s="2">
        <f>IFERROR(INDEX(AHUB!$A$2:$A$16,MATCH("AHUB"&amp;TEXT(VALUE(MID(A47,FIND("_",A47,FIND("_",A47)+1)+2,FIND("_",A47,FIND("_",A47,FIND("_",A47)+1)+1)-FIND("_",A47,FIND("_",A47)+1)-2)),"000"),AHUB!$A$2:$A$16,0)),"No match")</f>
        <v/>
      </c>
    </row>
    <row r="48">
      <c r="A48" s="2" t="inlineStr">
        <is>
          <t>CAV_B_S13_006</t>
        </is>
      </c>
      <c r="B48" s="2" t="inlineStr">
        <is>
          <t>entity:QNL_B_035_CORRIDOR_4</t>
        </is>
      </c>
      <c r="C48" s="2">
        <f>IFERROR(INDEX(AHUB!$A$2:$A$16,MATCH("AHUB"&amp;TEXT(VALUE(MID(A48,FIND("_",A48,FIND("_",A48)+1)+2,FIND("_",A48,FIND("_",A48,FIND("_",A48)+1)+1)-FIND("_",A48,FIND("_",A48)+1)-2)),"000"),AHUB!$A$2:$A$16,0)),"No match")</f>
        <v/>
      </c>
    </row>
    <row r="49">
      <c r="A49" s="2" t="inlineStr">
        <is>
          <t>CAV_B_S13_007</t>
        </is>
      </c>
      <c r="B49" s="2" t="inlineStr">
        <is>
          <t>entity:QNL_B_035_CORRIDOR_4</t>
        </is>
      </c>
      <c r="C49" s="2">
        <f>IFERROR(INDEX(AHUB!$A$2:$A$16,MATCH("AHUB"&amp;TEXT(VALUE(MID(A49,FIND("_",A49,FIND("_",A49)+1)+2,FIND("_",A49,FIND("_",A49,FIND("_",A49)+1)+1)-FIND("_",A49,FIND("_",A49)+1)-2)),"000"),AHUB!$A$2:$A$16,0)),"No match")</f>
        <v/>
      </c>
    </row>
    <row r="50">
      <c r="A50" s="2" t="inlineStr">
        <is>
          <t>CAV_B_S13_008</t>
        </is>
      </c>
      <c r="B50" s="2" t="inlineStr">
        <is>
          <t>entity:QNL_B_035_CORRIDOR_4</t>
        </is>
      </c>
      <c r="C50" s="2">
        <f>IFERROR(INDEX(AHUB!$A$2:$A$16,MATCH("AHUB"&amp;TEXT(VALUE(MID(A50,FIND("_",A50,FIND("_",A50)+1)+2,FIND("_",A50,FIND("_",A50,FIND("_",A50)+1)+1)-FIND("_",A50,FIND("_",A50)+1)-2)),"000"),AHUB!$A$2:$A$16,0)),"No match")</f>
        <v/>
      </c>
    </row>
    <row r="51">
      <c r="A51" s="2" t="inlineStr">
        <is>
          <t>CAV_B_S13_050</t>
        </is>
      </c>
      <c r="B51" s="2" t="inlineStr">
        <is>
          <t>entity:QNL_B_104A_PLANT_ROOM</t>
        </is>
      </c>
      <c r="C51" s="2">
        <f>IFERROR(INDEX(AHUB!$A$2:$A$16,MATCH("AHUB"&amp;TEXT(VALUE(MID(A51,FIND("_",A51,FIND("_",A51)+1)+2,FIND("_",A51,FIND("_",A51,FIND("_",A51)+1)+1)-FIND("_",A51,FIND("_",A51)+1)-2)),"000"),AHUB!$A$2:$A$16,0)),"No match")</f>
        <v/>
      </c>
    </row>
    <row r="52">
      <c r="A52" s="2" t="inlineStr">
        <is>
          <t>CAV_B_S14_002</t>
        </is>
      </c>
      <c r="B52" s="2" t="inlineStr">
        <is>
          <t>entity:QNL_B_052_CORRIDOR_3</t>
        </is>
      </c>
      <c r="C52" s="2">
        <f>IFERROR(INDEX(AHUB!$A$2:$A$16,MATCH("AHUB"&amp;TEXT(VALUE(MID(A52,FIND("_",A52,FIND("_",A52)+1)+2,FIND("_",A52,FIND("_",A52,FIND("_",A52)+1)+1)-FIND("_",A52,FIND("_",A52)+1)-2)),"000"),AHUB!$A$2:$A$16,0)),"No match")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pane ySplit="1" topLeftCell="A2" activePane="bottomLeft" state="frozen"/>
      <selection pane="bottomLeft" activeCell="L18" sqref="L18"/>
    </sheetView>
  </sheetViews>
  <sheetFormatPr baseColWidth="8" defaultRowHeight="14.45"/>
  <cols>
    <col width="20" customWidth="1" min="1" max="1"/>
    <col width="65.28515625" bestFit="1" customWidth="1" min="2" max="2"/>
    <col width="23.5703125" bestFit="1" customWidth="1" min="3" max="3"/>
  </cols>
  <sheetData>
    <row r="1">
      <c r="A1" s="1" t="inlineStr">
        <is>
          <t>Equipment</t>
        </is>
      </c>
      <c r="B1" s="1" t="inlineStr">
        <is>
          <t>Room Tag (source Column A)</t>
        </is>
      </c>
      <c r="C1" s="1" t="inlineStr">
        <is>
          <t>Fed By</t>
        </is>
      </c>
    </row>
    <row r="2">
      <c r="A2" s="2" t="inlineStr">
        <is>
          <t>FCU_B_003</t>
        </is>
      </c>
      <c r="B2" s="2" t="inlineStr">
        <is>
          <t>entity:QNL_B_062_IDF_CORRIDOR</t>
        </is>
      </c>
      <c r="C2" s="2" t="inlineStr">
        <is>
          <t>CHILLED WATER LOOP</t>
        </is>
      </c>
    </row>
    <row r="3">
      <c r="A3" s="2" t="inlineStr">
        <is>
          <t>FCU_B_011</t>
        </is>
      </c>
      <c r="B3" s="2" t="inlineStr">
        <is>
          <t>entity:QNL_B_063_PLANT_ROOM_01</t>
        </is>
      </c>
      <c r="C3" s="2" t="inlineStr">
        <is>
          <t>CHILLED WATER LOOP</t>
        </is>
      </c>
    </row>
    <row r="4">
      <c r="A4" s="2" t="inlineStr">
        <is>
          <t>FCU_B_012</t>
        </is>
      </c>
      <c r="B4" s="2" t="inlineStr">
        <is>
          <t>entity:QNL_B_063_PLANT_ROOM_01</t>
        </is>
      </c>
      <c r="C4" s="2" t="inlineStr">
        <is>
          <t>CHILLED WATER LOOP</t>
        </is>
      </c>
    </row>
    <row r="5">
      <c r="A5" s="2" t="inlineStr">
        <is>
          <t>FCU_B_013</t>
        </is>
      </c>
      <c r="B5" s="2" t="inlineStr">
        <is>
          <t>entity:QNL_B_070_PLANT_ROOM_02</t>
        </is>
      </c>
      <c r="C5" s="2" t="inlineStr">
        <is>
          <t>CHILLED WATER LOOP</t>
        </is>
      </c>
    </row>
    <row r="6">
      <c r="A6" s="2" t="inlineStr">
        <is>
          <t>FCU_B_014</t>
        </is>
      </c>
      <c r="B6" s="2" t="inlineStr">
        <is>
          <t>entity:QNL_B_070_PLANT_ROOM_02</t>
        </is>
      </c>
      <c r="C6" s="2" t="inlineStr">
        <is>
          <t>CHILLED WATER LOOP</t>
        </is>
      </c>
    </row>
    <row r="7">
      <c r="A7" s="2" t="inlineStr">
        <is>
          <t>FCU_B_006</t>
        </is>
      </c>
      <c r="B7" s="2" t="inlineStr">
        <is>
          <t>entity:QNL_B_071_FIRE_COMMAND_ROOM</t>
        </is>
      </c>
      <c r="C7" s="2" t="inlineStr">
        <is>
          <t>CHILLED WATER LOOP</t>
        </is>
      </c>
    </row>
    <row r="8">
      <c r="A8" s="2" t="inlineStr">
        <is>
          <t>FCU_B_007</t>
        </is>
      </c>
      <c r="B8" s="2" t="inlineStr">
        <is>
          <t>entity:QNL_B_072_SPRIMKLERS_PUMPS_&amp;_ZONES_VALVES</t>
        </is>
      </c>
      <c r="C8" s="2" t="inlineStr">
        <is>
          <t>CHILLED WATER LOOP</t>
        </is>
      </c>
    </row>
    <row r="9">
      <c r="A9" s="2" t="inlineStr">
        <is>
          <t>FCU_B_002</t>
        </is>
      </c>
      <c r="B9" s="2" t="inlineStr">
        <is>
          <t>entity:QNL_B_085_FUMIGATION_ROOM</t>
        </is>
      </c>
      <c r="C9" s="2" t="inlineStr">
        <is>
          <t>CHILLED WATER LOOP</t>
        </is>
      </c>
    </row>
    <row r="10">
      <c r="A10" s="2" t="inlineStr">
        <is>
          <t>FCU_B_008</t>
        </is>
      </c>
      <c r="B10" s="2" t="inlineStr">
        <is>
          <t>entity:QNL_B_087_GAS_SUPPRESSION_ROOM</t>
        </is>
      </c>
      <c r="C10" s="2" t="inlineStr">
        <is>
          <t>CHILLED WATER LOOP</t>
        </is>
      </c>
    </row>
    <row r="11">
      <c r="A11" s="2" t="inlineStr">
        <is>
          <t>FCU_B_009</t>
        </is>
      </c>
      <c r="B11" s="2" t="inlineStr">
        <is>
          <t>entity:QNL_B_088_PEOPLE_MOVER_PLANT</t>
        </is>
      </c>
      <c r="C11" s="2" t="inlineStr">
        <is>
          <t>CHILLED WATER LOOP</t>
        </is>
      </c>
    </row>
    <row r="12">
      <c r="A12" s="2" t="inlineStr">
        <is>
          <t>FCU_B_015</t>
        </is>
      </c>
      <c r="B12" s="2" t="inlineStr">
        <is>
          <t>entity:QNL_B_110_PLANT_ROOM_03</t>
        </is>
      </c>
      <c r="C12" s="2" t="inlineStr">
        <is>
          <t>CHILLED WATER LOOP</t>
        </is>
      </c>
    </row>
    <row r="13">
      <c r="A13" s="2" t="inlineStr">
        <is>
          <t>FCU_B_016</t>
        </is>
      </c>
      <c r="B13" s="2" t="inlineStr">
        <is>
          <t>entity:QNL_B_110_PLANT_ROOM_03</t>
        </is>
      </c>
      <c r="C13" s="2" t="inlineStr">
        <is>
          <t>CHILLED WATER LOOP</t>
        </is>
      </c>
    </row>
    <row r="14">
      <c r="A14" s="2" t="inlineStr">
        <is>
          <t>FCU_B_017</t>
        </is>
      </c>
      <c r="B14" s="2" t="inlineStr">
        <is>
          <t>entity:QNL_B_110_PLANT_ROOM_03</t>
        </is>
      </c>
      <c r="C14" s="2" t="inlineStr">
        <is>
          <t>CHILLED WATER LOOP</t>
        </is>
      </c>
    </row>
    <row r="15">
      <c r="A15" s="2" t="inlineStr">
        <is>
          <t>FCU_B_027</t>
        </is>
      </c>
      <c r="B15" s="2" t="inlineStr">
        <is>
          <t>entity:QNL_B_121_SORTING_SHELVING_ROOM</t>
        </is>
      </c>
      <c r="C15" s="2" t="inlineStr">
        <is>
          <t>CHILLED WATER LOOP</t>
        </is>
      </c>
    </row>
    <row r="16">
      <c r="A16" s="2" t="inlineStr">
        <is>
          <t>FCU_B_028</t>
        </is>
      </c>
      <c r="B16" s="2" t="inlineStr">
        <is>
          <t>entity:QNL_B_121_SORTING_SHELVING_ROOM</t>
        </is>
      </c>
      <c r="C16" s="2" t="inlineStr">
        <is>
          <t>CHILLED WATER LOOP</t>
        </is>
      </c>
    </row>
    <row r="17">
      <c r="A17" s="2" t="inlineStr">
        <is>
          <t>FCU_B_036</t>
        </is>
      </c>
      <c r="B17" s="2" t="inlineStr">
        <is>
          <t>entity:QNL_B_122_IT_OFFICE</t>
        </is>
      </c>
      <c r="C17" s="2" t="inlineStr">
        <is>
          <t>CHILLED WATER LOOP</t>
        </is>
      </c>
    </row>
    <row r="18">
      <c r="A18" s="2" t="inlineStr">
        <is>
          <t>FCU_B_032</t>
        </is>
      </c>
      <c r="B18" s="2" t="inlineStr">
        <is>
          <t>entity:QNL_B_132_SHELL_SPACE-SPECIAL_COLLECTION</t>
        </is>
      </c>
      <c r="C18" s="2" t="inlineStr">
        <is>
          <t>CHILLED WATER LOOP</t>
        </is>
      </c>
    </row>
    <row r="19">
      <c r="A19" s="2" t="inlineStr">
        <is>
          <t>FCU_B_033</t>
        </is>
      </c>
      <c r="B19" s="2" t="inlineStr">
        <is>
          <t>entity:QNL_B_132_SHELL_SPACE-SPECIAL_COLLECTION</t>
        </is>
      </c>
      <c r="C19" s="2" t="inlineStr">
        <is>
          <t>CHILLED WATER LOOP</t>
        </is>
      </c>
    </row>
    <row r="20">
      <c r="A20" s="2" t="inlineStr">
        <is>
          <t>FCU_B_034</t>
        </is>
      </c>
      <c r="B20" s="2" t="inlineStr">
        <is>
          <t>entity:QNL_B_132_SHELL_SPACE-SPECIAL_COLLECTION</t>
        </is>
      </c>
      <c r="C20" s="2" t="inlineStr">
        <is>
          <t>CHILLED WATER LOOP</t>
        </is>
      </c>
    </row>
    <row r="21">
      <c r="A21" s="2" t="inlineStr">
        <is>
          <t>FCU_B_035</t>
        </is>
      </c>
      <c r="B21" s="2" t="inlineStr">
        <is>
          <t>entity:QNL_B_132_SHELL_SPACE-SPECIAL_COLLECTION</t>
        </is>
      </c>
      <c r="C21" s="2" t="inlineStr">
        <is>
          <t>CHILLED WATER LOOP</t>
        </is>
      </c>
    </row>
    <row r="22">
      <c r="A22" s="2" t="inlineStr">
        <is>
          <t>FCU_B_029</t>
        </is>
      </c>
      <c r="B22" s="2" t="inlineStr">
        <is>
          <t>entity:QNL_B_145_LOBY_&amp;_CSECURITY</t>
        </is>
      </c>
      <c r="C22" s="2" t="inlineStr">
        <is>
          <t>CHILLED WATER LOOP</t>
        </is>
      </c>
    </row>
    <row r="23">
      <c r="A23" s="2" t="inlineStr">
        <is>
          <t>FCU_B_038</t>
        </is>
      </c>
      <c r="B23" s="2" t="inlineStr">
        <is>
          <t>entity:QNL_B_145_LOBY_&amp;_CSECURITY</t>
        </is>
      </c>
      <c r="C23" s="2" t="inlineStr">
        <is>
          <t>CHILLED WATER LOOP</t>
        </is>
      </c>
    </row>
    <row r="24">
      <c r="A24" s="2" t="inlineStr">
        <is>
          <t>FCU_B_001</t>
        </is>
      </c>
      <c r="B24" s="2" t="inlineStr">
        <is>
          <t>entity:QNL_B_155_FACULTY_CARRELS</t>
        </is>
      </c>
      <c r="C24" s="2" t="inlineStr">
        <is>
          <t>CHILLED WATER LOOP</t>
        </is>
      </c>
    </row>
    <row r="25">
      <c r="A25" s="2" t="inlineStr">
        <is>
          <t>FCU_B_022</t>
        </is>
      </c>
      <c r="B25" s="2" t="inlineStr">
        <is>
          <t>entity:QNL_B_210_FM_STORAGE</t>
        </is>
      </c>
      <c r="C25" s="2" t="inlineStr">
        <is>
          <t>CHILLED WATER LOOP</t>
        </is>
      </c>
    </row>
    <row r="26">
      <c r="A26" s="2" t="inlineStr">
        <is>
          <t>FCU_B_023</t>
        </is>
      </c>
      <c r="B26" s="2" t="inlineStr">
        <is>
          <t>entity:QNL_B_210_FM_STORAGE</t>
        </is>
      </c>
      <c r="C26" s="2" t="inlineStr">
        <is>
          <t>CHILLED WATER LOOP</t>
        </is>
      </c>
    </row>
    <row r="27">
      <c r="A27" s="2" t="inlineStr">
        <is>
          <t>FCU_B_024</t>
        </is>
      </c>
      <c r="B27" s="2" t="inlineStr">
        <is>
          <t>entity:QNL_B_211_PH_PLANT_ROOM</t>
        </is>
      </c>
      <c r="C27" s="2" t="inlineStr">
        <is>
          <t>CHILLED WATER LOOP</t>
        </is>
      </c>
    </row>
    <row r="28">
      <c r="A28" s="2" t="inlineStr">
        <is>
          <t>FCU_B_004</t>
        </is>
      </c>
      <c r="B28" s="2" t="inlineStr">
        <is>
          <t>entity:QNL_B_215_IDF_FM_STORAGE</t>
        </is>
      </c>
      <c r="C28" s="2" t="inlineStr">
        <is>
          <t>CHILLED WATER LOOP</t>
        </is>
      </c>
    </row>
    <row r="29">
      <c r="A29" s="2" t="inlineStr">
        <is>
          <t>FCU_B_031</t>
        </is>
      </c>
      <c r="B29" s="2" t="inlineStr">
        <is>
          <t>entity:QNL_B_215A_IDF</t>
        </is>
      </c>
      <c r="C29" s="2" t="inlineStr">
        <is>
          <t>CHILLED WATER LOOP</t>
        </is>
      </c>
    </row>
    <row r="30">
      <c r="A30" s="2" t="inlineStr">
        <is>
          <t>FCU_B_037</t>
        </is>
      </c>
      <c r="B30" s="2" t="inlineStr">
        <is>
          <t>entity:QNL_B_215A_IDF</t>
        </is>
      </c>
      <c r="C30" s="2" t="inlineStr">
        <is>
          <t>CHILLED WATER LOOP</t>
        </is>
      </c>
    </row>
    <row r="31">
      <c r="A31" s="2" t="inlineStr">
        <is>
          <t>FCU_B_018</t>
        </is>
      </c>
      <c r="B31" s="2" t="inlineStr">
        <is>
          <t>entity:QNL_B_220_PLANT_ROOM_04</t>
        </is>
      </c>
      <c r="C31" s="2" t="inlineStr">
        <is>
          <t>CHILLED WATER LOOP</t>
        </is>
      </c>
    </row>
    <row r="32">
      <c r="A32" s="2" t="inlineStr">
        <is>
          <t>FCU_B_019</t>
        </is>
      </c>
      <c r="B32" s="2" t="inlineStr">
        <is>
          <t>entity:QNL_B_220_PLANT_ROOM_04</t>
        </is>
      </c>
      <c r="C32" s="2" t="inlineStr">
        <is>
          <t>CHILLED WATER LOOP</t>
        </is>
      </c>
    </row>
    <row r="33">
      <c r="A33" s="2" t="inlineStr">
        <is>
          <t>FCU_B_020</t>
        </is>
      </c>
      <c r="B33" s="2" t="inlineStr">
        <is>
          <t>entity:QNL_B_220_PLANT_ROOM_04</t>
        </is>
      </c>
      <c r="C33" s="2" t="inlineStr">
        <is>
          <t>CHILLED WATER LOOP</t>
        </is>
      </c>
    </row>
    <row r="34">
      <c r="A34" s="2" t="inlineStr">
        <is>
          <t>FCU_B_021</t>
        </is>
      </c>
      <c r="B34" s="2" t="inlineStr">
        <is>
          <t>entity:QNL_B_220_PLANT_ROOM_04</t>
        </is>
      </c>
      <c r="C34" s="2" t="inlineStr">
        <is>
          <t>CHILLED WATER LOOP</t>
        </is>
      </c>
    </row>
    <row r="35">
      <c r="A35" s="2" t="inlineStr">
        <is>
          <t>FCU_B_030</t>
        </is>
      </c>
      <c r="B35" s="2" t="inlineStr">
        <is>
          <t>entity:QNL_B_226_PUMP_ROOM</t>
        </is>
      </c>
      <c r="C35" s="2" t="inlineStr">
        <is>
          <t>CHILLED WATER LOOP</t>
        </is>
      </c>
    </row>
    <row r="36">
      <c r="A36" s="2" t="inlineStr">
        <is>
          <t>FCU_1F_002</t>
        </is>
      </c>
      <c r="B36" s="2" t="inlineStr">
        <is>
          <t>entity:QNL_L1_030_ICT_ROOM_02</t>
        </is>
      </c>
      <c r="C36" s="2" t="inlineStr">
        <is>
          <t>CHILLED WATER LOOP</t>
        </is>
      </c>
    </row>
    <row r="37">
      <c r="A37" s="2" t="inlineStr">
        <is>
          <t>FCU_1F_003</t>
        </is>
      </c>
      <c r="B37" s="2" t="inlineStr">
        <is>
          <t>entity:QNL_L1_099_IDF_ROOM_02</t>
        </is>
      </c>
      <c r="C37" s="2" t="inlineStr">
        <is>
          <t>CHILLED WATER LOOP</t>
        </is>
      </c>
    </row>
    <row r="38">
      <c r="A38" s="2" t="inlineStr">
        <is>
          <t>FCU_1F_004</t>
        </is>
      </c>
      <c r="B38" s="2" t="inlineStr">
        <is>
          <t>entity:QNL_L1_BR6_BRIDGE_CEILING_VOID</t>
        </is>
      </c>
      <c r="C38" s="2" t="inlineStr">
        <is>
          <t>CHILLED WATER LOOP</t>
        </is>
      </c>
    </row>
    <row r="39">
      <c r="A39" s="2" t="inlineStr">
        <is>
          <t>FCU_1F_005</t>
        </is>
      </c>
      <c r="B39" s="2" t="inlineStr">
        <is>
          <t>entity:QNL_L1_BR6_BRIDGE_CEILING_VOID</t>
        </is>
      </c>
      <c r="C39" s="2" t="inlineStr">
        <is>
          <t>CHILLED WATER LOOP</t>
        </is>
      </c>
    </row>
    <row r="40">
      <c r="A40" s="2" t="inlineStr">
        <is>
          <t>FCU_1F_006</t>
        </is>
      </c>
      <c r="B40" s="2" t="inlineStr">
        <is>
          <t>entity:QNL_L1_BR6_BRIDGE_CEILING_VOID</t>
        </is>
      </c>
      <c r="C40" s="2" t="inlineStr">
        <is>
          <t>CHILLED WATER LOOP</t>
        </is>
      </c>
    </row>
    <row r="41">
      <c r="A41" s="2" t="inlineStr">
        <is>
          <t>FCU_1F_007</t>
        </is>
      </c>
      <c r="B41" s="2" t="inlineStr">
        <is>
          <t>entity:QNL_L1_BR6_BRIDGE_CEILING_VOID</t>
        </is>
      </c>
      <c r="C41" s="2" t="inlineStr">
        <is>
          <t>CHILLED WATER LOOP</t>
        </is>
      </c>
    </row>
    <row r="42">
      <c r="A42" s="2" t="inlineStr">
        <is>
          <t>FCU_1F_008</t>
        </is>
      </c>
      <c r="B42" s="2" t="inlineStr">
        <is>
          <t>entity:QNL_L1_BR6_BRIDGE_CEILING_VOID</t>
        </is>
      </c>
      <c r="C42" s="2" t="inlineStr">
        <is>
          <t>CHILLED WATER LOOP</t>
        </is>
      </c>
    </row>
    <row r="43">
      <c r="A43" s="2" t="inlineStr">
        <is>
          <t>FCU_1F_009</t>
        </is>
      </c>
      <c r="B43" s="2" t="inlineStr">
        <is>
          <t>entity:QNL_L1_BR5_BRIDGE_CEILING_VOID</t>
        </is>
      </c>
      <c r="C43" s="2" t="inlineStr">
        <is>
          <t>CHILLED WATER LOOP</t>
        </is>
      </c>
    </row>
    <row r="44">
      <c r="A44" s="2" t="inlineStr">
        <is>
          <t>FCU_1F_010</t>
        </is>
      </c>
      <c r="B44" s="2" t="inlineStr">
        <is>
          <t>entity:QNL_L1_BR5_BRIDGE_CEILING_VOID</t>
        </is>
      </c>
      <c r="C44" s="2" t="inlineStr">
        <is>
          <t>CHILLED WATER LOOP</t>
        </is>
      </c>
    </row>
    <row r="45">
      <c r="A45" s="2" t="inlineStr">
        <is>
          <t>FCU_1F_011</t>
        </is>
      </c>
      <c r="B45" s="2" t="inlineStr">
        <is>
          <t>entity:QNL_L1_BR5_BRIDGE_CEILING_VOID</t>
        </is>
      </c>
      <c r="C45" s="2" t="inlineStr">
        <is>
          <t>CHILLED WATER LOOP</t>
        </is>
      </c>
    </row>
    <row r="46">
      <c r="A46" s="2" t="inlineStr">
        <is>
          <t>FCU_1F_012</t>
        </is>
      </c>
      <c r="B46" s="2" t="inlineStr">
        <is>
          <t>entity:QNL_L1_BR5_BRIDGE_CEILING_VOID</t>
        </is>
      </c>
      <c r="C46" s="2" t="inlineStr">
        <is>
          <t>CHILLED WATER LOOP</t>
        </is>
      </c>
    </row>
    <row r="47">
      <c r="A47" s="2" t="inlineStr">
        <is>
          <t>FCU_1F_013</t>
        </is>
      </c>
      <c r="B47" s="2" t="inlineStr">
        <is>
          <t>entity:QNL_L1_BR6_BRIDGE_CEILING_VOID</t>
        </is>
      </c>
      <c r="C47" s="2" t="inlineStr">
        <is>
          <t>CHILLED WATER LOOP</t>
        </is>
      </c>
    </row>
    <row r="48">
      <c r="A48" s="2" t="inlineStr">
        <is>
          <t>FCU_1F_014</t>
        </is>
      </c>
      <c r="B48" s="2" t="inlineStr">
        <is>
          <t>entity:QNL_L1_BR4_BRIDGE_CEILING_VOID</t>
        </is>
      </c>
      <c r="C48" s="2" t="inlineStr">
        <is>
          <t>CHILLED WATER LOOP</t>
        </is>
      </c>
    </row>
    <row r="49">
      <c r="A49" s="2" t="inlineStr">
        <is>
          <t>FCU_1F_016</t>
        </is>
      </c>
      <c r="B49" s="2" t="inlineStr">
        <is>
          <t>entity:QNL_L1_BC1_BRIDGE_CEILING</t>
        </is>
      </c>
      <c r="C49" s="2" t="inlineStr">
        <is>
          <t>CHILLED WATER LOOP</t>
        </is>
      </c>
    </row>
    <row r="50">
      <c r="A50" s="2" t="inlineStr">
        <is>
          <t>FCU_1F_017</t>
        </is>
      </c>
      <c r="B50" s="2" t="inlineStr">
        <is>
          <t>entity:QNL_L1_BR4_BRIDGE_CEILING_VOID</t>
        </is>
      </c>
      <c r="C50" s="2" t="inlineStr">
        <is>
          <t>CHILLED WATER LOOP</t>
        </is>
      </c>
    </row>
    <row r="51">
      <c r="A51" s="2" t="inlineStr">
        <is>
          <t>FCU_1F_018</t>
        </is>
      </c>
      <c r="B51" s="2" t="inlineStr">
        <is>
          <t>entity:QNL_L1_BR4_BRIDGE_CEILING_VOID</t>
        </is>
      </c>
      <c r="C51" s="2" t="inlineStr">
        <is>
          <t>CHILLED WATER LOOP</t>
        </is>
      </c>
    </row>
    <row r="52">
      <c r="A52" s="2" t="inlineStr">
        <is>
          <t>FCU_1F_019</t>
        </is>
      </c>
      <c r="B52" s="2" t="inlineStr">
        <is>
          <t>entity:QNL_L1_BR5_BRIDGE_CEILING_VOID</t>
        </is>
      </c>
      <c r="C52" s="2" t="inlineStr">
        <is>
          <t>CHILLED WATER LOOP</t>
        </is>
      </c>
    </row>
    <row r="53">
      <c r="A53" s="2" t="inlineStr">
        <is>
          <t>FCU_1F_020</t>
        </is>
      </c>
      <c r="B53" s="2" t="inlineStr">
        <is>
          <t>entity:QNL_L1_BR3_BRIDGE_CEILING_VOID</t>
        </is>
      </c>
      <c r="C53" s="2" t="inlineStr">
        <is>
          <t>CHILLED WATER LOOP</t>
        </is>
      </c>
    </row>
    <row r="54">
      <c r="A54" s="2" t="inlineStr">
        <is>
          <t>FCU_1F_022</t>
        </is>
      </c>
      <c r="B54" s="2" t="inlineStr">
        <is>
          <t>entity:QNL_L1_BR3_BRIDGE_CEILING_VOID</t>
        </is>
      </c>
      <c r="C54" s="2" t="inlineStr">
        <is>
          <t>CHILLED WATER LOOP</t>
        </is>
      </c>
    </row>
    <row r="55">
      <c r="A55" s="2" t="inlineStr">
        <is>
          <t>FCU_1F_023</t>
        </is>
      </c>
      <c r="B55" s="2" t="inlineStr">
        <is>
          <t>entity:QNL_L1_BR3_BRIDGE_CEILING_VOID</t>
        </is>
      </c>
      <c r="C55" s="2" t="inlineStr">
        <is>
          <t>CHILLED WATER LOOP</t>
        </is>
      </c>
    </row>
    <row r="56">
      <c r="A56" s="2" t="inlineStr">
        <is>
          <t>FCU_1F_024</t>
        </is>
      </c>
      <c r="B56" s="2" t="inlineStr">
        <is>
          <t>entity:QNL_L1_BR3_BRIDGE_CEILING_VOID</t>
        </is>
      </c>
      <c r="C56" s="2" t="inlineStr">
        <is>
          <t>CHILLED WATER LOOP</t>
        </is>
      </c>
    </row>
    <row r="57">
      <c r="A57" s="2" t="inlineStr">
        <is>
          <t>FCU_1F_025</t>
        </is>
      </c>
      <c r="B57" s="2" t="inlineStr">
        <is>
          <t>entity:QNL_L1_BR2_BRIDGE_CEILING_VOID</t>
        </is>
      </c>
      <c r="C57" s="2" t="inlineStr">
        <is>
          <t>CHILLED WATER LOOP</t>
        </is>
      </c>
    </row>
    <row r="58">
      <c r="A58" s="2" t="inlineStr">
        <is>
          <t>FCU_1F_026</t>
        </is>
      </c>
      <c r="B58" s="2" t="inlineStr">
        <is>
          <t>entity:QNL_L1_BR4_BRIDGE_CEILING_VOID</t>
        </is>
      </c>
      <c r="C58" s="2" t="inlineStr">
        <is>
          <t>CHILLED WATER LOOP</t>
        </is>
      </c>
    </row>
    <row r="59">
      <c r="A59" s="2" t="inlineStr">
        <is>
          <t>FCU_1F_028</t>
        </is>
      </c>
      <c r="B59" s="2" t="inlineStr">
        <is>
          <t>entity:QNL_L1_BR4_BRIDGE_CEILING_VOID</t>
        </is>
      </c>
      <c r="C59" s="2" t="inlineStr">
        <is>
          <t>CHILLED WATER LOOP</t>
        </is>
      </c>
    </row>
    <row r="60">
      <c r="A60" s="2" t="inlineStr">
        <is>
          <t>FCU_1F_036</t>
        </is>
      </c>
      <c r="B60" s="2" t="inlineStr">
        <is>
          <t>entity:QNL_L1_BR2_BRIDGE_CEILING_VOID</t>
        </is>
      </c>
      <c r="C60" s="2" t="inlineStr">
        <is>
          <t>CHILLED WATER LOOP</t>
        </is>
      </c>
    </row>
    <row r="61">
      <c r="A61" s="2" t="inlineStr">
        <is>
          <t>FCU_1F_037</t>
        </is>
      </c>
      <c r="B61" s="2" t="inlineStr">
        <is>
          <t>entity:QNL_L1_BR3_BRIDGE_CEILING_VOID</t>
        </is>
      </c>
      <c r="C61" s="2" t="inlineStr">
        <is>
          <t>CHILLED WATER LOOP</t>
        </is>
      </c>
    </row>
    <row r="62">
      <c r="A62" s="2" t="inlineStr">
        <is>
          <t>FCU_1F_039</t>
        </is>
      </c>
      <c r="B62" s="2" t="inlineStr">
        <is>
          <t>entity:QNL_L1_BR4_BRIDGE_CEILING_VOID</t>
        </is>
      </c>
      <c r="C62" s="2" t="inlineStr">
        <is>
          <t>CHILLED WATER LOOP</t>
        </is>
      </c>
    </row>
    <row r="63">
      <c r="A63" s="2" t="inlineStr">
        <is>
          <t>FCU_1F_041</t>
        </is>
      </c>
      <c r="B63" s="2" t="inlineStr">
        <is>
          <t>entity:QNL_L1_BC2_BRIDGE_CEILING</t>
        </is>
      </c>
      <c r="C63" s="2" t="inlineStr">
        <is>
          <t>CHILLED WATER LOOP</t>
        </is>
      </c>
    </row>
    <row r="64">
      <c r="A64" s="2" t="inlineStr">
        <is>
          <t>FCU_1F_042</t>
        </is>
      </c>
      <c r="B64" s="2" t="inlineStr">
        <is>
          <t>entity:QNL_L1_BR5_BRIDGE_CEILING_VOID</t>
        </is>
      </c>
      <c r="C64" s="2" t="inlineStr">
        <is>
          <t>CHILLED WATER LOOP</t>
        </is>
      </c>
    </row>
    <row r="65">
      <c r="A65" s="2" t="inlineStr">
        <is>
          <t>FCU_1F_043</t>
        </is>
      </c>
      <c r="B65" s="2" t="inlineStr">
        <is>
          <t>entity:QNL_L1_BR6_BRIDGE_CEILING_VOID</t>
        </is>
      </c>
      <c r="C65" s="2" t="inlineStr">
        <is>
          <t>CHILLED WATER LOOP</t>
        </is>
      </c>
    </row>
    <row r="66">
      <c r="A66" s="2" t="inlineStr">
        <is>
          <t>FCU_1F_044</t>
        </is>
      </c>
      <c r="B66" s="2" t="inlineStr">
        <is>
          <t>entity:QNL_L1_BR6_BRIDGE_CEILING_VOID</t>
        </is>
      </c>
      <c r="C66" s="2" t="inlineStr">
        <is>
          <t>CHILLED WATER LOOP</t>
        </is>
      </c>
    </row>
    <row r="67">
      <c r="A67" s="2" t="inlineStr">
        <is>
          <t>FCU_1F_046</t>
        </is>
      </c>
      <c r="B67" s="2" t="inlineStr">
        <is>
          <t>entity:QNL_L1_BR6_BRIDGE_CEILING_VOID</t>
        </is>
      </c>
      <c r="C67" s="2" t="inlineStr">
        <is>
          <t>CHILLED WATER LOOP</t>
        </is>
      </c>
    </row>
    <row r="68">
      <c r="A68" s="2" t="inlineStr">
        <is>
          <t>FCU_1F_051</t>
        </is>
      </c>
      <c r="B68" s="2" t="inlineStr">
        <is>
          <t>entity:QNL_L1_BR4_BRIDGE_CEILING_VOID</t>
        </is>
      </c>
      <c r="C68" s="2" t="inlineStr">
        <is>
          <t>CHILLED WATER LOOP</t>
        </is>
      </c>
    </row>
    <row r="69">
      <c r="A69" s="2" t="inlineStr">
        <is>
          <t>FCU_1F_052</t>
        </is>
      </c>
      <c r="B69" s="2" t="inlineStr">
        <is>
          <t>entity:QNL_L1_BR4_BRIDGE_CEILING_VOID</t>
        </is>
      </c>
      <c r="C69" s="2" t="inlineStr">
        <is>
          <t>CHILLED WATER LOOP</t>
        </is>
      </c>
    </row>
    <row r="70">
      <c r="A70" s="2" t="inlineStr">
        <is>
          <t>FCU_1F_053</t>
        </is>
      </c>
      <c r="B70" s="2" t="inlineStr">
        <is>
          <t>entity:QNL_L1_BR5_BRIDGE_CEILING_VOID</t>
        </is>
      </c>
      <c r="C70" s="2" t="inlineStr">
        <is>
          <t>CHILLED WATER LOOP</t>
        </is>
      </c>
    </row>
    <row r="71">
      <c r="A71" s="2" t="inlineStr">
        <is>
          <t>FCU_1F_065</t>
        </is>
      </c>
      <c r="B71" s="2" t="inlineStr">
        <is>
          <t>entity:QNL_L1_BI_BRIDGE_IDF</t>
        </is>
      </c>
      <c r="C71" s="2" t="inlineStr">
        <is>
          <t>CHILLED WATER LOOP</t>
        </is>
      </c>
    </row>
    <row r="72">
      <c r="A72" s="2" t="inlineStr">
        <is>
          <t>FCU_2F_005</t>
        </is>
      </c>
      <c r="B72" s="2" t="inlineStr">
        <is>
          <t>entity:QNL_L2_009_KDF_ROOM</t>
        </is>
      </c>
      <c r="C72" s="2" t="inlineStr">
        <is>
          <t>CHILLED WATER LOOP</t>
        </is>
      </c>
    </row>
    <row r="73">
      <c r="A73" s="2" t="inlineStr">
        <is>
          <t>FCU_2F_048</t>
        </is>
      </c>
      <c r="B73" s="2" t="inlineStr">
        <is>
          <t>entity:QNL_L2_070_INDIVISTUDY_ROOM</t>
        </is>
      </c>
      <c r="C73" s="2" t="inlineStr">
        <is>
          <t>CHILLED WATER LOOP</t>
        </is>
      </c>
    </row>
    <row r="74">
      <c r="A74" s="2" t="inlineStr">
        <is>
          <t>FCU_2F_049</t>
        </is>
      </c>
      <c r="B74" s="2" t="inlineStr">
        <is>
          <t>entity:QNL_L2_070_INDIVISTUDY_ROOM</t>
        </is>
      </c>
      <c r="C74" s="2" t="inlineStr">
        <is>
          <t>CHILLED WATER LOOP</t>
        </is>
      </c>
    </row>
    <row r="75">
      <c r="A75" s="2" t="inlineStr">
        <is>
          <t>FCU_2F_050</t>
        </is>
      </c>
      <c r="B75" s="2" t="inlineStr">
        <is>
          <t>entity:QNL_L2_070_INDIVISTUDY_ROOM</t>
        </is>
      </c>
      <c r="C75" s="2" t="inlineStr">
        <is>
          <t>CHILLED WATER LOOP</t>
        </is>
      </c>
    </row>
    <row r="76">
      <c r="A76" s="2" t="inlineStr">
        <is>
          <t>FCU_2F_051</t>
        </is>
      </c>
      <c r="B76" s="2" t="inlineStr">
        <is>
          <t>entity:QNL_L2_073_INDIVISTUDY_ROOM</t>
        </is>
      </c>
      <c r="C76" s="2" t="inlineStr">
        <is>
          <t>CHILLED WATER LOOP</t>
        </is>
      </c>
    </row>
    <row r="77">
      <c r="A77" s="2" t="inlineStr">
        <is>
          <t>FCU_2F_052</t>
        </is>
      </c>
      <c r="B77" s="2" t="inlineStr">
        <is>
          <t>entity:QNL_L2_073_INDIVISTUDY_ROOM</t>
        </is>
      </c>
      <c r="C77" s="2" t="inlineStr">
        <is>
          <t>CHILLED WATER LOOP</t>
        </is>
      </c>
    </row>
    <row r="78">
      <c r="A78" s="2" t="inlineStr">
        <is>
          <t>FCU_2F_053</t>
        </is>
      </c>
      <c r="B78" s="2" t="inlineStr">
        <is>
          <t>entity:QNL_L2_073_INDIVISTUDY_ROOM</t>
        </is>
      </c>
      <c r="C78" s="2" t="inlineStr">
        <is>
          <t>CHILLED WATER LOOP</t>
        </is>
      </c>
    </row>
    <row r="79">
      <c r="A79" s="2" t="inlineStr">
        <is>
          <t>FCU_2F_046</t>
        </is>
      </c>
      <c r="B79" s="2" t="inlineStr">
        <is>
          <t>entity:QNL_L2_076_GROUP_STUDY_ROOM</t>
        </is>
      </c>
      <c r="C79" s="2" t="inlineStr">
        <is>
          <t>CHILLED WATER LOOP</t>
        </is>
      </c>
    </row>
    <row r="80">
      <c r="A80" s="2" t="inlineStr">
        <is>
          <t>FCU_2F_047</t>
        </is>
      </c>
      <c r="B80" s="2" t="inlineStr">
        <is>
          <t>entity:QNL_L2_076_GROUP_STUDY_ROOM</t>
        </is>
      </c>
      <c r="C80" s="2" t="inlineStr">
        <is>
          <t>CHILLED WATER LOOP</t>
        </is>
      </c>
    </row>
    <row r="81">
      <c r="A81" s="2" t="inlineStr">
        <is>
          <t>FCU_2F_045</t>
        </is>
      </c>
      <c r="B81" s="2" t="inlineStr">
        <is>
          <t>entity:QNL_L2_081_GROUP_STUDY_ROOM</t>
        </is>
      </c>
      <c r="C81" s="2" t="inlineStr">
        <is>
          <t>CHILLED WATER LOOP</t>
        </is>
      </c>
    </row>
    <row r="82">
      <c r="A82" s="2" t="inlineStr">
        <is>
          <t>FCU_2F_034</t>
        </is>
      </c>
      <c r="B82" s="2" t="inlineStr">
        <is>
          <t>entity:QNL_L2_087_AUDITORIUM_HIGH_LEVLEL_IN_CEILING_VOID</t>
        </is>
      </c>
      <c r="C82" s="2" t="inlineStr">
        <is>
          <t>CHILLED WATER LOOP</t>
        </is>
      </c>
    </row>
    <row r="83">
      <c r="A83" s="2" t="inlineStr">
        <is>
          <t>FCU_2F_035</t>
        </is>
      </c>
      <c r="B83" s="2" t="inlineStr">
        <is>
          <t>entity:QNL_L2_087_AUDITORIUM_HIGH_LEVLEL_IN_CEILING_VOID</t>
        </is>
      </c>
      <c r="C83" s="2" t="inlineStr">
        <is>
          <t>CHILLED WATER LOOP</t>
        </is>
      </c>
    </row>
    <row r="84">
      <c r="A84" s="2" t="inlineStr">
        <is>
          <t>FCU_2F_036</t>
        </is>
      </c>
      <c r="B84" s="2" t="inlineStr">
        <is>
          <t>entity:QNL_L2_087_AUDITORIUM_HIGH_LEVLEL_IN_CEILING_VOID</t>
        </is>
      </c>
      <c r="C84" s="2" t="inlineStr">
        <is>
          <t>CHILLED WATER LOOP</t>
        </is>
      </c>
    </row>
    <row r="85">
      <c r="A85" s="2" t="inlineStr">
        <is>
          <t>FCU_2F_037</t>
        </is>
      </c>
      <c r="B85" s="2" t="inlineStr">
        <is>
          <t>entity:QNL_L2_087_AUDITORIUM_HIGH_LEVLEL_IN_CEILING_VOID</t>
        </is>
      </c>
      <c r="C85" s="2" t="inlineStr">
        <is>
          <t>CHILLED WATER LOOP</t>
        </is>
      </c>
    </row>
    <row r="86">
      <c r="A86" s="2" t="inlineStr">
        <is>
          <t>FCU_2F_038</t>
        </is>
      </c>
      <c r="B86" s="2" t="inlineStr">
        <is>
          <t>entity:QNL_L2_087_AUDITORIUM_HIGH_LEVLEL_IN_CEILING_VOID</t>
        </is>
      </c>
      <c r="C86" s="2" t="inlineStr">
        <is>
          <t>CHILLED WATER LOOP</t>
        </is>
      </c>
    </row>
    <row r="87">
      <c r="A87" s="2" t="inlineStr">
        <is>
          <t>FCU_2F_039</t>
        </is>
      </c>
      <c r="B87" s="2" t="inlineStr">
        <is>
          <t>entity:QNL_L2_087_AUDITORIUM_HIGH_LEVLEL_IN_CEILING_VOID</t>
        </is>
      </c>
      <c r="C87" s="2" t="inlineStr">
        <is>
          <t>CHILLED WATER LOOP</t>
        </is>
      </c>
    </row>
    <row r="88">
      <c r="A88" s="2" t="inlineStr">
        <is>
          <t>FCU_2F_040</t>
        </is>
      </c>
      <c r="B88" s="2" t="inlineStr">
        <is>
          <t>entity:QNL_L2_087_AUDITORIUM_HIGH_LEVLEL_IN_CEILING_VOID</t>
        </is>
      </c>
      <c r="C88" s="2" t="inlineStr">
        <is>
          <t>CHILLED WATER LOOP</t>
        </is>
      </c>
    </row>
    <row r="89">
      <c r="A89" s="2" t="inlineStr">
        <is>
          <t>FCU_2F_060</t>
        </is>
      </c>
      <c r="B89" s="2" t="inlineStr">
        <is>
          <t>entity:QNL_T1_020_OPEN_LOUNGE_TERRACE</t>
        </is>
      </c>
      <c r="C89" s="2" t="inlineStr">
        <is>
          <t>CHILLED WATER LOOP</t>
        </is>
      </c>
    </row>
    <row r="90">
      <c r="A90" s="2" t="inlineStr">
        <is>
          <t>FCU_2F_061</t>
        </is>
      </c>
      <c r="B90" s="2" t="inlineStr">
        <is>
          <t>entity:QNL_T1_020_OPEN_LOUNGE_TERRACE</t>
        </is>
      </c>
      <c r="C90" s="2" t="inlineStr">
        <is>
          <t>CHILLED WATER LOOP</t>
        </is>
      </c>
    </row>
    <row r="91">
      <c r="A91" s="2" t="inlineStr">
        <is>
          <t>FCU_2F_062</t>
        </is>
      </c>
      <c r="B91" s="2" t="inlineStr">
        <is>
          <t>entity:QNL_T1_020_OPEN_LOUNGE_TERRACE</t>
        </is>
      </c>
      <c r="C91" s="2" t="inlineStr">
        <is>
          <t>CHILLED WATER LOOP</t>
        </is>
      </c>
    </row>
    <row r="92">
      <c r="A92" s="2" t="inlineStr">
        <is>
          <t>FCU_2F_056</t>
        </is>
      </c>
      <c r="B92" s="2" t="inlineStr">
        <is>
          <t>entity:QNL_T1_021_OPEN_STUDY_TERRACE</t>
        </is>
      </c>
      <c r="C92" s="2" t="inlineStr">
        <is>
          <t>CHILLED WATER LOOP</t>
        </is>
      </c>
    </row>
    <row r="93">
      <c r="A93" s="2" t="inlineStr">
        <is>
          <t>FCU_2F_057</t>
        </is>
      </c>
      <c r="B93" s="2" t="inlineStr">
        <is>
          <t>entity:QNL_T1_021_OPEN_STUDY_TERRACE</t>
        </is>
      </c>
      <c r="C93" s="2" t="inlineStr">
        <is>
          <t>CHILLED WATER LOOP</t>
        </is>
      </c>
    </row>
    <row r="94">
      <c r="A94" s="2" t="inlineStr">
        <is>
          <t>FCU_2F_058</t>
        </is>
      </c>
      <c r="B94" s="2" t="inlineStr">
        <is>
          <t>entity:QNL_T1_021_OPEN_STUDY_TERRACE</t>
        </is>
      </c>
      <c r="C94" s="2" t="inlineStr">
        <is>
          <t>CHILLED WATER LOOP</t>
        </is>
      </c>
    </row>
    <row r="95">
      <c r="A95" s="2" t="inlineStr">
        <is>
          <t>FCU_2F_059</t>
        </is>
      </c>
      <c r="B95" s="2" t="inlineStr">
        <is>
          <t>entity:QNL_T1_021_OPEN_STUDY_TERRACE</t>
        </is>
      </c>
      <c r="C95" s="2" t="inlineStr">
        <is>
          <t>CHILLED WATER LOOP</t>
        </is>
      </c>
    </row>
    <row r="96">
      <c r="A96" s="2" t="inlineStr">
        <is>
          <t>FCU_1F_001</t>
        </is>
      </c>
      <c r="B96" s="2" t="inlineStr">
        <is>
          <t>entity:QNL_T1_323_IDF_ROOM</t>
        </is>
      </c>
      <c r="C96" s="2" t="inlineStr">
        <is>
          <t>CHILLED WATER LOOP</t>
        </is>
      </c>
    </row>
    <row r="97">
      <c r="A97" s="2" t="inlineStr">
        <is>
          <t>FCU_1F_015</t>
        </is>
      </c>
      <c r="B97" s="2" t="inlineStr">
        <is>
          <t>entity:QNL_L1_BR6_BRIDGE_CEILING_VOID</t>
        </is>
      </c>
      <c r="C97" s="2" t="inlineStr">
        <is>
          <t>CHILLED WATER LOOP</t>
        </is>
      </c>
    </row>
    <row r="98">
      <c r="A98" s="2" t="inlineStr">
        <is>
          <t>FCU_1F_021</t>
        </is>
      </c>
      <c r="B98" s="2" t="inlineStr">
        <is>
          <t>entity:QNL_L1_BR5_BRIDGE_CEILING_VOID</t>
        </is>
      </c>
      <c r="C98" s="2" t="inlineStr">
        <is>
          <t>CHILLED WATER LOOP</t>
        </is>
      </c>
    </row>
    <row r="99">
      <c r="A99" s="2" t="inlineStr">
        <is>
          <t>FCU_1F_038</t>
        </is>
      </c>
      <c r="B99" s="2" t="inlineStr">
        <is>
          <t>entity:QNL_L1_BR3_BRIDGE_CEILING_VOID</t>
        </is>
      </c>
      <c r="C99" s="2" t="inlineStr">
        <is>
          <t>CHILLED WATER LOOP</t>
        </is>
      </c>
    </row>
    <row r="100">
      <c r="A100" s="2" t="inlineStr">
        <is>
          <t>FCU_1F_040</t>
        </is>
      </c>
      <c r="B100" s="2" t="inlineStr">
        <is>
          <t>entity:QNL_L1_BR4_BRIDGE_CEILING_VOID</t>
        </is>
      </c>
      <c r="C100" s="2" t="inlineStr">
        <is>
          <t>CHILLED WATER LOOP</t>
        </is>
      </c>
    </row>
    <row r="101">
      <c r="A101" s="2" t="inlineStr">
        <is>
          <t>FCU_1F_045</t>
        </is>
      </c>
      <c r="B101" s="2" t="inlineStr">
        <is>
          <t>entity:QNL_L1_BR6_BRIDGE_CEILING_VOID</t>
        </is>
      </c>
      <c r="C101" s="2" t="inlineStr">
        <is>
          <t>CHILLED WATER LOOP</t>
        </is>
      </c>
    </row>
    <row r="102">
      <c r="A102" s="2" t="inlineStr">
        <is>
          <t>FCU_1F_054</t>
        </is>
      </c>
      <c r="B102" s="2" t="inlineStr">
        <is>
          <t>entity:QNL_L1_BR5_BRIDGE_CEILING_VOID</t>
        </is>
      </c>
      <c r="C102" s="2" t="inlineStr">
        <is>
          <t>CHILLED WATER LOOP</t>
        </is>
      </c>
    </row>
    <row r="103">
      <c r="A103" s="2" t="inlineStr">
        <is>
          <t>FCU_1F_027</t>
        </is>
      </c>
      <c r="B103" s="2" t="inlineStr">
        <is>
          <t>entity:QNL_L1_BR2_BRIDGE_CEILING_VOID</t>
        </is>
      </c>
      <c r="C103" s="2" t="inlineStr">
        <is>
          <t>CHILLED WATER LOOP</t>
        </is>
      </c>
    </row>
    <row r="104">
      <c r="A104" s="2" t="inlineStr">
        <is>
          <t>FCU_1F_029</t>
        </is>
      </c>
      <c r="B104" s="2" t="inlineStr">
        <is>
          <t>entity:QNL_L1_BR2_BRIDGE_CEILING_VOID</t>
        </is>
      </c>
      <c r="C104" s="2" t="inlineStr">
        <is>
          <t>CHILLED WATER LOOP</t>
        </is>
      </c>
    </row>
    <row r="105">
      <c r="A105" s="2" t="inlineStr">
        <is>
          <t>FCU_1F_030</t>
        </is>
      </c>
      <c r="B105" s="2" t="inlineStr">
        <is>
          <t>entity:QNL_L1_BR2_BRIDGE_CEILING_VOID</t>
        </is>
      </c>
      <c r="C105" s="2" t="inlineStr">
        <is>
          <t>CHILLED WATER LOOP</t>
        </is>
      </c>
    </row>
    <row r="106">
      <c r="A106" s="2" t="inlineStr">
        <is>
          <t>FCU_1F_031</t>
        </is>
      </c>
      <c r="B106" s="2" t="inlineStr">
        <is>
          <t>entity:QNL_L1_BR1_BRIDGE_CEILING_VOID</t>
        </is>
      </c>
      <c r="C106" s="2" t="inlineStr">
        <is>
          <t>CHILLED WATER LOOP</t>
        </is>
      </c>
    </row>
    <row r="107">
      <c r="A107" s="2" t="inlineStr">
        <is>
          <t>FCU_1F_032</t>
        </is>
      </c>
      <c r="B107" s="2" t="inlineStr">
        <is>
          <t>entity:QNL_L1_BR1_BRIDGE_CEILING_VOID</t>
        </is>
      </c>
      <c r="C107" s="2" t="inlineStr">
        <is>
          <t>CHILLED WATER LOOP</t>
        </is>
      </c>
    </row>
    <row r="108">
      <c r="A108" s="2" t="inlineStr">
        <is>
          <t>FCU_1F_033</t>
        </is>
      </c>
      <c r="B108" s="2" t="inlineStr">
        <is>
          <t>entity:QNL_L1_BR1_BRIDGE_CEILING_VOID</t>
        </is>
      </c>
      <c r="C108" s="2" t="inlineStr">
        <is>
          <t>CHILLED WATER LOOP</t>
        </is>
      </c>
    </row>
    <row r="109">
      <c r="A109" s="2" t="inlineStr">
        <is>
          <t>FCU_1F_034</t>
        </is>
      </c>
      <c r="B109" s="2" t="inlineStr">
        <is>
          <t>entity:QNL_L1_BR1_BRIDGE_CEILING_VOID</t>
        </is>
      </c>
      <c r="C109" s="2" t="inlineStr">
        <is>
          <t>CHILLED WATER LOOP</t>
        </is>
      </c>
    </row>
    <row r="110">
      <c r="A110" s="2" t="inlineStr">
        <is>
          <t>FCU_1F_035</t>
        </is>
      </c>
      <c r="B110" s="2" t="inlineStr">
        <is>
          <t>entity:QNL_L1_BR2_BRIDGE_CEILING_VOID</t>
        </is>
      </c>
      <c r="C110" s="2" t="inlineStr">
        <is>
          <t>CHILLED WATER LOOP</t>
        </is>
      </c>
    </row>
    <row r="111">
      <c r="A111" s="2" t="inlineStr">
        <is>
          <t>FCU_1F_047</t>
        </is>
      </c>
      <c r="B111" s="2" t="inlineStr">
        <is>
          <t>entity:QNL_L1_BR1_BRIDGE_CEILING_VOID</t>
        </is>
      </c>
      <c r="C111" s="2" t="inlineStr">
        <is>
          <t>CHILLED WATER LOOP</t>
        </is>
      </c>
    </row>
    <row r="112">
      <c r="A112" s="2" t="inlineStr">
        <is>
          <t>FCU_1F_048</t>
        </is>
      </c>
      <c r="B112" s="2" t="inlineStr">
        <is>
          <t>entity:QNL_L1_BR1_BRIDGE_CEILING_VOID</t>
        </is>
      </c>
      <c r="C112" s="2" t="inlineStr">
        <is>
          <t>CHILLED WATER LOOP</t>
        </is>
      </c>
    </row>
    <row r="113">
      <c r="A113" s="2" t="inlineStr">
        <is>
          <t>FCU_1F_049</t>
        </is>
      </c>
      <c r="B113" s="2" t="inlineStr">
        <is>
          <t>entity:QNL_L1_BR2_BRIDGE_CEILING_VOID</t>
        </is>
      </c>
      <c r="C113" s="2" t="inlineStr">
        <is>
          <t>CHILLED WATER LOOP</t>
        </is>
      </c>
    </row>
    <row r="114">
      <c r="A114" s="2" t="inlineStr">
        <is>
          <t>FCU_1F_050</t>
        </is>
      </c>
      <c r="B114" s="2" t="inlineStr">
        <is>
          <t>entity:QNL_L1_BR2_BRIDGE_CEILING_VOID</t>
        </is>
      </c>
      <c r="C114" s="2" t="inlineStr">
        <is>
          <t>CHILLED WATER LOOP</t>
        </is>
      </c>
    </row>
    <row r="115">
      <c r="A115" s="2" t="inlineStr">
        <is>
          <t>FCU_1F_057</t>
        </is>
      </c>
      <c r="B115" s="2" t="inlineStr">
        <is>
          <t>entity:QNL_L1_144_ILL_DIRECTOR</t>
        </is>
      </c>
      <c r="C115" s="2" t="inlineStr">
        <is>
          <t>CHILLED WATER LOOP</t>
        </is>
      </c>
    </row>
    <row r="116">
      <c r="A116" s="2" t="inlineStr">
        <is>
          <t>FCU_1F_058</t>
        </is>
      </c>
      <c r="B116" s="2" t="inlineStr">
        <is>
          <t>entity:QNL_L1_144_ILL_DIRECTOR</t>
        </is>
      </c>
      <c r="C116" s="2" t="inlineStr">
        <is>
          <t>CHILLED WATER LOOP</t>
        </is>
      </c>
    </row>
    <row r="117">
      <c r="A117" s="2" t="inlineStr">
        <is>
          <t>FCU_1F_059</t>
        </is>
      </c>
      <c r="B117" s="2" t="inlineStr">
        <is>
          <t>entity:QNL_L1_150_RESTAURANT</t>
        </is>
      </c>
      <c r="C117" s="2" t="inlineStr">
        <is>
          <t>CHILLED WATER LOOP</t>
        </is>
      </c>
    </row>
    <row r="118">
      <c r="A118" s="2" t="inlineStr">
        <is>
          <t>FCU_1F_060</t>
        </is>
      </c>
      <c r="B118" s="2" t="inlineStr">
        <is>
          <t>entity:QNL_L1_150_RESTAURANT</t>
        </is>
      </c>
      <c r="C118" s="2" t="inlineStr">
        <is>
          <t>CHILLED WATER LOOP</t>
        </is>
      </c>
    </row>
    <row r="119">
      <c r="A119" s="2" t="inlineStr">
        <is>
          <t>FCU_1F_061</t>
        </is>
      </c>
      <c r="B119" s="2" t="inlineStr">
        <is>
          <t>entity:QNL_L1_150_RESTAURANT</t>
        </is>
      </c>
      <c r="C119" s="2" t="inlineStr">
        <is>
          <t>CHILLED WATER LOOP</t>
        </is>
      </c>
    </row>
    <row r="120">
      <c r="A120" s="2" t="inlineStr">
        <is>
          <t>FCU_1F_062</t>
        </is>
      </c>
      <c r="B120" s="2" t="inlineStr">
        <is>
          <t>entity:QNL_L1_150_RESTAURANT</t>
        </is>
      </c>
      <c r="C120" s="2" t="inlineStr">
        <is>
          <t>CHILLED WATER LOOP</t>
        </is>
      </c>
    </row>
    <row r="121">
      <c r="A121" s="2" t="inlineStr">
        <is>
          <t>FCU_1F_063</t>
        </is>
      </c>
      <c r="B121" s="2" t="inlineStr">
        <is>
          <t>entity:QNL_L1_150_RESTAURANT</t>
        </is>
      </c>
      <c r="C121" s="2" t="inlineStr">
        <is>
          <t>CHILLED WATER LOOP</t>
        </is>
      </c>
    </row>
    <row r="122">
      <c r="A122" s="2" t="inlineStr">
        <is>
          <t>FCU_1F_064</t>
        </is>
      </c>
      <c r="B122" s="2" t="inlineStr">
        <is>
          <t>entity:QNL_L1_150_RESTAURANT</t>
        </is>
      </c>
      <c r="C122" s="2" t="inlineStr">
        <is>
          <t>CHILLED WATER LOOP</t>
        </is>
      </c>
    </row>
    <row r="123">
      <c r="A123" s="2" t="inlineStr">
        <is>
          <t>FCU_2F_001</t>
        </is>
      </c>
      <c r="B123" s="2" t="inlineStr">
        <is>
          <t>entity:QNL_T1_275_IDF_ROOM</t>
        </is>
      </c>
      <c r="C123" s="2" t="inlineStr">
        <is>
          <t>CHILLED WATER LOOP</t>
        </is>
      </c>
    </row>
    <row r="124">
      <c r="A124" s="2" t="inlineStr">
        <is>
          <t>FCU_2F_002</t>
        </is>
      </c>
      <c r="B124" s="2" t="inlineStr">
        <is>
          <t>entity:QNL_T1_276_IDF_ROOM</t>
        </is>
      </c>
      <c r="C124" s="2" t="inlineStr">
        <is>
          <t>CHILLED WATER LOOP</t>
        </is>
      </c>
    </row>
    <row r="125">
      <c r="A125" s="2" t="inlineStr">
        <is>
          <t>FCU_2F_003</t>
        </is>
      </c>
      <c r="B125" s="2" t="inlineStr">
        <is>
          <t>entity:QNL_T1_171_IDF_ROOM</t>
        </is>
      </c>
      <c r="C125" s="2" t="inlineStr">
        <is>
          <t>CHILLED WATER LOOP</t>
        </is>
      </c>
    </row>
    <row r="126">
      <c r="A126" s="2" t="inlineStr">
        <is>
          <t>FCU_2F_004</t>
        </is>
      </c>
      <c r="B126" s="2" t="inlineStr">
        <is>
          <t>entity:QNL_T1_1714_IDF_ROOM</t>
        </is>
      </c>
      <c r="C126" s="2" t="inlineStr">
        <is>
          <t>CHILLED WATER LOOP</t>
        </is>
      </c>
    </row>
    <row r="127">
      <c r="A127" s="2" t="inlineStr">
        <is>
          <t>FCU_2F_041</t>
        </is>
      </c>
      <c r="B127" s="2" t="inlineStr">
        <is>
          <t>entity:QNL_L2_088_BRIDGE_RAISED_FLOOR</t>
        </is>
      </c>
      <c r="C127" s="2" t="inlineStr">
        <is>
          <t>CHILLED WATER LOOP</t>
        </is>
      </c>
    </row>
    <row r="128">
      <c r="A128" s="2" t="inlineStr">
        <is>
          <t>FCU_2F_042</t>
        </is>
      </c>
      <c r="B128" s="2" t="inlineStr">
        <is>
          <t>entity:QNL_L2_088_BRIDGE_RAISED_FLOOR</t>
        </is>
      </c>
      <c r="C128" s="2" t="inlineStr">
        <is>
          <t>CHILLED WATER LOOP</t>
        </is>
      </c>
    </row>
    <row r="129">
      <c r="A129" s="2" t="inlineStr">
        <is>
          <t>FCU_2F_043</t>
        </is>
      </c>
      <c r="B129" s="2" t="inlineStr">
        <is>
          <t>entity:QNL_L2_088_BRIDGE_RAISED_FLOOR</t>
        </is>
      </c>
      <c r="C129" s="2" t="inlineStr">
        <is>
          <t>CHILLED WATER LOOP</t>
        </is>
      </c>
    </row>
    <row r="130">
      <c r="A130" s="2" t="inlineStr">
        <is>
          <t>FCU_2F_044</t>
        </is>
      </c>
      <c r="B130" s="2" t="inlineStr">
        <is>
          <t>entity:QNL_L2_088_BRIDGE_RAISED_FLOOR</t>
        </is>
      </c>
      <c r="C130" s="2" t="inlineStr">
        <is>
          <t>CHILLED WATER LOOP</t>
        </is>
      </c>
    </row>
    <row r="131">
      <c r="A131" s="2" t="inlineStr">
        <is>
          <t>FCU_2F_054</t>
        </is>
      </c>
      <c r="B131" s="2" t="inlineStr">
        <is>
          <t>entity:QNL_L2_088_BRIDGE_RAISED_FLOOR</t>
        </is>
      </c>
      <c r="C131" s="2" t="inlineStr">
        <is>
          <t>CHILLED WATER LOOP</t>
        </is>
      </c>
    </row>
    <row r="132">
      <c r="A132" s="2" t="inlineStr">
        <is>
          <t>FCU_2F_055</t>
        </is>
      </c>
      <c r="B132" s="2" t="inlineStr">
        <is>
          <t>entity:QNL_L2_088_BRIDGE_RAISED_FLOOR</t>
        </is>
      </c>
      <c r="C132" s="2" t="inlineStr">
        <is>
          <t>CHILLED WATER LOOP</t>
        </is>
      </c>
    </row>
    <row r="133">
      <c r="A133" s="2" t="inlineStr">
        <is>
          <t>FCU_B_005</t>
        </is>
      </c>
      <c r="B133" s="2" t="inlineStr">
        <is>
          <t>entity:QNL_B_140_HL_PLANT_ROOM</t>
        </is>
      </c>
      <c r="C133" s="2" t="inlineStr">
        <is>
          <t>CHILLED WATER LOOP</t>
        </is>
      </c>
    </row>
    <row r="134">
      <c r="A134" s="2" t="inlineStr">
        <is>
          <t>FCU_B_010</t>
        </is>
      </c>
      <c r="B134" s="2" t="inlineStr">
        <is>
          <t>entity:QNL_B_105_SECURITY_CONTOL_ROOM</t>
        </is>
      </c>
      <c r="C134" s="2" t="inlineStr">
        <is>
          <t>CHILLED WATER LOOP</t>
        </is>
      </c>
    </row>
    <row r="135">
      <c r="A135" s="2" t="inlineStr">
        <is>
          <t>FCU_B_025</t>
        </is>
      </c>
      <c r="B135" s="2" t="inlineStr">
        <is>
          <t>entity:QNL_B_212_MISTING_PUMP_ROOM</t>
        </is>
      </c>
      <c r="C135" s="2" t="inlineStr">
        <is>
          <t>CHILLED WATER LOOP</t>
        </is>
      </c>
    </row>
    <row r="136">
      <c r="A136" s="2" t="inlineStr">
        <is>
          <t>FCU_B_026</t>
        </is>
      </c>
      <c r="B136" s="2" t="inlineStr">
        <is>
          <t>entity:QNL_B_212_MISTING_PUMP_ROOM</t>
        </is>
      </c>
      <c r="C136" s="2" t="inlineStr">
        <is>
          <t>CHILLED WATER LOOP</t>
        </is>
      </c>
    </row>
    <row r="137">
      <c r="A137" s="2" t="inlineStr">
        <is>
          <t>FCU_1F_055</t>
        </is>
      </c>
      <c r="B137" s="2" t="inlineStr">
        <is>
          <t>entity:QNL_L1_990_VESTIBULE</t>
        </is>
      </c>
      <c r="C137" s="2" t="inlineStr">
        <is>
          <t>CHILLED WATER LOOP</t>
        </is>
      </c>
    </row>
    <row r="138">
      <c r="A138" s="2" t="inlineStr">
        <is>
          <t>FCU_1F_056</t>
        </is>
      </c>
      <c r="B138" s="2" t="inlineStr">
        <is>
          <t>entity:QNL_L1_991_EXTERNAL_BOOK_DROP</t>
        </is>
      </c>
      <c r="C138" s="2" t="inlineStr">
        <is>
          <t>CHILLED WATER LOOP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0" customWidth="1" min="3" max="3"/>
  </cols>
  <sheetData>
    <row r="1">
      <c r="A1" s="6" t="inlineStr">
        <is>
          <t>Equipment</t>
        </is>
      </c>
      <c r="B1" s="6" t="inlineStr">
        <is>
          <t>Room Tag</t>
        </is>
      </c>
      <c r="C1" s="6" t="inlineStr">
        <is>
          <t>Feeds</t>
        </is>
      </c>
    </row>
    <row r="2">
      <c r="A2" s="7" t="inlineStr">
        <is>
          <t>DX_B11</t>
        </is>
      </c>
      <c r="B2" s="7" t="inlineStr">
        <is>
          <t>entity:QNL_B046_ITT_ITTIGATION_CONTROL_ROOM</t>
        </is>
      </c>
      <c r="C2" s="7" t="inlineStr">
        <is>
          <t>entity:QNL_B046_ITT_ITTIGATION_CONTROL_ROOM</t>
        </is>
      </c>
    </row>
    <row r="3">
      <c r="A3" s="7" t="inlineStr">
        <is>
          <t>DX_B01</t>
        </is>
      </c>
      <c r="B3" s="7" t="inlineStr">
        <is>
          <t>entity:QNL_B_081_MV_ROOM</t>
        </is>
      </c>
      <c r="C3" s="7" t="inlineStr">
        <is>
          <t>entity:QNL_B_081_MV_ROOM</t>
        </is>
      </c>
    </row>
    <row r="4">
      <c r="A4" s="7" t="inlineStr">
        <is>
          <t>DX_B02</t>
        </is>
      </c>
      <c r="B4" s="7" t="inlineStr">
        <is>
          <t>entity:QNL_B_081_MV_ROOM</t>
        </is>
      </c>
      <c r="C4" s="7" t="inlineStr">
        <is>
          <t>entity:QNL_B_081_MV_ROOM</t>
        </is>
      </c>
    </row>
    <row r="5">
      <c r="A5" s="7" t="inlineStr">
        <is>
          <t>DX_B03</t>
        </is>
      </c>
      <c r="B5" s="7" t="inlineStr">
        <is>
          <t>entity:QNL_B_082_TRANSFORMER_ROOM</t>
        </is>
      </c>
      <c r="C5" s="7" t="inlineStr">
        <is>
          <t>entity:QNL_B_082_TRANSFORMER_ROOM</t>
        </is>
      </c>
    </row>
    <row r="6">
      <c r="A6" s="7" t="inlineStr">
        <is>
          <t>DX_B04</t>
        </is>
      </c>
      <c r="B6" s="7" t="inlineStr">
        <is>
          <t>entity:QNL_B_082_TRANSFORMER_ROOM</t>
        </is>
      </c>
      <c r="C6" s="7" t="inlineStr">
        <is>
          <t>entity:QNL_B_082_TRANSFORMER_ROOM</t>
        </is>
      </c>
    </row>
    <row r="7">
      <c r="A7" s="7" t="inlineStr">
        <is>
          <t>DX_B14</t>
        </is>
      </c>
      <c r="B7" s="7" t="inlineStr">
        <is>
          <t>entity:QNL_B_082_TRANSFORMER_ROOM</t>
        </is>
      </c>
      <c r="C7" s="7" t="inlineStr">
        <is>
          <t>entity:QNL_B_082_TRANSFORMER_ROOM</t>
        </is>
      </c>
    </row>
    <row r="8">
      <c r="A8" s="7" t="inlineStr">
        <is>
          <t>DX_B08</t>
        </is>
      </c>
      <c r="B8" s="7" t="inlineStr">
        <is>
          <t>entity:QNL_B_084_UPS_BATTERY_ROOM</t>
        </is>
      </c>
      <c r="C8" s="7" t="inlineStr">
        <is>
          <t>entity:QNL_B_084_UPS_BATTERY_ROOM</t>
        </is>
      </c>
    </row>
    <row r="9">
      <c r="A9" s="7" t="inlineStr">
        <is>
          <t>DX_B09</t>
        </is>
      </c>
      <c r="B9" s="7" t="inlineStr">
        <is>
          <t>entity:QNL_B_084_UPS_BATTERY_ROOM</t>
        </is>
      </c>
      <c r="C9" s="7" t="inlineStr">
        <is>
          <t>entity:QNL_B_084_UPS_BATTERY_ROOM</t>
        </is>
      </c>
    </row>
    <row r="10">
      <c r="A10" s="7" t="inlineStr">
        <is>
          <t>DX_B20</t>
        </is>
      </c>
      <c r="B10" s="7" t="inlineStr">
        <is>
          <t>entity:QNL_B_092_STORAGE</t>
        </is>
      </c>
      <c r="C10" s="7" t="inlineStr">
        <is>
          <t>entity:QNL_B_092_STORAGE</t>
        </is>
      </c>
    </row>
    <row r="11">
      <c r="A11" s="7" t="inlineStr">
        <is>
          <t>DX_B13</t>
        </is>
      </c>
      <c r="B11" s="7" t="inlineStr">
        <is>
          <t>entity:QNL_B_093_TRANSH_CHAMBER</t>
        </is>
      </c>
      <c r="C11" s="7" t="inlineStr">
        <is>
          <t>entity:QNL_B_093_TRANSH_CHAMBER</t>
        </is>
      </c>
    </row>
    <row r="12">
      <c r="A12" s="7" t="inlineStr">
        <is>
          <t>DX_B15</t>
        </is>
      </c>
      <c r="B12" s="7" t="inlineStr">
        <is>
          <t>entity:QNL_B_093_TRANSH_CHAMBER</t>
        </is>
      </c>
      <c r="C12" s="7" t="inlineStr">
        <is>
          <t>entity:QNL_B_093_TRANSH_CHAMBER</t>
        </is>
      </c>
    </row>
    <row r="13">
      <c r="A13" s="7" t="inlineStr">
        <is>
          <t>DX_B07</t>
        </is>
      </c>
      <c r="B13" s="7" t="inlineStr">
        <is>
          <t>entity:QNL_B_095_EMERGENCY_LIGHTING_BATTERY_ROOM</t>
        </is>
      </c>
      <c r="C13" s="7" t="inlineStr">
        <is>
          <t>entity:QNL_B_095_EMERGENCY_LIGHTING_BATTERY_ROOM</t>
        </is>
      </c>
    </row>
    <row r="14">
      <c r="A14" s="7" t="inlineStr">
        <is>
          <t>DX_B16</t>
        </is>
      </c>
      <c r="B14" s="7" t="inlineStr">
        <is>
          <t>entity:QNL_B_095_EMERGENCY_LIGHTING_BATTERY_ROOM</t>
        </is>
      </c>
      <c r="C14" s="7" t="inlineStr">
        <is>
          <t>entity:QNL_B_095_EMERGENCY_LIGHTING_BATTERY_ROOM</t>
        </is>
      </c>
    </row>
    <row r="15">
      <c r="A15" s="7" t="inlineStr">
        <is>
          <t>DX_B10</t>
        </is>
      </c>
      <c r="B15" s="7" t="inlineStr">
        <is>
          <t>entity:QNL_B_102_SECURITY_&amp;_BMS</t>
        </is>
      </c>
      <c r="C15" s="7" t="inlineStr">
        <is>
          <t>entity:QNL_B_102_SECURITY_&amp;_BMS</t>
        </is>
      </c>
    </row>
    <row r="16">
      <c r="A16" s="7" t="inlineStr">
        <is>
          <t>DX_B22</t>
        </is>
      </c>
      <c r="B16" s="7" t="inlineStr">
        <is>
          <t>entity:QNL_B106_RES_REST_ROOM_SECURITY</t>
        </is>
      </c>
      <c r="C16" s="7" t="inlineStr">
        <is>
          <t>entity:QNL_B106_RES_REST_ROOM_SECURITY</t>
        </is>
      </c>
    </row>
    <row r="17">
      <c r="A17" s="7" t="inlineStr">
        <is>
          <t>DX_B12</t>
        </is>
      </c>
      <c r="B17" s="7" t="inlineStr">
        <is>
          <t>entity:QNL_B_107_SECURITY_EQUIPMENT_ROOM</t>
        </is>
      </c>
      <c r="C17" s="7" t="inlineStr">
        <is>
          <t>entity:QNL_B_107_SECURITY_EQUIPMENT_ROOM</t>
        </is>
      </c>
    </row>
    <row r="18">
      <c r="A18" s="7" t="inlineStr">
        <is>
          <t>DX_B23</t>
        </is>
      </c>
      <c r="B18" s="7" t="inlineStr">
        <is>
          <t>entity:QNL_B_107_SECURITY_EQUIPMENT_ROOM</t>
        </is>
      </c>
      <c r="C18" s="7" t="inlineStr">
        <is>
          <t>entity:QNL_B_107_SECURITY_EQUIPMENT_ROOM</t>
        </is>
      </c>
    </row>
    <row r="19">
      <c r="A19" s="7" t="inlineStr">
        <is>
          <t>DX_B05</t>
        </is>
      </c>
      <c r="B19" s="7" t="inlineStr">
        <is>
          <t>entity:QNL_B_083_HV_ROOM</t>
        </is>
      </c>
      <c r="C19" s="7" t="inlineStr">
        <is>
          <t>entity:QNL_B_083_HV_ROOM</t>
        </is>
      </c>
    </row>
    <row r="20">
      <c r="A20" s="7" t="inlineStr">
        <is>
          <t>DX_B06</t>
        </is>
      </c>
      <c r="B20" s="7" t="inlineStr">
        <is>
          <t>entity:QNL_B_083_HV_ROOM</t>
        </is>
      </c>
      <c r="C20" s="7" t="inlineStr">
        <is>
          <t>entity:QNL_B_083_HV_ROOM</t>
        </is>
      </c>
    </row>
    <row r="21">
      <c r="A21" s="7" t="inlineStr">
        <is>
          <t>DX_B17</t>
        </is>
      </c>
      <c r="B21" s="7" t="inlineStr">
        <is>
          <t>entity:QNL_B_045A_REFRIGERATE_STORE</t>
        </is>
      </c>
      <c r="C21" s="7" t="inlineStr">
        <is>
          <t>entity:QNL_B_045A_REFRIGERATE_STORE</t>
        </is>
      </c>
    </row>
    <row r="22">
      <c r="A22" s="7" t="inlineStr">
        <is>
          <t>DX_B18</t>
        </is>
      </c>
      <c r="B22" s="7" t="inlineStr">
        <is>
          <t>entity:QNL_B_045A_REFRIGERATE_STORE</t>
        </is>
      </c>
      <c r="C22" s="7" t="inlineStr">
        <is>
          <t>entity:QNL_B_045A_REFRIGERATE_STORE</t>
        </is>
      </c>
    </row>
    <row r="23">
      <c r="A23" s="7" t="inlineStr">
        <is>
          <t>DX_B19</t>
        </is>
      </c>
      <c r="B23" s="7" t="inlineStr">
        <is>
          <t>entity:QNL_B_045A_REFRIGERATE_STORE</t>
        </is>
      </c>
      <c r="C23" s="7" t="inlineStr">
        <is>
          <t>entity:QNL_B_045A_REFRIGERATE_STORE</t>
        </is>
      </c>
    </row>
    <row r="24">
      <c r="A24" s="7" t="inlineStr">
        <is>
          <t>DX_B21</t>
        </is>
      </c>
      <c r="B24" s="7" t="inlineStr">
        <is>
          <t>entity:QNL_P_004_PLANT_ZONE</t>
        </is>
      </c>
      <c r="C24" s="7" t="inlineStr">
        <is>
          <t>entity:QNL_P_004_PLANT_ZONE</t>
        </is>
      </c>
    </row>
    <row r="25">
      <c r="A25" s="7" t="inlineStr">
        <is>
          <t>DX_B24</t>
        </is>
      </c>
      <c r="B25" s="7" t="inlineStr">
        <is>
          <t>entity:QNL_P_004_PLANT_ZONE</t>
        </is>
      </c>
      <c r="C25" s="7" t="inlineStr">
        <is>
          <t>entity:QNL_P_004_PLANT_ZONE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0" customWidth="1" min="3" max="3"/>
  </cols>
  <sheetData>
    <row r="1">
      <c r="A1" s="6" t="inlineStr">
        <is>
          <t>Equipment</t>
        </is>
      </c>
      <c r="B1" s="6" t="inlineStr">
        <is>
          <t>Room Tag</t>
        </is>
      </c>
      <c r="C1" s="6" t="inlineStr">
        <is>
          <t>Feeds</t>
        </is>
      </c>
    </row>
    <row r="2">
      <c r="A2" s="7" t="inlineStr">
        <is>
          <t>EF_BBV01</t>
        </is>
      </c>
      <c r="B2" s="7" t="inlineStr">
        <is>
          <t>entity:QNL_B_070_PLANT_ROOM_02</t>
        </is>
      </c>
      <c r="C2" s="7" t="inlineStr">
        <is>
          <t>UPS BATERRY ROOM B.084</t>
        </is>
      </c>
    </row>
    <row r="3">
      <c r="A3" s="7" t="inlineStr">
        <is>
          <t>EF_BBV02</t>
        </is>
      </c>
      <c r="B3" s="7" t="inlineStr">
        <is>
          <t>entity:QNL_B_070_PLANT_ROOM_02</t>
        </is>
      </c>
      <c r="C3" s="7" t="inlineStr">
        <is>
          <t>UPS BATERRY ROOM B.084</t>
        </is>
      </c>
    </row>
    <row r="4">
      <c r="A4" s="7" t="inlineStr">
        <is>
          <t>EF_B14</t>
        </is>
      </c>
      <c r="B4" s="7" t="inlineStr">
        <is>
          <t>entity:QNL_B_071_FIRE_COMMAND_ROOM</t>
        </is>
      </c>
      <c r="C4" s="7" t="inlineStr">
        <is>
          <t>Fire Command B.071</t>
        </is>
      </c>
    </row>
    <row r="5">
      <c r="A5" s="7" t="inlineStr">
        <is>
          <t>EF_B13</t>
        </is>
      </c>
      <c r="B5" s="7" t="inlineStr">
        <is>
          <t>entity:QNL_B_072_SPRIMKLERS_PUMPS_&amp;_ZONES_VALVES</t>
        </is>
      </c>
      <c r="C5" s="7" t="inlineStr">
        <is>
          <t>Sprinklers Pumps B.072</t>
        </is>
      </c>
    </row>
    <row r="6">
      <c r="A6" s="7" t="inlineStr">
        <is>
          <t>EF_B09</t>
        </is>
      </c>
      <c r="B6" s="7" t="inlineStr">
        <is>
          <t>entity:QNL_B_080_GENERATOR</t>
        </is>
      </c>
      <c r="C6" s="7" t="inlineStr">
        <is>
          <t>Generator B.080</t>
        </is>
      </c>
    </row>
    <row r="7">
      <c r="A7" s="7" t="inlineStr">
        <is>
          <t>EF_B05</t>
        </is>
      </c>
      <c r="B7" s="7" t="inlineStr">
        <is>
          <t>entity:QNL_B_085_FUMIGATION_ROOM</t>
        </is>
      </c>
      <c r="C7" s="7" t="inlineStr">
        <is>
          <t>FUMIGATION B.085</t>
        </is>
      </c>
    </row>
    <row r="8">
      <c r="A8" s="7" t="inlineStr">
        <is>
          <t>EF_B11</t>
        </is>
      </c>
      <c r="B8" s="7" t="inlineStr">
        <is>
          <t>entity:QNL_B_091_FUEL_ROOM</t>
        </is>
      </c>
      <c r="C8" s="7" t="inlineStr">
        <is>
          <t>Fuel pump room B.091</t>
        </is>
      </c>
    </row>
    <row r="9">
      <c r="A9" s="7" t="inlineStr">
        <is>
          <t>EF_B10</t>
        </is>
      </c>
      <c r="B9" s="7" t="inlineStr">
        <is>
          <t>entity:QNL_B_093_TRANSH_CHAMBER</t>
        </is>
      </c>
      <c r="C9" s="7" t="inlineStr">
        <is>
          <t>Trash room B.093</t>
        </is>
      </c>
    </row>
    <row r="10">
      <c r="A10" s="7" t="inlineStr">
        <is>
          <t>EF_B07</t>
        </is>
      </c>
      <c r="B10" s="7" t="inlineStr">
        <is>
          <t>entity:QNL_B_109_LOADING_AREA</t>
        </is>
      </c>
      <c r="C10" s="7" t="inlineStr">
        <is>
          <t>Loading Room B.109</t>
        </is>
      </c>
    </row>
    <row r="11">
      <c r="A11" s="7" t="inlineStr">
        <is>
          <t>EF_B08</t>
        </is>
      </c>
      <c r="B11" s="7" t="inlineStr">
        <is>
          <t>entity:QNL_B_109_LOADING_AREA</t>
        </is>
      </c>
      <c r="C11" s="7" t="inlineStr">
        <is>
          <t>Loading Room B.109</t>
        </is>
      </c>
    </row>
    <row r="12">
      <c r="A12" s="7" t="inlineStr">
        <is>
          <t>EF_B15</t>
        </is>
      </c>
      <c r="B12" s="7" t="inlineStr">
        <is>
          <t>entity:QNL_B_109_LOADING_AREA</t>
        </is>
      </c>
      <c r="C12" s="7" t="inlineStr">
        <is>
          <t>Loading Room B.109</t>
        </is>
      </c>
    </row>
    <row r="13">
      <c r="A13" s="7" t="inlineStr">
        <is>
          <t>EF_B16</t>
        </is>
      </c>
      <c r="B13" s="7" t="inlineStr">
        <is>
          <t>entity:QNL_B_109_LOADING_AREA</t>
        </is>
      </c>
      <c r="C13" s="7" t="inlineStr">
        <is>
          <t>Loading Room B.109</t>
        </is>
      </c>
    </row>
    <row r="14">
      <c r="A14" s="7" t="inlineStr">
        <is>
          <t>EF_201</t>
        </is>
      </c>
      <c r="B14" s="7" t="inlineStr">
        <is>
          <t>entity:QNL_L1-L-3_L-3</t>
        </is>
      </c>
      <c r="C14" s="7" t="inlineStr">
        <is>
          <t>FRONT KITCHEN L1.067</t>
        </is>
      </c>
    </row>
    <row r="15">
      <c r="A15" s="7" t="inlineStr">
        <is>
          <t>EF_RP02</t>
        </is>
      </c>
      <c r="B15" s="7" t="inlineStr">
        <is>
          <t>entity:QNL_P_004_PLANT_ZONE</t>
        </is>
      </c>
      <c r="C15" s="7" t="inlineStr">
        <is>
          <t>Plant Zone P.007</t>
        </is>
      </c>
    </row>
    <row r="16">
      <c r="A16" s="7" t="inlineStr">
        <is>
          <t>EF_B06</t>
        </is>
      </c>
      <c r="B16" s="7" t="inlineStr">
        <is>
          <t>entity:QNL_B_055_DIGITIZATION_CENTER</t>
        </is>
      </c>
      <c r="C16" s="7" t="inlineStr">
        <is>
          <t>DIGITIZATION CENTER B.055</t>
        </is>
      </c>
    </row>
    <row r="17">
      <c r="A17" s="7" t="inlineStr">
        <is>
          <t>EF_B12</t>
        </is>
      </c>
      <c r="B17" s="7" t="inlineStr">
        <is>
          <t>entity:QNL_B_214_IDF_ROOM</t>
        </is>
      </c>
      <c r="C17" s="7" t="inlineStr">
        <is>
          <t>Pantry B.144</t>
        </is>
      </c>
    </row>
    <row r="18">
      <c r="A18" s="7" t="inlineStr">
        <is>
          <t>EF_RP01</t>
        </is>
      </c>
      <c r="B18" s="7" t="inlineStr">
        <is>
          <t>entity:QNL_P_002_PLANT_ZONE</t>
        </is>
      </c>
      <c r="C18" s="7" t="inlineStr">
        <is>
          <t>Plant Zone P.002</t>
        </is>
      </c>
    </row>
    <row r="19">
      <c r="A19" s="7" t="inlineStr">
        <is>
          <t>EF_RP03</t>
        </is>
      </c>
      <c r="B19" s="7" t="inlineStr">
        <is>
          <t>entity:QNL_P_007_PLANT_ZONE</t>
        </is>
      </c>
      <c r="C19" s="7" t="inlineStr">
        <is>
          <t>Plant Zone P.004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0" customWidth="1" min="3" max="3"/>
  </cols>
  <sheetData>
    <row r="1">
      <c r="A1" s="6" t="inlineStr">
        <is>
          <t>Equipment</t>
        </is>
      </c>
      <c r="B1" s="6" t="inlineStr">
        <is>
          <t>Room Tag</t>
        </is>
      </c>
      <c r="C1" s="6" t="inlineStr">
        <is>
          <t>Feeds</t>
        </is>
      </c>
    </row>
    <row r="2">
      <c r="A2" s="7" t="inlineStr">
        <is>
          <t>SEF_RP07</t>
        </is>
      </c>
      <c r="B2" s="7" t="inlineStr">
        <is>
          <t>entity:QNL_P_004_PLANT_ZONE</t>
        </is>
      </c>
      <c r="C2" s="7" t="inlineStr">
        <is>
          <t>Plant Zone P.004</t>
        </is>
      </c>
    </row>
    <row r="3">
      <c r="A3" s="7" t="inlineStr">
        <is>
          <t>SEF_RP08</t>
        </is>
      </c>
      <c r="B3" s="7" t="inlineStr">
        <is>
          <t>entity:QNL_P_004_PLANT_ZONE</t>
        </is>
      </c>
      <c r="C3" s="7" t="inlineStr">
        <is>
          <t>Plant Zone P.004</t>
        </is>
      </c>
    </row>
    <row r="4">
      <c r="A4" s="7" t="inlineStr">
        <is>
          <t>SEF_RP09</t>
        </is>
      </c>
      <c r="B4" s="7" t="inlineStr">
        <is>
          <t>entity:QNL_P_004_PLANT_ZONE</t>
        </is>
      </c>
      <c r="C4" s="7" t="inlineStr">
        <is>
          <t>Plant Zone P.004</t>
        </is>
      </c>
    </row>
    <row r="5">
      <c r="A5" s="7" t="inlineStr">
        <is>
          <t>SEF_ZoneB</t>
        </is>
      </c>
      <c r="B5" s="7" t="inlineStr">
        <is>
          <t>entity:QNL_P_004_PLANT_ZONE</t>
        </is>
      </c>
      <c r="C5" s="7" t="inlineStr"/>
    </row>
    <row r="6">
      <c r="A6" s="7" t="inlineStr">
        <is>
          <t>SEF_RP04</t>
        </is>
      </c>
      <c r="B6" s="7" t="inlineStr">
        <is>
          <t>entity:QNL_P_002_PLANT_ZONE</t>
        </is>
      </c>
      <c r="C6" s="7" t="inlineStr">
        <is>
          <t>Plant Zone P.002</t>
        </is>
      </c>
    </row>
    <row r="7">
      <c r="A7" s="7" t="inlineStr">
        <is>
          <t>SEF_RP05</t>
        </is>
      </c>
      <c r="B7" s="7" t="inlineStr">
        <is>
          <t>entity:QNL_P_002_PLANT_ZONE</t>
        </is>
      </c>
      <c r="C7" s="7" t="inlineStr">
        <is>
          <t>Plant Zone P.002</t>
        </is>
      </c>
    </row>
    <row r="8">
      <c r="A8" s="7" t="inlineStr">
        <is>
          <t>SEF_RP06</t>
        </is>
      </c>
      <c r="B8" s="7" t="inlineStr">
        <is>
          <t>entity:QNL_P_002_PLANT_ZONE</t>
        </is>
      </c>
      <c r="C8" s="7" t="inlineStr">
        <is>
          <t>Plant Zone P.002</t>
        </is>
      </c>
    </row>
    <row r="9">
      <c r="A9" s="7" t="inlineStr">
        <is>
          <t>SEF_ZoneA</t>
        </is>
      </c>
      <c r="B9" s="7" t="inlineStr">
        <is>
          <t>entity:QNL_P_002_PLANT_ZONE</t>
        </is>
      </c>
      <c r="C9" s="7" t="inlineStr"/>
    </row>
    <row r="10">
      <c r="A10" s="7" t="inlineStr">
        <is>
          <t>SEF_RP10</t>
        </is>
      </c>
      <c r="B10" s="7" t="inlineStr">
        <is>
          <t>entity:QNL_P_007_PLANT_ZONE</t>
        </is>
      </c>
      <c r="C10" s="7" t="inlineStr">
        <is>
          <t>Plant Zone P.007</t>
        </is>
      </c>
    </row>
    <row r="11">
      <c r="A11" s="7" t="inlineStr">
        <is>
          <t>SEF_ZoneC</t>
        </is>
      </c>
      <c r="B11" s="7" t="inlineStr">
        <is>
          <t>entity:QNL_P_007_PLANT_ZONE</t>
        </is>
      </c>
      <c r="C11" s="7" t="inlineStr"/>
    </row>
    <row r="12">
      <c r="A12" s="7" t="inlineStr">
        <is>
          <t>SEF_RP11</t>
        </is>
      </c>
      <c r="B12" s="7" t="inlineStr">
        <is>
          <t>entity:QNL_P_006_PLANT_ZONE</t>
        </is>
      </c>
      <c r="C12" s="7" t="inlineStr">
        <is>
          <t>Plant Zone P.006</t>
        </is>
      </c>
    </row>
    <row r="13">
      <c r="A13" s="7" t="inlineStr">
        <is>
          <t>SEF_RP12</t>
        </is>
      </c>
      <c r="B13" s="7" t="inlineStr">
        <is>
          <t>entity:QNL_P_006_PLANT_ZONE</t>
        </is>
      </c>
      <c r="C13" s="7" t="inlineStr">
        <is>
          <t>Plant Zone P.006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0" customWidth="1" min="3" max="3"/>
  </cols>
  <sheetData>
    <row r="1">
      <c r="A1" s="6" t="inlineStr">
        <is>
          <t>Equipment</t>
        </is>
      </c>
      <c r="B1" s="6" t="inlineStr">
        <is>
          <t>Room Tag</t>
        </is>
      </c>
      <c r="C1" s="6" t="inlineStr">
        <is>
          <t>Feeds</t>
        </is>
      </c>
    </row>
    <row r="2">
      <c r="A2" s="7" t="inlineStr">
        <is>
          <t>CCU_B01</t>
        </is>
      </c>
      <c r="B2" s="7" t="inlineStr">
        <is>
          <t>entity:QNL_B_048_QTEL_ROOM</t>
        </is>
      </c>
      <c r="C2" s="7" t="inlineStr">
        <is>
          <t>REST TOOM (MEN) B.061</t>
        </is>
      </c>
    </row>
    <row r="3">
      <c r="A3" s="7" t="inlineStr">
        <is>
          <t>CCU_B02</t>
        </is>
      </c>
      <c r="B3" s="7" t="inlineStr">
        <is>
          <t>entity:QNL_B_048_QTEL_ROOM</t>
        </is>
      </c>
      <c r="C3" s="7" t="inlineStr">
        <is>
          <t>REST TOOM (MEN) B.061</t>
        </is>
      </c>
    </row>
    <row r="4">
      <c r="A4" s="7" t="inlineStr">
        <is>
          <t>CCU_B03</t>
        </is>
      </c>
      <c r="B4" s="7" t="inlineStr">
        <is>
          <t>entity:QNL_B_050_TELECOM_ROOM</t>
        </is>
      </c>
      <c r="C4" s="7" t="inlineStr">
        <is>
          <t>REST TOOM (MEN) B.061</t>
        </is>
      </c>
    </row>
    <row r="5">
      <c r="A5" s="7" t="inlineStr">
        <is>
          <t>CCU_B04</t>
        </is>
      </c>
      <c r="B5" s="7" t="inlineStr">
        <is>
          <t>entity:QNL_B_050_TELECOM_ROOM</t>
        </is>
      </c>
      <c r="C5" s="7" t="inlineStr">
        <is>
          <t>REST TOOM (MEN) B.061</t>
        </is>
      </c>
    </row>
    <row r="6">
      <c r="A6" s="7" t="inlineStr">
        <is>
          <t>CCU_B05</t>
        </is>
      </c>
      <c r="B6" s="7" t="inlineStr">
        <is>
          <t>entity:QNL_B_089_SERVER_ROOM</t>
        </is>
      </c>
      <c r="C6" s="7" t="inlineStr">
        <is>
          <t>REST TOOM (MEN) B.061</t>
        </is>
      </c>
    </row>
    <row r="7">
      <c r="A7" s="7" t="inlineStr">
        <is>
          <t>CCU_B06</t>
        </is>
      </c>
      <c r="B7" s="7" t="inlineStr">
        <is>
          <t>entity:QNL_B_089_SERVER_ROOM</t>
        </is>
      </c>
      <c r="C7" s="7" t="inlineStr">
        <is>
          <t>REST TOOM (MEN) B.061</t>
        </is>
      </c>
    </row>
    <row r="8">
      <c r="A8" s="7" t="inlineStr">
        <is>
          <t>CCU_B07</t>
        </is>
      </c>
      <c r="B8" s="7" t="inlineStr">
        <is>
          <t>entity:QNL_B_089_SERVER_ROOM</t>
        </is>
      </c>
      <c r="C8" s="7" t="inlineStr">
        <is>
          <t>REST TOOM (MEN) B.061</t>
        </is>
      </c>
    </row>
    <row r="9">
      <c r="A9" s="7" t="inlineStr">
        <is>
          <t>CCU_B08</t>
        </is>
      </c>
      <c r="B9" s="7" t="inlineStr">
        <is>
          <t>entity:QNL_B141_VAU_VAULT</t>
        </is>
      </c>
      <c r="C9" s="7" t="inlineStr">
        <is>
          <t>REST TOOM (MEN) 141.061</t>
        </is>
      </c>
    </row>
    <row r="10">
      <c r="A10" s="7" t="inlineStr">
        <is>
          <t>CCU_B09</t>
        </is>
      </c>
      <c r="B10" s="7" t="inlineStr">
        <is>
          <t>entity:QNL_B141_VAU_VAULT</t>
        </is>
      </c>
      <c r="C10" s="7" t="inlineStr">
        <is>
          <t>REST TOOM (MEN) 141.061</t>
        </is>
      </c>
    </row>
    <row r="11">
      <c r="A11" s="7" t="inlineStr">
        <is>
          <t>CCU_B10</t>
        </is>
      </c>
      <c r="B11" s="7" t="inlineStr">
        <is>
          <t>entity:QNL_B_222_IDF</t>
        </is>
      </c>
      <c r="C11" s="7" t="inlineStr">
        <is>
          <t>REST TOOM (MEN) B.061</t>
        </is>
      </c>
    </row>
    <row r="12">
      <c r="A12" s="7" t="inlineStr">
        <is>
          <t>CCU_B11</t>
        </is>
      </c>
      <c r="B12" s="7" t="inlineStr">
        <is>
          <t>entity:QNL_B_222_IDF</t>
        </is>
      </c>
      <c r="C12" s="7" t="inlineStr">
        <is>
          <t>REST TOOM (MEN) B.061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0" customWidth="1" min="3" max="3"/>
  </cols>
  <sheetData>
    <row r="1">
      <c r="A1" s="6" t="inlineStr">
        <is>
          <t>Equipment</t>
        </is>
      </c>
      <c r="B1" s="6" t="inlineStr">
        <is>
          <t>Room Tag</t>
        </is>
      </c>
      <c r="C1" s="6" t="inlineStr">
        <is>
          <t>Feeds</t>
        </is>
      </c>
    </row>
    <row r="2">
      <c r="A2" s="7" t="inlineStr">
        <is>
          <t>TEF_B02A</t>
        </is>
      </c>
      <c r="B2" s="7" t="inlineStr">
        <is>
          <t>entity:QNL_B_070_PLANT_ROOM_02</t>
        </is>
      </c>
      <c r="C2" s="7" t="inlineStr">
        <is>
          <t>RESTROOM (MEN) B.032</t>
        </is>
      </c>
    </row>
    <row r="3">
      <c r="A3" s="7" t="inlineStr">
        <is>
          <t>TEF_B02B</t>
        </is>
      </c>
      <c r="B3" s="7" t="inlineStr">
        <is>
          <t>entity:QNL_B_070_PLANT_ROOM_02</t>
        </is>
      </c>
      <c r="C3" s="7" t="inlineStr">
        <is>
          <t>RESTROOM (WOMEN) B.033</t>
        </is>
      </c>
    </row>
    <row r="4">
      <c r="A4" s="7" t="inlineStr">
        <is>
          <t>TEF_B01A</t>
        </is>
      </c>
      <c r="B4" s="7" t="inlineStr">
        <is>
          <t>entity:QNL_B_110_PLANT_ROOM_03</t>
        </is>
      </c>
      <c r="C4" s="7" t="inlineStr">
        <is>
          <t>RESTROOM (MEN) B.046</t>
        </is>
      </c>
    </row>
    <row r="5">
      <c r="A5" s="7" t="inlineStr">
        <is>
          <t>TEF_B01B</t>
        </is>
      </c>
      <c r="B5" s="7" t="inlineStr">
        <is>
          <t>entity:QNL_B_110_PLANT_ROOM_03</t>
        </is>
      </c>
      <c r="C5" s="7" t="inlineStr">
        <is>
          <t>RESTROOM (WOMEN) B.047</t>
        </is>
      </c>
    </row>
    <row r="6">
      <c r="A6" s="7" t="inlineStr">
        <is>
          <t>TEF_B03A</t>
        </is>
      </c>
      <c r="B6" s="7" t="inlineStr">
        <is>
          <t>entity:QNL_B_120_COMPACT_SHELVING_-MAIN_COLLECTION</t>
        </is>
      </c>
      <c r="C6" s="7" t="inlineStr">
        <is>
          <t>VIP RESTROOM B.146</t>
        </is>
      </c>
    </row>
    <row r="7">
      <c r="A7" s="7" t="inlineStr">
        <is>
          <t>TEF_B03B</t>
        </is>
      </c>
      <c r="B7" s="7" t="inlineStr">
        <is>
          <t>entity:QNL_B_120_COMPACT_SHELVING_-MAIN_COLLECTION</t>
        </is>
      </c>
      <c r="C7" s="7" t="inlineStr">
        <is>
          <t>VIP RESTROOM B.147</t>
        </is>
      </c>
    </row>
    <row r="8">
      <c r="A8" s="7" t="inlineStr">
        <is>
          <t>TEF_101C</t>
        </is>
      </c>
      <c r="B8" s="7" t="inlineStr">
        <is>
          <t>entity:QNL_L1-E2_ELEC_SHAFT</t>
        </is>
      </c>
      <c r="C8" s="7" t="inlineStr">
        <is>
          <t>REST TOOM (MEN) L1.061</t>
        </is>
      </c>
    </row>
    <row r="9">
      <c r="A9" s="7" t="inlineStr">
        <is>
          <t>TEF_102C</t>
        </is>
      </c>
      <c r="B9" s="7" t="inlineStr">
        <is>
          <t>entity:QNL_L1-E1_ELEC_SHAFT</t>
        </is>
      </c>
      <c r="C9" s="7" t="inlineStr">
        <is>
          <t>REST TOOM (WOMEN) L1.025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6" t="inlineStr">
        <is>
          <t>Equipment</t>
        </is>
      </c>
      <c r="B1" s="6" t="inlineStr">
        <is>
          <t>Room Tag</t>
        </is>
      </c>
    </row>
    <row r="2">
      <c r="A2" s="7" t="inlineStr">
        <is>
          <t>HEX05</t>
        </is>
      </c>
      <c r="B2" s="7" t="inlineStr">
        <is>
          <t>entity:QNL_B_211_PH_PLANT_ROOM</t>
        </is>
      </c>
    </row>
    <row r="3">
      <c r="A3" s="7" t="inlineStr">
        <is>
          <t>HEX01</t>
        </is>
      </c>
      <c r="B3" s="7" t="inlineStr">
        <is>
          <t>entity:QNL_B_220_PLANT_ROOM_04</t>
        </is>
      </c>
    </row>
    <row r="4">
      <c r="A4" s="7" t="inlineStr">
        <is>
          <t>HEX02</t>
        </is>
      </c>
      <c r="B4" s="7" t="inlineStr">
        <is>
          <t>entity:QNL_B_220_PLANT_ROOM_04</t>
        </is>
      </c>
    </row>
    <row r="5">
      <c r="A5" s="7" t="inlineStr">
        <is>
          <t>HEX03</t>
        </is>
      </c>
      <c r="B5" s="7" t="inlineStr">
        <is>
          <t>entity:QNL_B_220_PLANT_ROOM_04</t>
        </is>
      </c>
    </row>
    <row r="6">
      <c r="A6" s="7" t="inlineStr">
        <is>
          <t>HEX04</t>
        </is>
      </c>
      <c r="B6" s="7" t="inlineStr">
        <is>
          <t>entity:QNL_B_220_PLANT_ROOM_04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0" customWidth="1" min="3" max="3"/>
  </cols>
  <sheetData>
    <row r="1">
      <c r="A1" s="6" t="inlineStr">
        <is>
          <t>Equipment</t>
        </is>
      </c>
      <c r="B1" s="6" t="inlineStr">
        <is>
          <t>Room Tag</t>
        </is>
      </c>
      <c r="C1" s="6" t="inlineStr">
        <is>
          <t>Feeds</t>
        </is>
      </c>
    </row>
    <row r="2">
      <c r="A2" s="7" t="inlineStr">
        <is>
          <t>KEF_B019</t>
        </is>
      </c>
      <c r="B2" s="7" t="inlineStr">
        <is>
          <t>entity:QNL_B_049_MEP_KITCHEN</t>
        </is>
      </c>
      <c r="C2" s="7" t="inlineStr">
        <is>
          <t>MEP KITCHEN B.049</t>
        </is>
      </c>
    </row>
    <row r="3">
      <c r="A3" s="7" t="inlineStr">
        <is>
          <t>KEF_B04</t>
        </is>
      </c>
      <c r="B3" s="7" t="inlineStr">
        <is>
          <t>entity:QNL_B_001A_BREAK_OUT_AREA</t>
        </is>
      </c>
      <c r="C3" s="7" t="inlineStr">
        <is>
          <t>KITCHEN B.002</t>
        </is>
      </c>
    </row>
    <row r="4">
      <c r="A4" s="7" t="inlineStr">
        <is>
          <t>KEF_B020</t>
        </is>
      </c>
      <c r="B4" s="7" t="inlineStr">
        <is>
          <t>entity:QNL_B_052_CORRIDOR_3</t>
        </is>
      </c>
      <c r="C4" s="7" t="inlineStr">
        <is>
          <t>BINDING AND Reservation Space B.043</t>
        </is>
      </c>
    </row>
    <row r="5">
      <c r="A5" s="7" t="inlineStr">
        <is>
          <t>KEF_101</t>
        </is>
      </c>
      <c r="B5" s="7" t="inlineStr">
        <is>
          <t>entity:QNL_L1_067_RESTAURANT</t>
        </is>
      </c>
      <c r="C5" s="7" t="inlineStr">
        <is>
          <t>RESTAURANT L1.067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6" t="inlineStr">
        <is>
          <t>Equipment</t>
        </is>
      </c>
      <c r="B1" s="6" t="inlineStr">
        <is>
          <t>Room Tag</t>
        </is>
      </c>
    </row>
    <row r="2">
      <c r="A2" s="7" t="inlineStr">
        <is>
          <t>CHW_P01</t>
        </is>
      </c>
      <c r="B2" s="7" t="inlineStr">
        <is>
          <t>entity:QNL_B_220_PLANT_ROOM_04</t>
        </is>
      </c>
    </row>
    <row r="3">
      <c r="A3" s="7" t="inlineStr">
        <is>
          <t>CHW_P02</t>
        </is>
      </c>
      <c r="B3" s="7" t="inlineStr">
        <is>
          <t>entity:QNL_B_220_PLANT_ROOM_04</t>
        </is>
      </c>
    </row>
    <row r="4">
      <c r="A4" s="7" t="inlineStr">
        <is>
          <t>CHW_P03</t>
        </is>
      </c>
      <c r="B4" s="7" t="inlineStr">
        <is>
          <t>entity:QNL_B_220_PLANT_ROOM_04</t>
        </is>
      </c>
    </row>
    <row r="5">
      <c r="A5" s="7" t="inlineStr">
        <is>
          <t>CHW_P04</t>
        </is>
      </c>
      <c r="B5" s="7" t="inlineStr">
        <is>
          <t>entity:QNL_B_220_PLANT_ROOM_04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6" t="inlineStr">
        <is>
          <t>Equipment</t>
        </is>
      </c>
      <c r="B1" s="6" t="inlineStr">
        <is>
          <t>Room Tag</t>
        </is>
      </c>
    </row>
    <row r="2">
      <c r="A2" s="7" t="inlineStr">
        <is>
          <t>ELEC_Gen</t>
        </is>
      </c>
      <c r="B2" s="7" t="inlineStr">
        <is>
          <t>entity:QNL_B_080_GENERATOR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6" t="inlineStr">
        <is>
          <t>Equipment</t>
        </is>
      </c>
      <c r="B1" s="6" t="inlineStr">
        <is>
          <t>Room Tag</t>
        </is>
      </c>
    </row>
    <row r="2">
      <c r="A2" s="7" t="inlineStr">
        <is>
          <t>CHWPU_P01</t>
        </is>
      </c>
      <c r="B2" s="7" t="inlineStr">
        <is>
          <t>entity:QNL_B_220_PLANT_ROOM_04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2026-08-18T12:42:05Z</dcterms:created>
  <dcterms:modified xmlns:dcterms="http://purl.org/dc/terms/" xmlns:xsi="http://www.w3.org/2001/XMLSchema-instance" xsi:type="dcterms:W3CDTF">2026-08-27T07:00:28Z</dcterms:modified>
  <cp:lastModifiedBy>Ahmad Sharaf Al Masri</cp:lastModifiedBy>
</cp:coreProperties>
</file>